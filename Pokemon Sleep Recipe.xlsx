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食譜橫向排版" sheetId="1" r:id="rId5"/>
    <sheet state="visible" name="食譜" sheetId="2" r:id="rId6"/>
    <sheet state="visible" name="食材" sheetId="3" r:id="rId7"/>
    <sheet state="visible" name="「食譜橫向排版」的副本" sheetId="4" r:id="rId8"/>
  </sheets>
  <definedNames>
    <definedName hidden="1" localSheetId="1" name="_xlnm._FilterDatabase">'食譜'!$A$2:$AK$82</definedName>
    <definedName hidden="1" localSheetId="2" name="_xlnm._FilterDatabase">'食材'!$A$1:$G$21</definedName>
  </definedNames>
  <calcPr/>
</workbook>
</file>

<file path=xl/sharedStrings.xml><?xml version="1.0" encoding="utf-8"?>
<sst xmlns="http://schemas.openxmlformats.org/spreadsheetml/2006/main" count="573" uniqueCount="223">
  <si>
    <t>特選蘋果</t>
  </si>
  <si>
    <t>哞哞鮮奶</t>
  </si>
  <si>
    <t>萌綠大豆</t>
  </si>
  <si>
    <t>甜甜蜜</t>
  </si>
  <si>
    <t>豆製肉</t>
  </si>
  <si>
    <t>暖暖薑</t>
  </si>
  <si>
    <t>好眠番茄</t>
  </si>
  <si>
    <t>特選蛋</t>
  </si>
  <si>
    <t>純粹油</t>
  </si>
  <si>
    <t>窩心洋芋</t>
  </si>
  <si>
    <t>火辣香草</t>
  </si>
  <si>
    <t>萌綠玉米</t>
  </si>
  <si>
    <t>放鬆可可</t>
  </si>
  <si>
    <t>醒腦咖啡豆</t>
  </si>
  <si>
    <t>嫩亮酪梨</t>
  </si>
  <si>
    <t>品鮮蘑菇</t>
  </si>
  <si>
    <t>粗枝大蔥</t>
  </si>
  <si>
    <t>沉甸甸南瓜</t>
  </si>
  <si>
    <t>美味尾巴</t>
  </si>
  <si>
    <t>圖</t>
  </si>
  <si>
    <t>食譜名</t>
  </si>
  <si>
    <t>名</t>
  </si>
  <si>
    <t>食材數量</t>
  </si>
  <si>
    <t>類型</t>
  </si>
  <si>
    <t>階級獎勵</t>
  </si>
  <si>
    <t>純食材*數量加總</t>
  </si>
  <si>
    <t>加成後</t>
  </si>
  <si>
    <t>清單</t>
  </si>
  <si>
    <t>食材1</t>
  </si>
  <si>
    <t>數1</t>
  </si>
  <si>
    <t>食材2</t>
  </si>
  <si>
    <t>數2</t>
  </si>
  <si>
    <t>食材3</t>
  </si>
  <si>
    <t>數3</t>
  </si>
  <si>
    <t>食材4</t>
  </si>
  <si>
    <t>數4</t>
  </si>
  <si>
    <t>拌拌沙拉</t>
  </si>
  <si>
    <t>mixedsalad</t>
  </si>
  <si>
    <t>沙拉</t>
  </si>
  <si>
    <t>特選蘋果沙拉</t>
  </si>
  <si>
    <t>fancyapplesalad</t>
  </si>
  <si>
    <t>豆製火腿沙拉</t>
  </si>
  <si>
    <t>beanhamsalad</t>
  </si>
  <si>
    <t>好眠番茄沙拉</t>
  </si>
  <si>
    <t>snoozytomatosalad</t>
  </si>
  <si>
    <t>撥雪凱薩沙拉</t>
  </si>
  <si>
    <t>snowcloakcaesarsalad</t>
  </si>
  <si>
    <t>熱風豆腐沙拉</t>
  </si>
  <si>
    <t>heatwavetofusalad</t>
  </si>
  <si>
    <t>迷人蘋果起司沙拉</t>
  </si>
  <si>
    <t>dazzlingapplecheesesalad</t>
  </si>
  <si>
    <t>亂擊玉米沙拉</t>
  </si>
  <si>
    <t>furyattackcornsalad</t>
  </si>
  <si>
    <t>免疫蔥花沙拉</t>
  </si>
  <si>
    <t>immunityleeksalad</t>
  </si>
  <si>
    <t>哞哞起司番茄沙拉</t>
  </si>
  <si>
    <t>moomoocapresesalad</t>
  </si>
  <si>
    <t>蠻力豪邁沙拉</t>
  </si>
  <si>
    <t>superpowerextremesalad</t>
  </si>
  <si>
    <t>濕潤豆腐沙拉</t>
  </si>
  <si>
    <t>waterveiltofusalad</t>
  </si>
  <si>
    <t>心情不定肉沙拉淋巧克力醬</t>
  </si>
  <si>
    <t>contrarychocolatemeatsalad</t>
  </si>
  <si>
    <t>貪吃鬼洋芋沙拉</t>
  </si>
  <si>
    <t>gluttonypotatosalad</t>
  </si>
  <si>
    <t>過熱沙拉</t>
  </si>
  <si>
    <t>overheatgingersalad</t>
  </si>
  <si>
    <t>蘑菇孢子沙拉</t>
  </si>
  <si>
    <t>sporemushroomsalad</t>
  </si>
  <si>
    <t>碎裂酪梨沙拉</t>
  </si>
  <si>
    <t>lusciousavocadosalad</t>
  </si>
  <si>
    <t>冥想香甜沙拉</t>
  </si>
  <si>
    <t>calmmindfruitsalad</t>
  </si>
  <si>
    <t>呆呆獸尾巴的胡椒沙拉</t>
  </si>
  <si>
    <t>slowpoketailpeppersalad</t>
  </si>
  <si>
    <t>十字切碎丁沙拉</t>
  </si>
  <si>
    <t>crosschopsalad</t>
  </si>
  <si>
    <t>萌綠沙拉</t>
  </si>
  <si>
    <t>greengrasssalad</t>
  </si>
  <si>
    <t>忍者沙拉</t>
  </si>
  <si>
    <t>ninjasalad</t>
  </si>
  <si>
    <t>落英繽紛含羞草蛋沙拉</t>
  </si>
  <si>
    <t>petalblizzardlayeredsalad</t>
  </si>
  <si>
    <t>蘋果酸優格沙拉</t>
  </si>
  <si>
    <t>appleacidyogurt-dressedsalad</t>
  </si>
  <si>
    <t>不服輸咖啡沙拉</t>
  </si>
  <si>
    <t>defiantcoffee-dressedsalad</t>
  </si>
  <si>
    <t>重踏酪梨醬脆片</t>
  </si>
  <si>
    <t>bulldozeguacamoleandchips</t>
  </si>
  <si>
    <t>大塊滿滿熱水沙拉</t>
  </si>
  <si>
    <t>scaldchunkysalad</t>
  </si>
  <si>
    <t>拌拌咖哩</t>
  </si>
  <si>
    <t>mixedcurry</t>
  </si>
  <si>
    <t>咖哩、濃湯</t>
  </si>
  <si>
    <t>特選蘋果咖哩</t>
  </si>
  <si>
    <t>fancyapplecurry</t>
  </si>
  <si>
    <t>單純白醬濃湯</t>
  </si>
  <si>
    <t>simplechowder</t>
  </si>
  <si>
    <t>寶寶甜蜜咖哩</t>
  </si>
  <si>
    <t>dreameaterbuttercurry</t>
  </si>
  <si>
    <t>豆製肉排咖哩</t>
  </si>
  <si>
    <t>beanburgercurry</t>
  </si>
  <si>
    <t>吃飽飽起司肉排咖哩</t>
  </si>
  <si>
    <t>heartycheeseburgercurry</t>
  </si>
  <si>
    <t>日照炸肉排咖哩</t>
  </si>
  <si>
    <t>droughtkatsucurry</t>
  </si>
  <si>
    <t>太陽之力番茄咖哩</t>
  </si>
  <si>
    <t>solarpowertomatocurry</t>
  </si>
  <si>
    <t>入口即化蛋捲咖哩</t>
  </si>
  <si>
    <t>meltyomelettecurry</t>
  </si>
  <si>
    <t>窩心白醬濃湯</t>
  </si>
  <si>
    <t>softpotatochowder</t>
  </si>
  <si>
    <t>健美豆子咖哩</t>
  </si>
  <si>
    <t>bulkupbeancurry</t>
  </si>
  <si>
    <t>蘑菇孢子咖哩</t>
  </si>
  <si>
    <t>sporemushroomcurry</t>
  </si>
  <si>
    <t>親子愛咖哩</t>
  </si>
  <si>
    <t>eggbombcurry</t>
  </si>
  <si>
    <t>柔軟玉米濃湯</t>
  </si>
  <si>
    <t>limbercornstew</t>
  </si>
  <si>
    <t>迷昏拳辣味咖哩</t>
  </si>
  <si>
    <t>dizzypunchspicycurry</t>
  </si>
  <si>
    <t>辣味蔥勁十足咖哩</t>
  </si>
  <si>
    <t>spicyleekcurry</t>
  </si>
  <si>
    <t>炙燒尾肉咖哩</t>
  </si>
  <si>
    <t>grilledtailcurry</t>
  </si>
  <si>
    <t>絕對睡眠奶油咖哩</t>
  </si>
  <si>
    <t>mildhoneycurry</t>
  </si>
  <si>
    <t>忍者咖哩</t>
  </si>
  <si>
    <t>ninjacurry</t>
  </si>
  <si>
    <t>煉獄玉米乾咖哩</t>
  </si>
  <si>
    <t>infernocornkeemacurry</t>
  </si>
  <si>
    <t>扮演南瓜精濃湯</t>
  </si>
  <si>
    <t>roleplaypumpkaboostew</t>
  </si>
  <si>
    <t>覺醒力量濃湯</t>
  </si>
  <si>
    <t>hiddenpowerperk-upstew</t>
  </si>
  <si>
    <t>居合斬壽喜燒咖哩</t>
  </si>
  <si>
    <t>cutsukiyakicurry</t>
  </si>
  <si>
    <t>茂盛焗烤酪梨</t>
  </si>
  <si>
    <t>overgrowavocadogratin</t>
  </si>
  <si>
    <t>拌拌果汁</t>
  </si>
  <si>
    <t>mixedjuice</t>
  </si>
  <si>
    <t>點心、飲料</t>
  </si>
  <si>
    <t>哞哞熱鮮奶</t>
  </si>
  <si>
    <t>warmmoomoomilk</t>
  </si>
  <si>
    <t>特選蘋果汁</t>
  </si>
  <si>
    <t>fancyapplejuice</t>
  </si>
  <si>
    <t>手製勁爽汽水</t>
  </si>
  <si>
    <t>craftsodapop</t>
  </si>
  <si>
    <t>祈願蘋果派</t>
  </si>
  <si>
    <t>luckychantapplepie</t>
  </si>
  <si>
    <t>熟成甜薯燒</t>
  </si>
  <si>
    <t>fluffysweetpotatoes</t>
  </si>
  <si>
    <t>火花薑茶</t>
  </si>
  <si>
    <t>embergingertea</t>
  </si>
  <si>
    <t>輕裝豆香蛋糕</t>
  </si>
  <si>
    <t>cloudninesoycake</t>
  </si>
  <si>
    <t>我行我素蔬菜汁</t>
  </si>
  <si>
    <t>stalwartvegetablejuice</t>
  </si>
  <si>
    <t>大馬拉薩達</t>
  </si>
  <si>
    <t>bigmalasada</t>
  </si>
  <si>
    <t>活力蛋白飲</t>
  </si>
  <si>
    <t>hustleproteinsmoothie</t>
  </si>
  <si>
    <t>花瓣舞巧克力塔</t>
  </si>
  <si>
    <t>petaldancechocolatetart</t>
  </si>
  <si>
    <t>甜甜香氣巧克力蛋糕</t>
  </si>
  <si>
    <t>sweetscentchocolatecake</t>
  </si>
  <si>
    <t>惡魔之吻水果牛奶</t>
  </si>
  <si>
    <t>lovelykisssmoothie</t>
  </si>
  <si>
    <t>不屈薑餅</t>
  </si>
  <si>
    <t>steadfastgingercookies</t>
  </si>
  <si>
    <t>橙夢的排毒茶</t>
  </si>
  <si>
    <t>neroli'srestorativetea</t>
  </si>
  <si>
    <t>大力士豆香甜甜圈</t>
  </si>
  <si>
    <t>hugepowersoydonuts</t>
  </si>
  <si>
    <t>大爆炸爆米花</t>
  </si>
  <si>
    <t>explosionpopcorn</t>
  </si>
  <si>
    <t>早起咖啡凍</t>
  </si>
  <si>
    <t>earlybirdcoffeejelly</t>
  </si>
  <si>
    <t>破格玉米香提拉米蘇</t>
  </si>
  <si>
    <t>moldbreakercorntiramisu</t>
  </si>
  <si>
    <t>胖丁百匯布丁</t>
  </si>
  <si>
    <t>jigglypuff'sfruityflan</t>
  </si>
  <si>
    <t>青草攪拌器冰沙</t>
  </si>
  <si>
    <t>leaftornadosmoothie</t>
  </si>
  <si>
    <t>茶會玉米司康</t>
  </si>
  <si>
    <t>teatimecornscones</t>
  </si>
  <si>
    <t>花之禮馬卡龍</t>
  </si>
  <si>
    <t>flowergiftmacarons</t>
  </si>
  <si>
    <t>電光香料可樂</t>
  </si>
  <si>
    <t>zingzapspicedcola</t>
  </si>
  <si>
    <t>土王閃電泡芙</t>
  </si>
  <si>
    <t>clodsireeclair</t>
  </si>
  <si>
    <t>心跳加速鬼面鬆餅</t>
  </si>
  <si>
    <t>scaryfacepancakes</t>
  </si>
  <si>
    <t>採蜜巧克力格子鬆餅</t>
  </si>
  <si>
    <t>honeygatherchocolatewaffles</t>
  </si>
  <si>
    <t>ID</t>
  </si>
  <si>
    <t>食材名</t>
  </si>
  <si>
    <t>英文名</t>
  </si>
  <si>
    <t>食材圖</t>
  </si>
  <si>
    <t>初始拿到等級</t>
  </si>
  <si>
    <t>食材基礎分</t>
  </si>
  <si>
    <t>開放日期</t>
  </si>
  <si>
    <t>Large Leek</t>
  </si>
  <si>
    <t>Tasty Mushroom</t>
  </si>
  <si>
    <t>Fancy Egg</t>
  </si>
  <si>
    <t>Soft Potato</t>
  </si>
  <si>
    <t>Fancy Apple</t>
  </si>
  <si>
    <t>Fiery Herb</t>
  </si>
  <si>
    <t>Bean Sausage</t>
  </si>
  <si>
    <t>Moomoo Milk</t>
  </si>
  <si>
    <t>Honey</t>
  </si>
  <si>
    <t>Pure Oil</t>
  </si>
  <si>
    <t>Warming Ginger</t>
  </si>
  <si>
    <t>Snoozy Tomato</t>
  </si>
  <si>
    <t>Soothing Cacao</t>
  </si>
  <si>
    <t>Slowpoke Tail</t>
  </si>
  <si>
    <t>Greengrass Soybeans</t>
  </si>
  <si>
    <t>Greengrass Corn</t>
  </si>
  <si>
    <t>Rousing Coffee</t>
  </si>
  <si>
    <t>Plump Pumpkin</t>
  </si>
  <si>
    <t>Glossy Avocado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</si>
</sst>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/&quot;mm&quot;/&quot;dd"/>
    <numFmt numFmtId="165" formatCode="yyyy/mm/dd"/>
  </numFmts>
  <fonts count="16">
    <font>
      <sz val="10.0"/>
      <color rgb="FF000000"/>
      <name val="Arial"/>
      <scheme val="minor"/>
    </font>
    <font>
      <b/>
      <color theme="1"/>
      <name val="M PLUS 1p"/>
    </font>
    <font>
      <b/>
      <sz val="12.0"/>
      <color theme="1"/>
      <name val="M PLUS 1p"/>
    </font>
    <font/>
    <font>
      <color theme="1"/>
      <name val="M PLUS 1p"/>
    </font>
    <font>
      <b/>
      <sz val="14.0"/>
      <color theme="1"/>
      <name val="M PLUS 1p"/>
    </font>
    <font>
      <sz val="10.0"/>
      <color theme="1"/>
      <name val="M PLUS 1p"/>
    </font>
    <font>
      <b/>
      <sz val="20.0"/>
      <color theme="1"/>
      <name val="M PLUS 1p"/>
    </font>
    <font>
      <b/>
      <sz val="15.0"/>
      <color theme="1"/>
      <name val="M PLUS 1p"/>
    </font>
    <font>
      <sz val="9.0"/>
      <color theme="1"/>
      <name val="M PLUS 1p"/>
    </font>
    <font>
      <sz val="10.0"/>
      <color theme="1"/>
      <name val="Arial"/>
      <scheme val="minor"/>
    </font>
    <font>
      <color theme="1"/>
      <name val="Syncopate"/>
    </font>
    <font>
      <sz val="10.0"/>
      <color theme="1"/>
      <name val="Syncopate"/>
    </font>
    <font>
      <b/>
      <sz val="10.0"/>
      <color theme="1"/>
      <name val="M PLUS 1p"/>
    </font>
    <font>
      <b/>
      <sz val="8.0"/>
      <color theme="1"/>
      <name val="M PLUS 1p"/>
    </font>
    <font>
      <sz val="8.0"/>
      <color theme="1"/>
      <name val="M PLUS 1p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75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medium">
        <color rgb="FF999999"/>
      </left>
      <top style="medium">
        <color rgb="FF999999"/>
      </top>
    </border>
    <border>
      <right style="medium">
        <color rgb="FFFFFFFF"/>
      </right>
      <top style="medium">
        <color rgb="FF999999"/>
      </top>
    </border>
    <border>
      <left style="medium">
        <color rgb="FFFFFFFF"/>
      </left>
      <top style="medium">
        <color rgb="FF999999"/>
      </top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bottom style="thin">
        <color rgb="FFFCE5CD"/>
      </bottom>
    </border>
    <border>
      <bottom style="thin">
        <color rgb="FFFCE5CD"/>
      </bottom>
    </border>
    <border>
      <right style="thick">
        <color rgb="FFFFFFFF"/>
      </right>
      <bottom style="thin">
        <color rgb="FFFCE5CD"/>
      </bottom>
    </border>
    <border>
      <left style="medium">
        <color rgb="FF999999"/>
      </left>
      <bottom style="medium">
        <color rgb="FF999999"/>
      </bottom>
    </border>
    <border>
      <right style="medium">
        <color rgb="FFFFFFFF"/>
      </right>
      <bottom style="medium">
        <color rgb="FF999999"/>
      </bottom>
    </border>
    <border>
      <left style="medium">
        <color rgb="FFFFFFFF"/>
      </left>
      <bottom style="medium">
        <color rgb="FF999999"/>
      </bottom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thick">
        <color rgb="FFFFFFFF"/>
      </left>
      <top style="thin">
        <color rgb="FFFCE5CD"/>
      </top>
      <bottom style="thin">
        <color rgb="FFFCE5CD"/>
      </bottom>
    </border>
    <border>
      <top style="thin">
        <color rgb="FFFCE5CD"/>
      </top>
      <bottom style="thin">
        <color rgb="FFFCE5CD"/>
      </bottom>
    </border>
    <border>
      <right style="thick">
        <color rgb="FFFFFFFF"/>
      </right>
      <top style="thin">
        <color rgb="FFFCE5CD"/>
      </top>
      <bottom style="thin">
        <color rgb="FFFCE5CD"/>
      </bottom>
    </border>
    <border>
      <left style="thick">
        <color rgb="FFFFFFFF"/>
      </left>
      <top style="thin">
        <color rgb="FFFCE5CD"/>
      </top>
    </border>
    <border>
      <top style="thin">
        <color rgb="FFFCE5CD"/>
      </top>
    </border>
    <border>
      <right style="thick">
        <color rgb="FFFFFFFF"/>
      </right>
      <top style="thin">
        <color rgb="FFFCE5CD"/>
      </top>
    </border>
    <border>
      <right style="thin">
        <color rgb="FFFCE5CD"/>
      </right>
      <top style="thin">
        <color rgb="FFFCE5CD"/>
      </top>
    </border>
    <border>
      <left style="thin">
        <color rgb="FFFCE5CD"/>
      </left>
      <top style="thin">
        <color rgb="FFFCE5CD"/>
      </top>
    </border>
    <border>
      <right style="thin">
        <color rgb="FFFCE5CD"/>
      </right>
      <bottom style="thin">
        <color rgb="FFFCE5CD"/>
      </bottom>
    </border>
    <border>
      <left style="thin">
        <color rgb="FFFCE5CD"/>
      </left>
      <bottom style="thin">
        <color rgb="FFFCE5CD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bottom style="thin">
        <color rgb="FFD9EAD3"/>
      </bottom>
    </border>
    <border>
      <bottom style="thin">
        <color rgb="FFD9EAD3"/>
      </bottom>
    </border>
    <border>
      <right style="thick">
        <color rgb="FFFFFFFF"/>
      </right>
      <bottom style="thin">
        <color rgb="FFD9EAD3"/>
      </bottom>
    </border>
    <border>
      <left style="thick">
        <color rgb="FFFFFFFF"/>
      </left>
      <top style="thin">
        <color rgb="FFD9EAD3"/>
      </top>
      <bottom style="thin">
        <color rgb="FFD9EAD3"/>
      </bottom>
    </border>
    <border>
      <top style="thin">
        <color rgb="FFD9EAD3"/>
      </top>
      <bottom style="thin">
        <color rgb="FFD9EAD3"/>
      </bottom>
    </border>
    <border>
      <right style="thick">
        <color rgb="FFFFFFFF"/>
      </right>
      <top style="thin">
        <color rgb="FFD9EAD3"/>
      </top>
      <bottom style="thin">
        <color rgb="FFD9EAD3"/>
      </bottom>
    </border>
    <border>
      <left style="thick">
        <color rgb="FFFFFFFF"/>
      </left>
      <top style="thin">
        <color rgb="FFD9EAD3"/>
      </top>
    </border>
    <border>
      <top style="thin">
        <color rgb="FFD9EAD3"/>
      </top>
    </border>
    <border>
      <right style="thick">
        <color rgb="FFFFFFFF"/>
      </right>
      <top style="thin">
        <color rgb="FFD9EAD3"/>
      </top>
    </border>
    <border>
      <right style="thin">
        <color rgb="FFD9EAD3"/>
      </right>
      <top style="thin">
        <color rgb="FFD9EAD3"/>
      </top>
    </border>
    <border>
      <left style="thin">
        <color rgb="FFD9EAD3"/>
      </left>
      <top style="thin">
        <color rgb="FFD9EAD3"/>
      </top>
    </border>
    <border>
      <right style="thin">
        <color rgb="FFD9EAD3"/>
      </right>
      <bottom style="thin">
        <color rgb="FFD9EAD3"/>
      </bottom>
    </border>
    <border>
      <left style="thin">
        <color rgb="FFD9EAD3"/>
      </left>
      <bottom style="thin">
        <color rgb="FFD9EAD3"/>
      </bottom>
    </border>
    <border>
      <right style="medium">
        <color rgb="FFFFFFFF"/>
      </right>
      <bottom style="medium">
        <color rgb="FFFFFFFF"/>
      </bottom>
    </border>
    <border>
      <left style="thick">
        <color rgb="FFFFFFFF"/>
      </left>
      <bottom style="medium">
        <color rgb="FFCFE2F3"/>
      </bottom>
    </border>
    <border>
      <bottom style="medium">
        <color rgb="FFCFE2F3"/>
      </bottom>
    </border>
    <border>
      <right style="thick">
        <color rgb="FFFFFFFF"/>
      </right>
      <bottom style="medium">
        <color rgb="FFCFE2F3"/>
      </bottom>
    </border>
    <border>
      <left style="thick">
        <color rgb="FFFFFFFF"/>
      </left>
      <top style="medium">
        <color rgb="FFCFE2F3"/>
      </top>
      <bottom style="medium">
        <color rgb="FFCFE2F3"/>
      </bottom>
    </border>
    <border>
      <top style="medium">
        <color rgb="FFCFE2F3"/>
      </top>
      <bottom style="medium">
        <color rgb="FFCFE2F3"/>
      </bottom>
    </border>
    <border>
      <right style="thick">
        <color rgb="FFFFFFFF"/>
      </right>
      <top style="medium">
        <color rgb="FFCFE2F3"/>
      </top>
      <bottom style="medium">
        <color rgb="FFCFE2F3"/>
      </bottom>
    </border>
    <border>
      <left style="thick">
        <color rgb="FFFFFFFF"/>
      </left>
      <top style="medium">
        <color rgb="FFCFE2F3"/>
      </top>
    </border>
    <border>
      <top style="medium">
        <color rgb="FFCFE2F3"/>
      </top>
    </border>
    <border>
      <right style="thick">
        <color rgb="FFFFFFFF"/>
      </right>
      <top style="medium">
        <color rgb="FFCFE2F3"/>
      </top>
    </border>
    <border>
      <right style="medium">
        <color rgb="FFCFE2F3"/>
      </right>
      <top style="medium">
        <color rgb="FFCFE2F3"/>
      </top>
    </border>
    <border>
      <left style="medium">
        <color rgb="FFCFE2F3"/>
      </left>
      <top style="medium">
        <color rgb="FFCFE2F3"/>
      </top>
    </border>
    <border>
      <right style="medium">
        <color rgb="FFCFE2F3"/>
      </right>
      <bottom style="medium">
        <color rgb="FFCFE2F3"/>
      </bottom>
    </border>
    <border>
      <left style="medium">
        <color rgb="FFCFE2F3"/>
      </left>
      <bottom style="medium">
        <color rgb="FFCF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FFFF"/>
      </right>
      <top style="thick">
        <color rgb="FFFFFFFF"/>
      </top>
    </border>
    <border>
      <right style="medium">
        <color rgb="FFFFFFFF"/>
      </right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right style="medium">
        <color rgb="FFFFFFFF"/>
      </right>
      <top style="medium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999999"/>
      </left>
    </border>
    <border>
      <right style="medium">
        <color rgb="FF999999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2" numFmtId="9" xfId="0" applyAlignment="1" applyBorder="1" applyFill="1" applyFont="1" applyNumberForma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3" numFmtId="0" xfId="0" applyBorder="1" applyFont="1"/>
    <xf borderId="9" fillId="0" fontId="5" numFmtId="0" xfId="0" applyAlignment="1" applyBorder="1" applyFont="1">
      <alignment horizontal="right" vertical="center"/>
    </xf>
    <xf borderId="9" fillId="0" fontId="5" numFmtId="0" xfId="0" applyAlignment="1" applyBorder="1" applyFont="1">
      <alignment horizontal="left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2" fontId="2" numFmtId="3" xfId="0" applyAlignment="1" applyBorder="1" applyFont="1" applyNumberFormat="1">
      <alignment horizontal="center" readingOrder="0" vertical="center"/>
    </xf>
    <xf borderId="24" fillId="0" fontId="3" numFmtId="0" xfId="0" applyBorder="1" applyFont="1"/>
    <xf borderId="25" fillId="0" fontId="3" numFmtId="0" xfId="0" applyBorder="1" applyFont="1"/>
    <xf borderId="26" fillId="2" fontId="6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3" fillId="0" fontId="4" numFmtId="0" xfId="0" applyAlignment="1" applyBorder="1" applyFont="1">
      <alignment horizontal="center" readingOrder="0" vertical="center"/>
    </xf>
    <xf borderId="26" fillId="2" fontId="6" numFmtId="0" xfId="0" applyAlignment="1" applyBorder="1" applyFont="1">
      <alignment horizontal="center" readingOrder="0" shrinkToFit="0" vertical="center" wrapText="1"/>
    </xf>
    <xf borderId="26" fillId="2" fontId="5" numFmtId="0" xfId="0" applyAlignment="1" applyBorder="1" applyFont="1">
      <alignment horizontal="center" readingOrder="0" vertical="center"/>
    </xf>
    <xf borderId="29" fillId="0" fontId="3" numFmtId="0" xfId="0" applyBorder="1" applyFont="1"/>
    <xf borderId="30" fillId="2" fontId="5" numFmtId="0" xfId="0" applyAlignment="1" applyBorder="1" applyFont="1">
      <alignment horizontal="center" readingOrder="0" vertical="center"/>
    </xf>
    <xf borderId="31" fillId="0" fontId="3" numFmtId="0" xfId="0" applyBorder="1" applyFont="1"/>
    <xf borderId="32" fillId="0" fontId="3" numFmtId="0" xfId="0" applyBorder="1" applyFont="1"/>
    <xf borderId="26" fillId="2" fontId="7" numFmtId="0" xfId="0" applyAlignment="1" applyBorder="1" applyFont="1">
      <alignment horizontal="center" readingOrder="0" vertical="center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1" fillId="0" fontId="8" numFmtId="0" xfId="0" applyAlignment="1" applyBorder="1" applyFont="1">
      <alignment horizontal="center" readingOrder="0" vertical="center"/>
    </xf>
    <xf borderId="36" fillId="0" fontId="8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center" readingOrder="0" vertical="center"/>
    </xf>
    <xf borderId="4" fillId="3" fontId="2" numFmtId="9" xfId="0" applyAlignment="1" applyBorder="1" applyFill="1" applyFont="1" applyNumberFormat="1">
      <alignment horizontal="center" readingOrder="0" vertical="center"/>
    </xf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3" fontId="2" numFmtId="3" xfId="0" applyAlignment="1" applyBorder="1" applyFont="1" applyNumberForma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3" fontId="6" numFmtId="0" xfId="0" applyAlignment="1" applyBorder="1" applyFont="1">
      <alignment horizontal="center" vertical="center"/>
    </xf>
    <xf borderId="44" fillId="0" fontId="3" numFmtId="0" xfId="0" applyBorder="1" applyFont="1"/>
    <xf borderId="45" fillId="0" fontId="3" numFmtId="0" xfId="0" applyBorder="1" applyFont="1"/>
    <xf borderId="43" fillId="3" fontId="6" numFmtId="0" xfId="0" applyAlignment="1" applyBorder="1" applyFont="1">
      <alignment horizontal="center" readingOrder="0" shrinkToFit="0" vertical="center" wrapText="1"/>
    </xf>
    <xf borderId="43" fillId="3" fontId="9" numFmtId="0" xfId="0" applyAlignment="1" applyBorder="1" applyFont="1">
      <alignment horizontal="center" readingOrder="0" shrinkToFit="0" vertical="center" wrapText="1"/>
    </xf>
    <xf borderId="43" fillId="3" fontId="2" numFmtId="0" xfId="0" applyAlignment="1" applyBorder="1" applyFont="1">
      <alignment horizontal="center" readingOrder="0" vertical="center"/>
    </xf>
    <xf borderId="46" fillId="0" fontId="3" numFmtId="0" xfId="0" applyBorder="1" applyFont="1"/>
    <xf borderId="47" fillId="3" fontId="5" numFmtId="0" xfId="0" applyAlignment="1" applyBorder="1" applyFont="1">
      <alignment horizontal="center" readingOrder="0" vertical="center"/>
    </xf>
    <xf borderId="43" fillId="3" fontId="5" numFmtId="0" xfId="0" applyAlignment="1" applyBorder="1" applyFont="1">
      <alignment horizontal="center" readingOrder="0" vertical="center"/>
    </xf>
    <xf borderId="48" fillId="0" fontId="3" numFmtId="0" xfId="0" applyBorder="1" applyFont="1"/>
    <xf borderId="49" fillId="0" fontId="3" numFmtId="0" xfId="0" applyBorder="1" applyFont="1"/>
    <xf borderId="43" fillId="3" fontId="7" numFmtId="0" xfId="0" applyAlignment="1" applyBorder="1" applyFont="1">
      <alignment horizontal="center" readingOrder="0" vertical="center"/>
    </xf>
    <xf borderId="4" fillId="4" fontId="2" numFmtId="9" xfId="0" applyAlignment="1" applyBorder="1" applyFill="1" applyFont="1" applyNumberFormat="1">
      <alignment horizontal="center" readingOrder="0" vertical="center"/>
    </xf>
    <xf borderId="13" fillId="4" fontId="2" numFmtId="9" xfId="0" applyAlignment="1" applyBorder="1" applyFont="1" applyNumberForma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4" fontId="2" numFmtId="3" xfId="0" applyAlignment="1" applyBorder="1" applyFont="1" applyNumberFormat="1">
      <alignment horizontal="center" readingOrder="0" vertical="center"/>
    </xf>
    <xf borderId="55" fillId="0" fontId="3" numFmtId="0" xfId="0" applyBorder="1" applyFont="1"/>
    <xf borderId="56" fillId="0" fontId="3" numFmtId="0" xfId="0" applyBorder="1" applyFont="1"/>
    <xf borderId="57" fillId="4" fontId="6" numFmtId="0" xfId="0" applyAlignment="1" applyBorder="1" applyFont="1">
      <alignment horizontal="center" vertical="center"/>
    </xf>
    <xf borderId="58" fillId="0" fontId="3" numFmtId="0" xfId="0" applyBorder="1" applyFont="1"/>
    <xf borderId="59" fillId="0" fontId="3" numFmtId="0" xfId="0" applyBorder="1" applyFont="1"/>
    <xf borderId="57" fillId="4" fontId="6" numFmtId="0" xfId="0" applyAlignment="1" applyBorder="1" applyFont="1">
      <alignment horizontal="center" readingOrder="0" shrinkToFit="0" vertical="center" wrapText="1"/>
    </xf>
    <xf borderId="57" fillId="4" fontId="5" numFmtId="0" xfId="0" applyAlignment="1" applyBorder="1" applyFont="1">
      <alignment horizontal="center" readingOrder="0" vertical="center"/>
    </xf>
    <xf borderId="60" fillId="0" fontId="3" numFmtId="0" xfId="0" applyBorder="1" applyFont="1"/>
    <xf borderId="61" fillId="4" fontId="5" numFmtId="0" xfId="0" applyAlignment="1" applyBorder="1" applyFont="1">
      <alignment horizontal="center" readingOrder="0" vertical="center"/>
    </xf>
    <xf borderId="62" fillId="0" fontId="3" numFmtId="0" xfId="0" applyBorder="1" applyFont="1"/>
    <xf borderId="63" fillId="0" fontId="3" numFmtId="0" xfId="0" applyBorder="1" applyFont="1"/>
    <xf borderId="57" fillId="4" fontId="7" numFmtId="0" xfId="0" applyAlignment="1" applyBorder="1" applyFont="1">
      <alignment horizontal="center" readingOrder="0" vertical="center"/>
    </xf>
    <xf borderId="64" fillId="0" fontId="10" numFmtId="0" xfId="0" applyAlignment="1" applyBorder="1" applyFont="1">
      <alignment readingOrder="0" vertical="center"/>
    </xf>
    <xf borderId="64" fillId="0" fontId="10" numFmtId="3" xfId="0" applyAlignment="1" applyBorder="1" applyFont="1" applyNumberFormat="1">
      <alignment readingOrder="0" vertical="center"/>
    </xf>
    <xf borderId="64" fillId="0" fontId="10" numFmtId="0" xfId="0" applyAlignment="1" applyBorder="1" applyFont="1">
      <alignment horizontal="center" readingOrder="0" vertical="center"/>
    </xf>
    <xf borderId="64" fillId="0" fontId="10" numFmtId="0" xfId="0" applyAlignment="1" applyBorder="1" applyFont="1">
      <alignment vertical="center"/>
    </xf>
    <xf borderId="64" fillId="0" fontId="10" numFmtId="9" xfId="0" applyAlignment="1" applyBorder="1" applyFont="1" applyNumberFormat="1">
      <alignment readingOrder="0" vertical="center"/>
    </xf>
    <xf borderId="64" fillId="0" fontId="10" numFmtId="3" xfId="0" applyAlignment="1" applyBorder="1" applyFont="1" applyNumberFormat="1">
      <alignment vertical="center"/>
    </xf>
    <xf borderId="64" fillId="5" fontId="10" numFmtId="0" xfId="0" applyAlignment="1" applyBorder="1" applyFill="1" applyFont="1">
      <alignment horizontal="center" vertical="center"/>
    </xf>
    <xf borderId="64" fillId="0" fontId="10" numFmtId="0" xfId="0" applyAlignment="1" applyBorder="1" applyFont="1">
      <alignment horizontal="center" vertical="center"/>
    </xf>
    <xf borderId="64" fillId="0" fontId="11" numFmtId="0" xfId="0" applyAlignment="1" applyBorder="1" applyFont="1">
      <alignment readingOrder="0" vertical="center"/>
    </xf>
    <xf borderId="64" fillId="0" fontId="11" numFmtId="0" xfId="0" applyAlignment="1" applyBorder="1" applyFont="1">
      <alignment horizontal="left" readingOrder="0" vertical="center"/>
    </xf>
    <xf borderId="64" fillId="0" fontId="11" numFmtId="0" xfId="0" applyAlignment="1" applyBorder="1" applyFont="1">
      <alignment horizontal="center" readingOrder="0" vertical="center"/>
    </xf>
    <xf borderId="64" fillId="0" fontId="12" numFmtId="164" xfId="0" applyAlignment="1" applyBorder="1" applyFont="1" applyNumberFormat="1">
      <alignment horizontal="center" readingOrder="0" vertical="center"/>
    </xf>
    <xf borderId="64" fillId="0" fontId="12" numFmtId="165" xfId="0" applyAlignment="1" applyBorder="1" applyFont="1" applyNumberFormat="1">
      <alignment horizontal="center" readingOrder="0" vertical="center"/>
    </xf>
    <xf borderId="4" fillId="2" fontId="13" numFmtId="9" xfId="0" applyAlignment="1" applyBorder="1" applyFont="1" applyNumberFormat="1">
      <alignment horizontal="center" readingOrder="0" vertical="center"/>
    </xf>
    <xf borderId="65" fillId="0" fontId="3" numFmtId="0" xfId="0" applyBorder="1" applyFont="1"/>
    <xf borderId="1" fillId="0" fontId="14" numFmtId="0" xfId="0" applyAlignment="1" applyBorder="1" applyFont="1">
      <alignment horizontal="center" readingOrder="0" vertical="center"/>
    </xf>
    <xf borderId="66" fillId="0" fontId="3" numFmtId="0" xfId="0" applyBorder="1" applyFont="1"/>
    <xf borderId="67" fillId="0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6" fillId="0" fontId="1" numFmtId="0" xfId="0" applyAlignment="1" applyBorder="1" applyFont="1">
      <alignment horizontal="center" readingOrder="0" vertical="center"/>
    </xf>
    <xf borderId="68" fillId="0" fontId="1" numFmtId="0" xfId="0" applyAlignment="1" applyBorder="1" applyFont="1">
      <alignment horizontal="center" readingOrder="0" vertical="center"/>
    </xf>
    <xf borderId="69" fillId="0" fontId="1" numFmtId="0" xfId="0" applyAlignment="1" applyBorder="1" applyFont="1">
      <alignment horizontal="center" readingOrder="0" vertical="center"/>
    </xf>
    <xf borderId="70" fillId="0" fontId="1" numFmtId="0" xfId="0" applyAlignment="1" applyBorder="1" applyFont="1">
      <alignment horizontal="center" readingOrder="0" vertical="center"/>
    </xf>
    <xf borderId="71" fillId="2" fontId="13" numFmtId="9" xfId="0" applyAlignment="1" applyBorder="1" applyFont="1" applyNumberFormat="1">
      <alignment horizontal="center" readingOrder="0" vertical="center"/>
    </xf>
    <xf borderId="71" fillId="2" fontId="6" numFmtId="0" xfId="0" applyAlignment="1" applyBorder="1" applyFont="1">
      <alignment horizontal="center" vertical="center"/>
    </xf>
    <xf borderId="71" fillId="2" fontId="6" numFmtId="0" xfId="0" applyAlignment="1" applyBorder="1" applyFont="1">
      <alignment horizontal="left" readingOrder="0" shrinkToFit="0" vertical="center" wrapText="1"/>
    </xf>
    <xf borderId="71" fillId="2" fontId="13" numFmtId="3" xfId="0" applyAlignment="1" applyBorder="1" applyFont="1" applyNumberFormat="1">
      <alignment horizontal="center" readingOrder="0" vertical="center"/>
    </xf>
    <xf borderId="64" fillId="2" fontId="13" numFmtId="0" xfId="0" applyAlignment="1" applyBorder="1" applyFont="1">
      <alignment horizontal="center" readingOrder="0" vertical="center"/>
    </xf>
    <xf borderId="71" fillId="2" fontId="13" numFmtId="0" xfId="0" applyAlignment="1" applyBorder="1" applyFont="1">
      <alignment horizontal="center" readingOrder="0" vertical="center"/>
    </xf>
    <xf borderId="5" fillId="2" fontId="2" numFmtId="9" xfId="0" applyAlignment="1" applyBorder="1" applyFont="1" applyNumberFormat="1">
      <alignment horizontal="center" readingOrder="0" vertical="center"/>
    </xf>
    <xf borderId="6" fillId="2" fontId="2" numFmtId="9" xfId="0" applyAlignment="1" applyBorder="1" applyFont="1" applyNumberFormat="1">
      <alignment horizontal="center" readingOrder="0" vertical="center"/>
    </xf>
    <xf borderId="72" fillId="0" fontId="3" numFmtId="0" xfId="0" applyBorder="1" applyFont="1"/>
    <xf borderId="0" fillId="2" fontId="2" numFmtId="9" xfId="0" applyAlignment="1" applyFont="1" applyNumberFormat="1">
      <alignment horizontal="center" readingOrder="0" vertical="center"/>
    </xf>
    <xf borderId="14" fillId="2" fontId="2" numFmtId="9" xfId="0" applyAlignment="1" applyBorder="1" applyFont="1" applyNumberFormat="1">
      <alignment horizontal="center" readingOrder="0" vertical="center"/>
    </xf>
    <xf borderId="73" fillId="0" fontId="3" numFmtId="0" xfId="0" applyBorder="1" applyFont="1"/>
    <xf borderId="69" fillId="0" fontId="3" numFmtId="0" xfId="0" applyBorder="1" applyFont="1"/>
    <xf borderId="74" fillId="0" fontId="3" numFmtId="0" xfId="0" applyBorder="1" applyFont="1"/>
    <xf borderId="16" fillId="2" fontId="2" numFmtId="9" xfId="0" applyAlignment="1" applyBorder="1" applyFont="1" applyNumberFormat="1">
      <alignment horizontal="center" readingOrder="0" vertical="center"/>
    </xf>
    <xf borderId="17" fillId="2" fontId="2" numFmtId="9" xfId="0" applyAlignment="1" applyBorder="1" applyFont="1" applyNumberFormat="1">
      <alignment horizontal="center" readingOrder="0" vertical="center"/>
    </xf>
    <xf borderId="24" fillId="2" fontId="2" numFmtId="3" xfId="0" applyAlignment="1" applyBorder="1" applyFont="1" applyNumberFormat="1">
      <alignment horizontal="center" readingOrder="0" vertical="center"/>
    </xf>
    <xf borderId="25" fillId="2" fontId="2" numFmtId="3" xfId="0" applyAlignment="1" applyBorder="1" applyFont="1" applyNumberFormat="1">
      <alignment horizontal="center" readingOrder="0" vertical="center"/>
    </xf>
    <xf borderId="27" fillId="2" fontId="6" numFmtId="0" xfId="0" applyAlignment="1" applyBorder="1" applyFont="1">
      <alignment horizontal="center" vertical="center"/>
    </xf>
    <xf borderId="28" fillId="2" fontId="6" numFmtId="0" xfId="0" applyAlignment="1" applyBorder="1" applyFont="1">
      <alignment horizontal="center" vertical="center"/>
    </xf>
    <xf borderId="0" fillId="2" fontId="6" numFmtId="0" xfId="0" applyAlignment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67" fillId="0" fontId="15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27" fillId="2" fontId="6" numFmtId="0" xfId="0" applyAlignment="1" applyBorder="1" applyFont="1">
      <alignment horizontal="center" readingOrder="0" shrinkToFit="0" vertical="center" wrapText="1"/>
    </xf>
    <xf borderId="28" fillId="2" fontId="6" numFmtId="0" xfId="0" applyAlignment="1" applyBorder="1" applyFont="1">
      <alignment horizontal="center" readingOrder="0" shrinkToFit="0" vertical="center" wrapText="1"/>
    </xf>
    <xf borderId="16" fillId="2" fontId="6" numFmtId="0" xfId="0" applyAlignment="1" applyBorder="1" applyFont="1">
      <alignment horizontal="center" readingOrder="0" shrinkToFit="0" vertical="center" wrapText="1"/>
    </xf>
    <xf borderId="17" fillId="2" fontId="6" numFmtId="0" xfId="0" applyAlignment="1" applyBorder="1" applyFont="1">
      <alignment horizontal="center" readingOrder="0" shrinkToFit="0" vertical="center" wrapText="1"/>
    </xf>
    <xf borderId="27" fillId="2" fontId="7" numFmtId="0" xfId="0" applyAlignment="1" applyBorder="1" applyFont="1">
      <alignment horizontal="center" readingOrder="0" vertical="center"/>
    </xf>
    <xf borderId="28" fillId="2" fontId="7" numFmtId="0" xfId="0" applyAlignment="1" applyBorder="1" applyFont="1">
      <alignment horizontal="center" readingOrder="0" vertical="center"/>
    </xf>
    <xf borderId="34" fillId="2" fontId="7" numFmtId="0" xfId="0" applyAlignment="1" applyBorder="1" applyFont="1">
      <alignment horizontal="center" readingOrder="0" vertical="center"/>
    </xf>
    <xf borderId="35" fillId="2" fontId="7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horizontal="center" readingOrder="0" vertical="center"/>
    </xf>
    <xf borderId="36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1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EEE7A"/>
          <bgColor rgb="FFDEEE7A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CE762D"/>
          <bgColor rgb="FFCE762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7C7D3"/>
          <bgColor rgb="FFF7C7D3"/>
        </patternFill>
      </fill>
      <border/>
    </dxf>
    <dxf>
      <font/>
      <fill>
        <patternFill patternType="solid">
          <fgColor rgb="FFF6DC2E"/>
          <bgColor rgb="FFF6DC2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13.jpg"/><Relationship Id="rId13" Type="http://schemas.openxmlformats.org/officeDocument/2006/relationships/image" Target="../media/image4.jpg"/><Relationship Id="rId12" Type="http://schemas.openxmlformats.org/officeDocument/2006/relationships/image" Target="../media/image12.jpg"/><Relationship Id="rId1" Type="http://schemas.openxmlformats.org/officeDocument/2006/relationships/image" Target="../media/image3.jpg"/><Relationship Id="rId2" Type="http://schemas.openxmlformats.org/officeDocument/2006/relationships/image" Target="../media/image5.jpg"/><Relationship Id="rId3" Type="http://schemas.openxmlformats.org/officeDocument/2006/relationships/image" Target="../media/image15.jpg"/><Relationship Id="rId4" Type="http://schemas.openxmlformats.org/officeDocument/2006/relationships/image" Target="../media/image2.jpg"/><Relationship Id="rId9" Type="http://schemas.openxmlformats.org/officeDocument/2006/relationships/image" Target="../media/image10.jpg"/><Relationship Id="rId15" Type="http://schemas.openxmlformats.org/officeDocument/2006/relationships/image" Target="../media/image6.jpg"/><Relationship Id="rId14" Type="http://schemas.openxmlformats.org/officeDocument/2006/relationships/image" Target="../media/image1.jpg"/><Relationship Id="rId5" Type="http://schemas.openxmlformats.org/officeDocument/2006/relationships/image" Target="../media/image11.jpg"/><Relationship Id="rId6" Type="http://schemas.openxmlformats.org/officeDocument/2006/relationships/image" Target="../media/image14.jpg"/><Relationship Id="rId7" Type="http://schemas.openxmlformats.org/officeDocument/2006/relationships/image" Target="../media/image9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2" width="2.6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1"/>
      <c r="CM1" s="1"/>
      <c r="CN1" s="1"/>
      <c r="CO1" s="1"/>
      <c r="CP1" s="1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1"/>
      <c r="DG1" s="1"/>
      <c r="DH1" s="1"/>
      <c r="DI1" s="1"/>
      <c r="DJ1" s="1"/>
      <c r="DK1" s="2"/>
      <c r="DL1" s="2"/>
      <c r="DM1" s="2"/>
      <c r="DN1" s="2"/>
      <c r="DO1" s="2"/>
      <c r="DP1" s="2"/>
      <c r="DQ1" s="2"/>
      <c r="DR1" s="2"/>
    </row>
    <row r="2" ht="15.0" customHeight="1">
      <c r="A2" s="3"/>
      <c r="B2" s="4" t="str">
        <f t="array" ref="B2">XLOOKUP("拌拌咖哩",'食譜'!B:B,'食譜'!A:A,"")</f>
        <v/>
      </c>
      <c r="C2" s="5"/>
      <c r="D2" s="5"/>
      <c r="E2" s="6"/>
      <c r="F2" s="4">
        <f t="array" ref="F2">XLOOKUP(F8,'食譜'!$B:$B,'食譜'!$F:$F,"")</f>
        <v>0.16</v>
      </c>
      <c r="G2" s="5"/>
      <c r="H2" s="5"/>
      <c r="I2" s="6"/>
      <c r="J2" s="4">
        <f t="array" ref="J2">XLOOKUP(J8,'食譜'!$B:$B,'食譜'!$F:$F,"")</f>
        <v>0.19</v>
      </c>
      <c r="K2" s="5"/>
      <c r="L2" s="5"/>
      <c r="M2" s="6"/>
      <c r="N2" s="4">
        <f t="array" ref="N2">XLOOKUP(N8,'食譜'!$B:$B,'食譜'!$F:$F,"")</f>
        <v>0.19</v>
      </c>
      <c r="O2" s="5"/>
      <c r="P2" s="5"/>
      <c r="Q2" s="6"/>
      <c r="R2" s="4">
        <f t="array" ref="R2">XLOOKUP(R8,'食譜'!$B:$B,'食譜'!$F:$F,"")</f>
        <v>0.19</v>
      </c>
      <c r="S2" s="5"/>
      <c r="T2" s="5"/>
      <c r="U2" s="6"/>
      <c r="V2" s="4">
        <f t="array" ref="V2">XLOOKUP(V8,'食譜'!$B:$B,'食譜'!$F:$F,"")</f>
        <v>0.19</v>
      </c>
      <c r="W2" s="5"/>
      <c r="X2" s="5"/>
      <c r="Y2" s="6"/>
      <c r="Z2" s="4">
        <f t="array" ref="Z2">XLOOKUP(Z8,'食譜'!$B:$B,'食譜'!$F:$F,"")</f>
        <v>0.19</v>
      </c>
      <c r="AA2" s="5"/>
      <c r="AB2" s="5"/>
      <c r="AC2" s="6"/>
      <c r="AD2" s="4">
        <f t="array" ref="AD2">XLOOKUP(AD8,'食譜'!$B:$B,'食譜'!$F:$F,"")</f>
        <v>0.19</v>
      </c>
      <c r="AE2" s="5"/>
      <c r="AF2" s="5"/>
      <c r="AG2" s="6"/>
      <c r="AH2" s="4">
        <f t="array" ref="AH2">XLOOKUP(AH8,'食譜'!$B:$B,'食譜'!$F:$F,"")</f>
        <v>0.19</v>
      </c>
      <c r="AI2" s="5"/>
      <c r="AJ2" s="5"/>
      <c r="AK2" s="6"/>
      <c r="AL2" s="4">
        <f t="array" ref="AL2">XLOOKUP(AL8,'食譜'!$B:$B,'食譜'!$F:$F,"")</f>
        <v>0.2</v>
      </c>
      <c r="AM2" s="5"/>
      <c r="AN2" s="5"/>
      <c r="AO2" s="6"/>
      <c r="AP2" s="4">
        <f t="array" ref="AP2">XLOOKUP(AP8,'食譜'!$B:$B,'食譜'!$F:$F,"")</f>
        <v>0.21</v>
      </c>
      <c r="AQ2" s="5"/>
      <c r="AR2" s="5"/>
      <c r="AS2" s="6"/>
      <c r="AT2" s="4">
        <f t="array" ref="AT2">XLOOKUP(AT8,'食譜'!$B:$B,'食譜'!$F:$F,"")</f>
        <v>0.2</v>
      </c>
      <c r="AU2" s="5"/>
      <c r="AV2" s="5"/>
      <c r="AW2" s="6"/>
      <c r="AX2" s="4">
        <f t="array" ref="AX2">XLOOKUP(AX8,'食譜'!$B:$B,'食譜'!$F:$F,"")</f>
        <v>0.25</v>
      </c>
      <c r="AY2" s="5"/>
      <c r="AZ2" s="5"/>
      <c r="BA2" s="6"/>
      <c r="BB2" s="4">
        <f t="array" ref="BB2">XLOOKUP(BB8,'食譜'!$B:$B,'食譜'!$F:$F,"")</f>
        <v>0.25</v>
      </c>
      <c r="BC2" s="5"/>
      <c r="BD2" s="5"/>
      <c r="BE2" s="6"/>
      <c r="BF2" s="4">
        <f t="array" ref="BF2">XLOOKUP(BF8,'食譜'!$B:$B,'食譜'!$F:$F,"")</f>
        <v>0.35</v>
      </c>
      <c r="BG2" s="5"/>
      <c r="BH2" s="5"/>
      <c r="BI2" s="6"/>
      <c r="BJ2" s="4">
        <f t="array" ref="BJ2">XLOOKUP(BJ8,'食譜'!$B:$B,'食譜'!$F:$F,"")</f>
        <v>0.25</v>
      </c>
      <c r="BK2" s="5"/>
      <c r="BL2" s="5"/>
      <c r="BM2" s="6"/>
      <c r="BN2" s="4">
        <f t="array" ref="BN2">XLOOKUP(BN8,'食譜'!$B:$B,'食譜'!$F:$F,"")</f>
        <v>0.25</v>
      </c>
      <c r="BO2" s="5"/>
      <c r="BP2" s="5"/>
      <c r="BQ2" s="6"/>
      <c r="BR2" s="4">
        <f t="array" ref="BR2">XLOOKUP(BR8,'食譜'!$B:$B,'食譜'!$F:$F,"")</f>
        <v>0.35</v>
      </c>
      <c r="BS2" s="5"/>
      <c r="BT2" s="5"/>
      <c r="BU2" s="6"/>
      <c r="BV2" s="4">
        <f t="array" ref="BV2">XLOOKUP(BV8,'食譜'!$B:$B,'食譜'!$F:$F,"")</f>
        <v>0.48</v>
      </c>
      <c r="BW2" s="5"/>
      <c r="BX2" s="5"/>
      <c r="BY2" s="6"/>
      <c r="BZ2" s="4">
        <f t="array" ref="BZ2">XLOOKUP(BZ8,'食譜'!$B:$B,'食譜'!$F:$F,"")</f>
        <v>0.48</v>
      </c>
      <c r="CA2" s="5"/>
      <c r="CB2" s="5"/>
      <c r="CC2" s="6"/>
      <c r="CD2" s="4">
        <f t="array" ref="CD2">XLOOKUP(CD8,'食譜'!$B:$B,'食譜'!$F:$F,"")</f>
        <v>0.48</v>
      </c>
      <c r="CE2" s="5"/>
      <c r="CF2" s="5"/>
      <c r="CG2" s="6"/>
      <c r="CH2" s="4">
        <f t="array" ref="CH2">XLOOKUP(CH8,'食譜'!$B:$B,'食譜'!$F:$F,"")</f>
        <v>0.61</v>
      </c>
      <c r="CI2" s="5"/>
      <c r="CJ2" s="5"/>
      <c r="CK2" s="6"/>
      <c r="CL2" s="4">
        <f t="array" ref="CL2">XLOOKUP(CL8,'食譜'!$B:$B,'食譜'!$F:$F,"")</f>
        <v>0.61</v>
      </c>
      <c r="CM2" s="5"/>
      <c r="CN2" s="5"/>
      <c r="CO2" s="6"/>
      <c r="CP2" s="4">
        <f t="array" ref="CP2">XLOOKUP(CP8,'食譜'!$B:$B,'食譜'!$F:$F,"")</f>
        <v>0.78</v>
      </c>
      <c r="CQ2" s="5"/>
      <c r="CR2" s="5"/>
      <c r="CS2" s="6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7" t="str">
        <f t="array" ref="DG2">XLOOKUP(DK2,'食材'!$B:$B,'食材'!$D:$D,"")</f>
        <v/>
      </c>
      <c r="DH2" s="8"/>
      <c r="DI2" s="9">
        <f t="array" ref="DI2">XLOOKUP(DK2,'食材'!$B:$B,'食材'!$F:$F,"")</f>
        <v>90</v>
      </c>
      <c r="DJ2" s="8"/>
      <c r="DK2" s="10" t="s">
        <v>0</v>
      </c>
      <c r="DL2" s="11"/>
      <c r="DM2" s="11"/>
      <c r="DN2" s="11"/>
      <c r="DO2" s="11"/>
      <c r="DP2" s="11"/>
      <c r="DQ2" s="12"/>
      <c r="DR2" s="13"/>
    </row>
    <row r="3" ht="15.0" customHeight="1">
      <c r="A3" s="3"/>
      <c r="B3" s="14"/>
      <c r="E3" s="15"/>
      <c r="F3" s="16"/>
      <c r="G3" s="17"/>
      <c r="H3" s="17"/>
      <c r="I3" s="18"/>
      <c r="J3" s="16"/>
      <c r="K3" s="17"/>
      <c r="L3" s="17"/>
      <c r="M3" s="18"/>
      <c r="N3" s="16"/>
      <c r="O3" s="17"/>
      <c r="P3" s="17"/>
      <c r="Q3" s="18"/>
      <c r="R3" s="16"/>
      <c r="S3" s="17"/>
      <c r="T3" s="17"/>
      <c r="U3" s="18"/>
      <c r="V3" s="16"/>
      <c r="W3" s="17"/>
      <c r="X3" s="17"/>
      <c r="Y3" s="18"/>
      <c r="Z3" s="16"/>
      <c r="AA3" s="17"/>
      <c r="AB3" s="17"/>
      <c r="AC3" s="18"/>
      <c r="AD3" s="16"/>
      <c r="AE3" s="17"/>
      <c r="AF3" s="17"/>
      <c r="AG3" s="18"/>
      <c r="AH3" s="16"/>
      <c r="AI3" s="17"/>
      <c r="AJ3" s="17"/>
      <c r="AK3" s="18"/>
      <c r="AL3" s="16"/>
      <c r="AM3" s="17"/>
      <c r="AN3" s="17"/>
      <c r="AO3" s="18"/>
      <c r="AP3" s="16"/>
      <c r="AQ3" s="17"/>
      <c r="AR3" s="17"/>
      <c r="AS3" s="18"/>
      <c r="AT3" s="16"/>
      <c r="AU3" s="17"/>
      <c r="AV3" s="17"/>
      <c r="AW3" s="18"/>
      <c r="AX3" s="16"/>
      <c r="AY3" s="17"/>
      <c r="AZ3" s="17"/>
      <c r="BA3" s="18"/>
      <c r="BB3" s="16"/>
      <c r="BC3" s="17"/>
      <c r="BD3" s="17"/>
      <c r="BE3" s="18"/>
      <c r="BF3" s="16"/>
      <c r="BG3" s="17"/>
      <c r="BH3" s="17"/>
      <c r="BI3" s="18"/>
      <c r="BJ3" s="16"/>
      <c r="BK3" s="17"/>
      <c r="BL3" s="17"/>
      <c r="BM3" s="18"/>
      <c r="BN3" s="16"/>
      <c r="BO3" s="17"/>
      <c r="BP3" s="17"/>
      <c r="BQ3" s="18"/>
      <c r="BR3" s="16"/>
      <c r="BS3" s="17"/>
      <c r="BT3" s="17"/>
      <c r="BU3" s="18"/>
      <c r="BV3" s="16"/>
      <c r="BW3" s="17"/>
      <c r="BX3" s="17"/>
      <c r="BY3" s="18"/>
      <c r="BZ3" s="16"/>
      <c r="CA3" s="17"/>
      <c r="CB3" s="17"/>
      <c r="CC3" s="18"/>
      <c r="CD3" s="16"/>
      <c r="CE3" s="17"/>
      <c r="CF3" s="17"/>
      <c r="CG3" s="18"/>
      <c r="CH3" s="16"/>
      <c r="CI3" s="17"/>
      <c r="CJ3" s="17"/>
      <c r="CK3" s="18"/>
      <c r="CL3" s="16"/>
      <c r="CM3" s="17"/>
      <c r="CN3" s="17"/>
      <c r="CO3" s="18"/>
      <c r="CP3" s="16"/>
      <c r="CQ3" s="17"/>
      <c r="CR3" s="17"/>
      <c r="CS3" s="18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9"/>
      <c r="DH3" s="20"/>
      <c r="DI3" s="21"/>
      <c r="DJ3" s="20"/>
      <c r="DK3" s="21"/>
      <c r="DL3" s="22"/>
      <c r="DM3" s="22"/>
      <c r="DN3" s="22"/>
      <c r="DO3" s="22"/>
      <c r="DP3" s="22"/>
      <c r="DQ3" s="23"/>
      <c r="DR3" s="13"/>
    </row>
    <row r="4" ht="15.0" customHeight="1">
      <c r="A4" s="3"/>
      <c r="B4" s="14"/>
      <c r="E4" s="15"/>
      <c r="F4" s="24">
        <f t="array" ref="F4">XLOOKUP(F8,'食譜'!$B:$B,'食譜'!$H:$H,"")</f>
        <v>728</v>
      </c>
      <c r="G4" s="25"/>
      <c r="H4" s="25"/>
      <c r="I4" s="26"/>
      <c r="J4" s="24">
        <f t="array" ref="J4">XLOOKUP(J8,'食譜'!$B:$B,'食譜'!$H:$H,"")</f>
        <v>814</v>
      </c>
      <c r="K4" s="25"/>
      <c r="L4" s="25"/>
      <c r="M4" s="26"/>
      <c r="N4" s="24">
        <f t="array" ref="N4">XLOOKUP(N8,'食譜'!$B:$B,'食譜'!$H:$H,"")</f>
        <v>839</v>
      </c>
      <c r="O4" s="25"/>
      <c r="P4" s="25"/>
      <c r="Q4" s="26"/>
      <c r="R4" s="24">
        <f t="array" ref="R4">XLOOKUP(R8,'食譜'!$B:$B,'食譜'!$H:$H,"")</f>
        <v>856</v>
      </c>
      <c r="S4" s="25"/>
      <c r="T4" s="25"/>
      <c r="U4" s="26"/>
      <c r="V4" s="24">
        <f t="array" ref="V4">XLOOKUP(V8,'食譜'!$B:$B,'食譜'!$H:$H,"")</f>
        <v>1910</v>
      </c>
      <c r="W4" s="25"/>
      <c r="X4" s="25"/>
      <c r="Y4" s="26"/>
      <c r="Z4" s="24">
        <f t="array" ref="Z4">XLOOKUP(Z8,'食譜'!$B:$B,'食譜'!$H:$H,"")</f>
        <v>1942</v>
      </c>
      <c r="AA4" s="25"/>
      <c r="AB4" s="25"/>
      <c r="AC4" s="26"/>
      <c r="AD4" s="24">
        <f t="array" ref="AD4">XLOOKUP(AD8,'食譜'!$B:$B,'食譜'!$H:$H,"")</f>
        <v>2078</v>
      </c>
      <c r="AE4" s="25"/>
      <c r="AF4" s="25"/>
      <c r="AG4" s="26"/>
      <c r="AH4" s="24">
        <f t="array" ref="AH4">XLOOKUP(AH8,'食譜'!$B:$B,'食譜'!$H:$H,"")</f>
        <v>2150</v>
      </c>
      <c r="AI4" s="25"/>
      <c r="AJ4" s="25"/>
      <c r="AK4" s="26"/>
      <c r="AL4" s="24">
        <f t="array" ref="AL4">XLOOKUP(AL8,'食譜'!$B:$B,'食譜'!$H:$H,"")</f>
        <v>3181</v>
      </c>
      <c r="AM4" s="25"/>
      <c r="AN4" s="25"/>
      <c r="AO4" s="26"/>
      <c r="AP4" s="24">
        <f t="array" ref="AP4">XLOOKUP(AP8,'食譜'!$B:$B,'食譜'!$H:$H,"")</f>
        <v>3372</v>
      </c>
      <c r="AQ4" s="25"/>
      <c r="AR4" s="25"/>
      <c r="AS4" s="26"/>
      <c r="AT4" s="24">
        <f t="array" ref="AT4">XLOOKUP(AT8,'食譜'!$B:$B,'食譜'!$H:$H,"")</f>
        <v>4162</v>
      </c>
      <c r="AU4" s="25"/>
      <c r="AV4" s="25"/>
      <c r="AW4" s="26"/>
      <c r="AX4" s="24">
        <f t="array" ref="AX4">XLOOKUP(AX8,'食譜'!$B:$B,'食譜'!$H:$H,"")</f>
        <v>4523</v>
      </c>
      <c r="AY4" s="25"/>
      <c r="AZ4" s="25"/>
      <c r="BA4" s="26"/>
      <c r="BB4" s="24">
        <f t="array" ref="BB4">XLOOKUP(BB8,'食譜'!$B:$B,'食譜'!$H:$H,"")</f>
        <v>4670</v>
      </c>
      <c r="BC4" s="25"/>
      <c r="BD4" s="25"/>
      <c r="BE4" s="26"/>
      <c r="BF4" s="24">
        <f t="array" ref="BF4">XLOOKUP(BF8,'食譜'!$B:$B,'食譜'!$H:$H,"")</f>
        <v>5702</v>
      </c>
      <c r="BG4" s="25"/>
      <c r="BH4" s="25"/>
      <c r="BI4" s="26"/>
      <c r="BJ4" s="24">
        <f t="array" ref="BJ4">XLOOKUP(BJ8,'食譜'!$B:$B,'食譜'!$H:$H,"")</f>
        <v>5900</v>
      </c>
      <c r="BK4" s="25"/>
      <c r="BL4" s="25"/>
      <c r="BM4" s="26"/>
      <c r="BN4" s="24">
        <f t="array" ref="BN4">XLOOKUP(BN8,'食譜'!$B:$B,'食譜'!$H:$H,"")</f>
        <v>7483</v>
      </c>
      <c r="BO4" s="25"/>
      <c r="BP4" s="25"/>
      <c r="BQ4" s="26"/>
      <c r="BR4" s="24">
        <f t="array" ref="BR4">XLOOKUP(BR8,'食譜'!$B:$B,'食譜'!$H:$H,"")</f>
        <v>9010</v>
      </c>
      <c r="BS4" s="25"/>
      <c r="BT4" s="25"/>
      <c r="BU4" s="26"/>
      <c r="BV4" s="24">
        <f t="array" ref="BV4">XLOOKUP(BV8,'食譜'!$B:$B,'食譜'!$H:$H,"")</f>
        <v>9445</v>
      </c>
      <c r="BW4" s="25"/>
      <c r="BX4" s="25"/>
      <c r="BY4" s="26"/>
      <c r="BZ4" s="24">
        <f t="array" ref="BZ4">XLOOKUP(BZ8,'食譜'!$B:$B,'食譜'!$H:$H,"")</f>
        <v>13690</v>
      </c>
      <c r="CA4" s="25"/>
      <c r="CB4" s="25"/>
      <c r="CC4" s="26"/>
      <c r="CD4" s="24">
        <f t="array" ref="CD4">XLOOKUP(CD8,'食譜'!$B:$B,'食譜'!$H:$H,"")</f>
        <v>15621</v>
      </c>
      <c r="CE4" s="25"/>
      <c r="CF4" s="25"/>
      <c r="CG4" s="26"/>
      <c r="CH4" s="24">
        <f t="array" ref="CH4">XLOOKUP(CH8,'食譜'!$B:$B,'食譜'!$H:$H,"")</f>
        <v>19061</v>
      </c>
      <c r="CI4" s="25"/>
      <c r="CJ4" s="25"/>
      <c r="CK4" s="26"/>
      <c r="CL4" s="24">
        <f t="array" ref="CL4">XLOOKUP(CL8,'食譜'!$B:$B,'食譜'!$H:$H,"")</f>
        <v>20655</v>
      </c>
      <c r="CM4" s="25"/>
      <c r="CN4" s="25"/>
      <c r="CO4" s="26"/>
      <c r="CP4" s="24">
        <f t="array" ref="CP4">XLOOKUP(CP8,'食譜'!$B:$B,'食譜'!$H:$H,"")</f>
        <v>24802</v>
      </c>
      <c r="CQ4" s="25"/>
      <c r="CR4" s="25"/>
      <c r="CS4" s="26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7" t="str">
        <f t="array" ref="DG4">XLOOKUP(DK4,'食材'!$B:$B,'食材'!$D:$D,"")</f>
        <v/>
      </c>
      <c r="DH4" s="8"/>
      <c r="DI4" s="9">
        <f t="array" ref="DI4">XLOOKUP(DK4,'食材'!$B:$B,'食材'!$F:$F,"")</f>
        <v>98</v>
      </c>
      <c r="DJ4" s="8"/>
      <c r="DK4" s="10" t="s">
        <v>1</v>
      </c>
      <c r="DL4" s="11"/>
      <c r="DM4" s="11"/>
      <c r="DN4" s="11"/>
      <c r="DO4" s="11"/>
      <c r="DP4" s="11"/>
      <c r="DQ4" s="12"/>
      <c r="DR4" s="13"/>
    </row>
    <row r="5" ht="15.0" customHeight="1">
      <c r="A5" s="3"/>
      <c r="B5" s="14"/>
      <c r="E5" s="15"/>
      <c r="F5" s="27" t="str">
        <f t="array" ref="F5">XLOOKUP(F8,'食譜'!$B:$B,'食譜'!$A:$A,"")</f>
        <v/>
      </c>
      <c r="G5" s="28"/>
      <c r="H5" s="28"/>
      <c r="I5" s="29"/>
      <c r="J5" s="27" t="str">
        <f t="array" ref="J5">XLOOKUP(J8,'食譜'!$B:$B,'食譜'!$A:$A,"")</f>
        <v/>
      </c>
      <c r="K5" s="28"/>
      <c r="L5" s="28"/>
      <c r="M5" s="29"/>
      <c r="N5" s="27" t="str">
        <f t="array" ref="N5">XLOOKUP(N8,'食譜'!$B:$B,'食譜'!$A:$A,"")</f>
        <v/>
      </c>
      <c r="O5" s="28"/>
      <c r="P5" s="28"/>
      <c r="Q5" s="29"/>
      <c r="R5" s="27" t="str">
        <f t="array" ref="R5">XLOOKUP(R8,'食譜'!$B:$B,'食譜'!$A:$A,"")</f>
        <v/>
      </c>
      <c r="S5" s="28"/>
      <c r="T5" s="28"/>
      <c r="U5" s="29"/>
      <c r="V5" s="27" t="str">
        <f t="array" ref="V5">XLOOKUP(V8,'食譜'!$B:$B,'食譜'!$A:$A,"")</f>
        <v/>
      </c>
      <c r="W5" s="28"/>
      <c r="X5" s="28"/>
      <c r="Y5" s="29"/>
      <c r="Z5" s="27" t="str">
        <f t="array" ref="Z5">XLOOKUP(Z8,'食譜'!$B:$B,'食譜'!$A:$A,"")</f>
        <v/>
      </c>
      <c r="AA5" s="28"/>
      <c r="AB5" s="28"/>
      <c r="AC5" s="29"/>
      <c r="AD5" s="27" t="str">
        <f t="array" ref="AD5">XLOOKUP(AD8,'食譜'!$B:$B,'食譜'!$A:$A,"")</f>
        <v/>
      </c>
      <c r="AE5" s="28"/>
      <c r="AF5" s="28"/>
      <c r="AG5" s="29"/>
      <c r="AH5" s="27" t="str">
        <f t="array" ref="AH5">XLOOKUP(AH8,'食譜'!$B:$B,'食譜'!$A:$A,"")</f>
        <v/>
      </c>
      <c r="AI5" s="28"/>
      <c r="AJ5" s="28"/>
      <c r="AK5" s="29"/>
      <c r="AL5" s="27" t="str">
        <f t="array" ref="AL5">XLOOKUP(AL8,'食譜'!$B:$B,'食譜'!$A:$A,"")</f>
        <v/>
      </c>
      <c r="AM5" s="28"/>
      <c r="AN5" s="28"/>
      <c r="AO5" s="29"/>
      <c r="AP5" s="27" t="str">
        <f t="array" ref="AP5">XLOOKUP(AP8,'食譜'!$B:$B,'食譜'!$A:$A,"")</f>
        <v/>
      </c>
      <c r="AQ5" s="28"/>
      <c r="AR5" s="28"/>
      <c r="AS5" s="29"/>
      <c r="AT5" s="27" t="str">
        <f t="array" ref="AT5">XLOOKUP(AT8,'食譜'!$B:$B,'食譜'!$A:$A,"")</f>
        <v/>
      </c>
      <c r="AU5" s="28"/>
      <c r="AV5" s="28"/>
      <c r="AW5" s="29"/>
      <c r="AX5" s="27" t="str">
        <f t="array" ref="AX5">XLOOKUP(AX8,'食譜'!$B:$B,'食譜'!$A:$A,"")</f>
        <v/>
      </c>
      <c r="AY5" s="28"/>
      <c r="AZ5" s="28"/>
      <c r="BA5" s="29"/>
      <c r="BB5" s="27" t="str">
        <f t="array" ref="BB5">XLOOKUP(BB8,'食譜'!$B:$B,'食譜'!$A:$A,"")</f>
        <v/>
      </c>
      <c r="BC5" s="28"/>
      <c r="BD5" s="28"/>
      <c r="BE5" s="29"/>
      <c r="BF5" s="27" t="str">
        <f t="array" ref="BF5">XLOOKUP(BF8,'食譜'!$B:$B,'食譜'!$A:$A,"")</f>
        <v/>
      </c>
      <c r="BG5" s="28"/>
      <c r="BH5" s="28"/>
      <c r="BI5" s="29"/>
      <c r="BJ5" s="27" t="str">
        <f t="array" ref="BJ5">XLOOKUP(BJ8,'食譜'!$B:$B,'食譜'!$A:$A,"")</f>
        <v/>
      </c>
      <c r="BK5" s="28"/>
      <c r="BL5" s="28"/>
      <c r="BM5" s="29"/>
      <c r="BN5" s="27" t="str">
        <f t="array" ref="BN5">XLOOKUP(BN8,'食譜'!$B:$B,'食譜'!$A:$A,"")</f>
        <v/>
      </c>
      <c r="BO5" s="28"/>
      <c r="BP5" s="28"/>
      <c r="BQ5" s="29"/>
      <c r="BR5" s="27" t="str">
        <f t="array" ref="BR5">XLOOKUP(BR8,'食譜'!$B:$B,'食譜'!$A:$A,"")</f>
        <v/>
      </c>
      <c r="BS5" s="28"/>
      <c r="BT5" s="28"/>
      <c r="BU5" s="29"/>
      <c r="BV5" s="27" t="str">
        <f t="array" ref="BV5">XLOOKUP(BV8,'食譜'!$B:$B,'食譜'!$A:$A,"")</f>
        <v/>
      </c>
      <c r="BW5" s="28"/>
      <c r="BX5" s="28"/>
      <c r="BY5" s="29"/>
      <c r="BZ5" s="27" t="str">
        <f t="array" ref="BZ5">XLOOKUP(BZ8,'食譜'!$B:$B,'食譜'!$A:$A,"")</f>
        <v/>
      </c>
      <c r="CA5" s="28"/>
      <c r="CB5" s="28"/>
      <c r="CC5" s="29"/>
      <c r="CD5" s="27" t="str">
        <f t="array" ref="CD5">XLOOKUP(CD8,'食譜'!$B:$B,'食譜'!$A:$A,"")</f>
        <v/>
      </c>
      <c r="CE5" s="28"/>
      <c r="CF5" s="28"/>
      <c r="CG5" s="29"/>
      <c r="CH5" s="27" t="str">
        <f t="array" ref="CH5">XLOOKUP(CH8,'食譜'!$B:$B,'食譜'!$A:$A,"")</f>
        <v/>
      </c>
      <c r="CI5" s="28"/>
      <c r="CJ5" s="28"/>
      <c r="CK5" s="29"/>
      <c r="CL5" s="27" t="str">
        <f t="array" ref="CL5">XLOOKUP(CL8,'食譜'!$B:$B,'食譜'!$A:$A,"")</f>
        <v/>
      </c>
      <c r="CM5" s="28"/>
      <c r="CN5" s="28"/>
      <c r="CO5" s="29"/>
      <c r="CP5" s="27" t="str">
        <f t="array" ref="CP5">XLOOKUP(CP8,'食譜'!$B:$B,'食譜'!$A:$A,"")</f>
        <v/>
      </c>
      <c r="CQ5" s="28"/>
      <c r="CR5" s="28"/>
      <c r="CS5" s="29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9"/>
      <c r="DH5" s="20"/>
      <c r="DI5" s="21"/>
      <c r="DJ5" s="20"/>
      <c r="DK5" s="21"/>
      <c r="DL5" s="22"/>
      <c r="DM5" s="22"/>
      <c r="DN5" s="22"/>
      <c r="DO5" s="22"/>
      <c r="DP5" s="22"/>
      <c r="DQ5" s="23"/>
      <c r="DR5" s="13"/>
    </row>
    <row r="6" ht="15.0" customHeight="1">
      <c r="A6" s="3"/>
      <c r="B6" s="14"/>
      <c r="E6" s="15"/>
      <c r="F6" s="14"/>
      <c r="I6" s="15"/>
      <c r="J6" s="14"/>
      <c r="M6" s="15"/>
      <c r="N6" s="14"/>
      <c r="Q6" s="15"/>
      <c r="R6" s="14"/>
      <c r="U6" s="15"/>
      <c r="V6" s="14"/>
      <c r="Y6" s="15"/>
      <c r="Z6" s="14"/>
      <c r="AC6" s="15"/>
      <c r="AD6" s="14"/>
      <c r="AG6" s="15"/>
      <c r="AH6" s="14"/>
      <c r="AK6" s="15"/>
      <c r="AL6" s="14"/>
      <c r="AO6" s="15"/>
      <c r="AP6" s="14"/>
      <c r="AS6" s="15"/>
      <c r="AT6" s="14"/>
      <c r="AW6" s="15"/>
      <c r="AX6" s="14"/>
      <c r="BA6" s="15"/>
      <c r="BB6" s="14"/>
      <c r="BE6" s="15"/>
      <c r="BF6" s="14"/>
      <c r="BI6" s="15"/>
      <c r="BJ6" s="14"/>
      <c r="BM6" s="15"/>
      <c r="BN6" s="14"/>
      <c r="BQ6" s="15"/>
      <c r="BR6" s="14"/>
      <c r="BU6" s="15"/>
      <c r="BV6" s="14"/>
      <c r="BY6" s="15"/>
      <c r="BZ6" s="14"/>
      <c r="CC6" s="15"/>
      <c r="CD6" s="14"/>
      <c r="CG6" s="15"/>
      <c r="CH6" s="14"/>
      <c r="CK6" s="15"/>
      <c r="CL6" s="14"/>
      <c r="CO6" s="15"/>
      <c r="CP6" s="14"/>
      <c r="CS6" s="15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7" t="str">
        <f t="array" ref="DG6">XLOOKUP(DK6,'食材'!$B:$B,'食材'!$D:$D,"")</f>
        <v/>
      </c>
      <c r="DH6" s="8"/>
      <c r="DI6" s="9">
        <f t="array" ref="DI6">XLOOKUP(DK6,'食材'!$B:$B,'食材'!$F:$F,"")</f>
        <v>100</v>
      </c>
      <c r="DJ6" s="8"/>
      <c r="DK6" s="10" t="s">
        <v>2</v>
      </c>
      <c r="DL6" s="11"/>
      <c r="DM6" s="11"/>
      <c r="DN6" s="11"/>
      <c r="DO6" s="11"/>
      <c r="DP6" s="11"/>
      <c r="DQ6" s="12"/>
      <c r="DR6" s="13"/>
    </row>
    <row r="7" ht="15.0" customHeight="1">
      <c r="A7" s="3"/>
      <c r="B7" s="14"/>
      <c r="E7" s="15"/>
      <c r="F7" s="16"/>
      <c r="G7" s="17"/>
      <c r="H7" s="17"/>
      <c r="I7" s="18"/>
      <c r="J7" s="16"/>
      <c r="K7" s="17"/>
      <c r="L7" s="17"/>
      <c r="M7" s="18"/>
      <c r="N7" s="16"/>
      <c r="O7" s="17"/>
      <c r="P7" s="17"/>
      <c r="Q7" s="18"/>
      <c r="R7" s="16"/>
      <c r="S7" s="17"/>
      <c r="T7" s="17"/>
      <c r="U7" s="18"/>
      <c r="V7" s="16"/>
      <c r="W7" s="17"/>
      <c r="X7" s="17"/>
      <c r="Y7" s="18"/>
      <c r="Z7" s="16"/>
      <c r="AA7" s="17"/>
      <c r="AB7" s="17"/>
      <c r="AC7" s="18"/>
      <c r="AD7" s="16"/>
      <c r="AE7" s="17"/>
      <c r="AF7" s="17"/>
      <c r="AG7" s="18"/>
      <c r="AH7" s="16"/>
      <c r="AI7" s="17"/>
      <c r="AJ7" s="17"/>
      <c r="AK7" s="18"/>
      <c r="AL7" s="16"/>
      <c r="AM7" s="17"/>
      <c r="AN7" s="17"/>
      <c r="AO7" s="18"/>
      <c r="AP7" s="16"/>
      <c r="AQ7" s="17"/>
      <c r="AR7" s="17"/>
      <c r="AS7" s="18"/>
      <c r="AT7" s="16"/>
      <c r="AU7" s="17"/>
      <c r="AV7" s="17"/>
      <c r="AW7" s="18"/>
      <c r="AX7" s="16"/>
      <c r="AY7" s="17"/>
      <c r="AZ7" s="17"/>
      <c r="BA7" s="18"/>
      <c r="BB7" s="16"/>
      <c r="BC7" s="17"/>
      <c r="BD7" s="17"/>
      <c r="BE7" s="18"/>
      <c r="BF7" s="16"/>
      <c r="BG7" s="17"/>
      <c r="BH7" s="17"/>
      <c r="BI7" s="18"/>
      <c r="BJ7" s="16"/>
      <c r="BK7" s="17"/>
      <c r="BL7" s="17"/>
      <c r="BM7" s="18"/>
      <c r="BN7" s="16"/>
      <c r="BO7" s="17"/>
      <c r="BP7" s="17"/>
      <c r="BQ7" s="18"/>
      <c r="BR7" s="16"/>
      <c r="BS7" s="17"/>
      <c r="BT7" s="17"/>
      <c r="BU7" s="18"/>
      <c r="BV7" s="16"/>
      <c r="BW7" s="17"/>
      <c r="BX7" s="17"/>
      <c r="BY7" s="18"/>
      <c r="BZ7" s="16"/>
      <c r="CA7" s="17"/>
      <c r="CB7" s="17"/>
      <c r="CC7" s="18"/>
      <c r="CD7" s="16"/>
      <c r="CE7" s="17"/>
      <c r="CF7" s="17"/>
      <c r="CG7" s="18"/>
      <c r="CH7" s="16"/>
      <c r="CI7" s="17"/>
      <c r="CJ7" s="17"/>
      <c r="CK7" s="18"/>
      <c r="CL7" s="16"/>
      <c r="CM7" s="17"/>
      <c r="CN7" s="17"/>
      <c r="CO7" s="18"/>
      <c r="CP7" s="16"/>
      <c r="CQ7" s="17"/>
      <c r="CR7" s="17"/>
      <c r="CS7" s="18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9"/>
      <c r="DH7" s="20"/>
      <c r="DI7" s="21"/>
      <c r="DJ7" s="20"/>
      <c r="DK7" s="21"/>
      <c r="DL7" s="22"/>
      <c r="DM7" s="22"/>
      <c r="DN7" s="22"/>
      <c r="DO7" s="22"/>
      <c r="DP7" s="22"/>
      <c r="DQ7" s="23"/>
      <c r="DR7" s="13"/>
    </row>
    <row r="8" ht="15.0" customHeight="1">
      <c r="A8" s="30"/>
      <c r="B8" s="14"/>
      <c r="E8" s="15"/>
      <c r="F8" s="31" t="str">
        <f>IFERROR(__xludf.DUMMYFUNCTION("SPLIT(TEXTJOIN("""",TRUE,TOROW(FILTER('食譜'!$B:$B&amp;""----"", '食譜'!$E:$E=""咖哩、濃湯"",'食譜'!$B:$B&lt;&gt;""拌拌咖哩"")),"""","""",""""),""-"",TRUE,FALSE)"),"特選蘋果咖哩")</f>
        <v>特選蘋果咖哩</v>
      </c>
      <c r="G8" s="28"/>
      <c r="H8" s="28"/>
      <c r="I8" s="29"/>
      <c r="J8" s="31" t="str">
        <f>IFERROR(__xludf.DUMMYFUNCTION("""COMPUTED_VALUE"""),"單純白醬濃湯")</f>
        <v>單純白醬濃湯</v>
      </c>
      <c r="K8" s="28"/>
      <c r="L8" s="28"/>
      <c r="M8" s="29"/>
      <c r="N8" s="31" t="str">
        <f>IFERROR(__xludf.DUMMYFUNCTION("""COMPUTED_VALUE"""),"寶寶甜蜜咖哩")</f>
        <v>寶寶甜蜜咖哩</v>
      </c>
      <c r="O8" s="28"/>
      <c r="P8" s="28"/>
      <c r="Q8" s="29"/>
      <c r="R8" s="31" t="str">
        <f>IFERROR(__xludf.DUMMYFUNCTION("""COMPUTED_VALUE"""),"豆製肉排咖哩")</f>
        <v>豆製肉排咖哩</v>
      </c>
      <c r="S8" s="28"/>
      <c r="T8" s="28"/>
      <c r="U8" s="29"/>
      <c r="V8" s="31" t="str">
        <f>IFERROR(__xludf.DUMMYFUNCTION("""COMPUTED_VALUE"""),"吃飽飽起司肉排咖哩")</f>
        <v>吃飽飽起司肉排咖哩</v>
      </c>
      <c r="W8" s="28"/>
      <c r="X8" s="28"/>
      <c r="Y8" s="29"/>
      <c r="Z8" s="31" t="str">
        <f>IFERROR(__xludf.DUMMYFUNCTION("""COMPUTED_VALUE"""),"日照炸肉排咖哩")</f>
        <v>日照炸肉排咖哩</v>
      </c>
      <c r="AA8" s="28"/>
      <c r="AB8" s="28"/>
      <c r="AC8" s="29"/>
      <c r="AD8" s="31" t="str">
        <f>IFERROR(__xludf.DUMMYFUNCTION("""COMPUTED_VALUE"""),"太陽之力番茄咖哩")</f>
        <v>太陽之力番茄咖哩</v>
      </c>
      <c r="AE8" s="28"/>
      <c r="AF8" s="28"/>
      <c r="AG8" s="29"/>
      <c r="AH8" s="31" t="str">
        <f>IFERROR(__xludf.DUMMYFUNCTION("""COMPUTED_VALUE"""),"入口即化蛋捲咖哩")</f>
        <v>入口即化蛋捲咖哩</v>
      </c>
      <c r="AI8" s="28"/>
      <c r="AJ8" s="28"/>
      <c r="AK8" s="29"/>
      <c r="AL8" s="31" t="str">
        <f>IFERROR(__xludf.DUMMYFUNCTION("""COMPUTED_VALUE"""),"窩心白醬濃湯")</f>
        <v>窩心白醬濃湯</v>
      </c>
      <c r="AM8" s="28"/>
      <c r="AN8" s="28"/>
      <c r="AO8" s="29"/>
      <c r="AP8" s="31" t="str">
        <f>IFERROR(__xludf.DUMMYFUNCTION("""COMPUTED_VALUE"""),"健美豆子咖哩")</f>
        <v>健美豆子咖哩</v>
      </c>
      <c r="AQ8" s="28"/>
      <c r="AR8" s="28"/>
      <c r="AS8" s="29"/>
      <c r="AT8" s="31" t="str">
        <f>IFERROR(__xludf.DUMMYFUNCTION("""COMPUTED_VALUE"""),"蘑菇孢子咖哩")</f>
        <v>蘑菇孢子咖哩</v>
      </c>
      <c r="AU8" s="28"/>
      <c r="AV8" s="28"/>
      <c r="AW8" s="29"/>
      <c r="AX8" s="31" t="str">
        <f>IFERROR(__xludf.DUMMYFUNCTION("""COMPUTED_VALUE"""),"親子愛咖哩")</f>
        <v>親子愛咖哩</v>
      </c>
      <c r="AY8" s="28"/>
      <c r="AZ8" s="28"/>
      <c r="BA8" s="29"/>
      <c r="BB8" s="31" t="str">
        <f>IFERROR(__xludf.DUMMYFUNCTION("""COMPUTED_VALUE"""),"柔軟玉米濃湯")</f>
        <v>柔軟玉米濃湯</v>
      </c>
      <c r="BC8" s="28"/>
      <c r="BD8" s="28"/>
      <c r="BE8" s="29"/>
      <c r="BF8" s="31" t="str">
        <f>IFERROR(__xludf.DUMMYFUNCTION("""COMPUTED_VALUE"""),"迷昏拳辣味咖哩")</f>
        <v>迷昏拳辣味咖哩</v>
      </c>
      <c r="BG8" s="28"/>
      <c r="BH8" s="28"/>
      <c r="BI8" s="29"/>
      <c r="BJ8" s="31" t="str">
        <f>IFERROR(__xludf.DUMMYFUNCTION("""COMPUTED_VALUE"""),"辣味蔥勁十足咖哩")</f>
        <v>辣味蔥勁十足咖哩</v>
      </c>
      <c r="BK8" s="28"/>
      <c r="BL8" s="28"/>
      <c r="BM8" s="29"/>
      <c r="BN8" s="31" t="str">
        <f>IFERROR(__xludf.DUMMYFUNCTION("""COMPUTED_VALUE"""),"炙燒尾肉咖哩")</f>
        <v>炙燒尾肉咖哩</v>
      </c>
      <c r="BO8" s="28"/>
      <c r="BP8" s="28"/>
      <c r="BQ8" s="29"/>
      <c r="BR8" s="31" t="str">
        <f>IFERROR(__xludf.DUMMYFUNCTION("""COMPUTED_VALUE"""),"絕對睡眠奶油咖哩")</f>
        <v>絕對睡眠奶油咖哩</v>
      </c>
      <c r="BS8" s="28"/>
      <c r="BT8" s="28"/>
      <c r="BU8" s="29"/>
      <c r="BV8" s="31" t="str">
        <f>IFERROR(__xludf.DUMMYFUNCTION("""COMPUTED_VALUE"""),"忍者咖哩")</f>
        <v>忍者咖哩</v>
      </c>
      <c r="BW8" s="28"/>
      <c r="BX8" s="28"/>
      <c r="BY8" s="29"/>
      <c r="BZ8" s="31" t="str">
        <f>IFERROR(__xludf.DUMMYFUNCTION("""COMPUTED_VALUE"""),"煉獄玉米乾咖哩")</f>
        <v>煉獄玉米乾咖哩</v>
      </c>
      <c r="CA8" s="28"/>
      <c r="CB8" s="28"/>
      <c r="CC8" s="29"/>
      <c r="CD8" s="31" t="str">
        <f>IFERROR(__xludf.DUMMYFUNCTION("""COMPUTED_VALUE"""),"扮演南瓜精濃湯")</f>
        <v>扮演南瓜精濃湯</v>
      </c>
      <c r="CE8" s="28"/>
      <c r="CF8" s="28"/>
      <c r="CG8" s="29"/>
      <c r="CH8" s="31" t="str">
        <f>IFERROR(__xludf.DUMMYFUNCTION("""COMPUTED_VALUE"""),"覺醒力量濃湯")</f>
        <v>覺醒力量濃湯</v>
      </c>
      <c r="CI8" s="28"/>
      <c r="CJ8" s="28"/>
      <c r="CK8" s="29"/>
      <c r="CL8" s="31" t="str">
        <f>IFERROR(__xludf.DUMMYFUNCTION("""COMPUTED_VALUE"""),"居合斬壽喜燒咖哩")</f>
        <v>居合斬壽喜燒咖哩</v>
      </c>
      <c r="CM8" s="28"/>
      <c r="CN8" s="28"/>
      <c r="CO8" s="29"/>
      <c r="CP8" s="31" t="str">
        <f>IFERROR(__xludf.DUMMYFUNCTION("""COMPUTED_VALUE"""),"茂盛焗烤酪梨")</f>
        <v>茂盛焗烤酪梨</v>
      </c>
      <c r="CQ8" s="28"/>
      <c r="CR8" s="28"/>
      <c r="CS8" s="29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7" t="str">
        <f t="array" ref="DG8">XLOOKUP(DK8,'食材'!$B:$B,'食材'!$D:$D,"")</f>
        <v/>
      </c>
      <c r="DH8" s="8"/>
      <c r="DI8" s="9">
        <f t="array" ref="DI8">XLOOKUP(DK8,'食材'!$B:$B,'食材'!$F:$F,"")</f>
        <v>101</v>
      </c>
      <c r="DJ8" s="8"/>
      <c r="DK8" s="10" t="s">
        <v>3</v>
      </c>
      <c r="DL8" s="11"/>
      <c r="DM8" s="11"/>
      <c r="DN8" s="11"/>
      <c r="DO8" s="11"/>
      <c r="DP8" s="11"/>
      <c r="DQ8" s="12"/>
      <c r="DR8" s="13"/>
    </row>
    <row r="9" ht="15.0" customHeight="1">
      <c r="A9" s="30"/>
      <c r="B9" s="14"/>
      <c r="E9" s="15"/>
      <c r="F9" s="16"/>
      <c r="G9" s="17"/>
      <c r="H9" s="17"/>
      <c r="I9" s="18"/>
      <c r="J9" s="16"/>
      <c r="K9" s="17"/>
      <c r="L9" s="17"/>
      <c r="M9" s="18"/>
      <c r="N9" s="16"/>
      <c r="O9" s="17"/>
      <c r="P9" s="17"/>
      <c r="Q9" s="18"/>
      <c r="R9" s="16"/>
      <c r="S9" s="17"/>
      <c r="T9" s="17"/>
      <c r="U9" s="18"/>
      <c r="V9" s="16"/>
      <c r="W9" s="17"/>
      <c r="X9" s="17"/>
      <c r="Y9" s="18"/>
      <c r="Z9" s="16"/>
      <c r="AA9" s="17"/>
      <c r="AB9" s="17"/>
      <c r="AC9" s="18"/>
      <c r="AD9" s="16"/>
      <c r="AE9" s="17"/>
      <c r="AF9" s="17"/>
      <c r="AG9" s="18"/>
      <c r="AH9" s="16"/>
      <c r="AI9" s="17"/>
      <c r="AJ9" s="17"/>
      <c r="AK9" s="18"/>
      <c r="AL9" s="16"/>
      <c r="AM9" s="17"/>
      <c r="AN9" s="17"/>
      <c r="AO9" s="18"/>
      <c r="AP9" s="16"/>
      <c r="AQ9" s="17"/>
      <c r="AR9" s="17"/>
      <c r="AS9" s="18"/>
      <c r="AT9" s="16"/>
      <c r="AU9" s="17"/>
      <c r="AV9" s="17"/>
      <c r="AW9" s="18"/>
      <c r="AX9" s="16"/>
      <c r="AY9" s="17"/>
      <c r="AZ9" s="17"/>
      <c r="BA9" s="18"/>
      <c r="BB9" s="16"/>
      <c r="BC9" s="17"/>
      <c r="BD9" s="17"/>
      <c r="BE9" s="18"/>
      <c r="BF9" s="16"/>
      <c r="BG9" s="17"/>
      <c r="BH9" s="17"/>
      <c r="BI9" s="18"/>
      <c r="BJ9" s="16"/>
      <c r="BK9" s="17"/>
      <c r="BL9" s="17"/>
      <c r="BM9" s="18"/>
      <c r="BN9" s="16"/>
      <c r="BO9" s="17"/>
      <c r="BP9" s="17"/>
      <c r="BQ9" s="18"/>
      <c r="BR9" s="16"/>
      <c r="BS9" s="17"/>
      <c r="BT9" s="17"/>
      <c r="BU9" s="18"/>
      <c r="BV9" s="16"/>
      <c r="BW9" s="17"/>
      <c r="BX9" s="17"/>
      <c r="BY9" s="18"/>
      <c r="BZ9" s="16"/>
      <c r="CA9" s="17"/>
      <c r="CB9" s="17"/>
      <c r="CC9" s="18"/>
      <c r="CD9" s="16"/>
      <c r="CE9" s="17"/>
      <c r="CF9" s="17"/>
      <c r="CG9" s="18"/>
      <c r="CH9" s="16"/>
      <c r="CI9" s="17"/>
      <c r="CJ9" s="17"/>
      <c r="CK9" s="18"/>
      <c r="CL9" s="16"/>
      <c r="CM9" s="17"/>
      <c r="CN9" s="17"/>
      <c r="CO9" s="18"/>
      <c r="CP9" s="16"/>
      <c r="CQ9" s="17"/>
      <c r="CR9" s="17"/>
      <c r="CS9" s="18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9"/>
      <c r="DH9" s="20"/>
      <c r="DI9" s="21"/>
      <c r="DJ9" s="20"/>
      <c r="DK9" s="21"/>
      <c r="DL9" s="22"/>
      <c r="DM9" s="22"/>
      <c r="DN9" s="22"/>
      <c r="DO9" s="22"/>
      <c r="DP9" s="22"/>
      <c r="DQ9" s="23"/>
      <c r="DR9" s="13"/>
    </row>
    <row r="10" ht="15.0" customHeight="1">
      <c r="A10" s="3"/>
      <c r="B10" s="14"/>
      <c r="E10" s="15"/>
      <c r="F10" s="32" t="str">
        <f t="array" ref="F10">XLOOKUP(XLOOKUP(F8,'食譜'!$B:$B,'食譜'!$J:$J,""),'食材'!$B:$B,'食材'!$D:$D,"")</f>
        <v/>
      </c>
      <c r="G10" s="33"/>
      <c r="H10" s="34">
        <f t="array" ref="H10">XLOOKUP(F8,'食譜'!$B:$B,'食譜'!$K:$K,"")</f>
        <v>7</v>
      </c>
      <c r="I10" s="29"/>
      <c r="J10" s="32" t="str">
        <f t="array" ref="J10">XLOOKUP(XLOOKUP(J8,'食譜'!$B:$B,'食譜'!$J:$J,""),'食材'!$B:$B,'食材'!$D:$D,"")</f>
        <v/>
      </c>
      <c r="K10" s="33"/>
      <c r="L10" s="34">
        <f t="array" ref="L10">XLOOKUP(J8,'食譜'!$B:$B,'食譜'!$K:$K,"")</f>
        <v>7</v>
      </c>
      <c r="M10" s="29"/>
      <c r="N10" s="32" t="str">
        <f t="array" ref="N10">XLOOKUP(XLOOKUP(N8,'食譜'!$B:$B,'食譜'!$J:$J,""),'食材'!$B:$B,'食材'!$D:$D,"")</f>
        <v/>
      </c>
      <c r="O10" s="33"/>
      <c r="P10" s="34">
        <f t="array" ref="P10">XLOOKUP(N8,'食譜'!$B:$B,'食譜'!$K:$K,"")</f>
        <v>7</v>
      </c>
      <c r="Q10" s="29"/>
      <c r="R10" s="32" t="str">
        <f t="array" ref="R10">XLOOKUP(XLOOKUP(R8,'食譜'!$B:$B,'食譜'!$J:$J,""),'食材'!$B:$B,'食材'!$D:$D,"")</f>
        <v/>
      </c>
      <c r="S10" s="33"/>
      <c r="T10" s="34">
        <f t="array" ref="T10">XLOOKUP(R8,'食譜'!$B:$B,'食譜'!$K:$K,"")</f>
        <v>7</v>
      </c>
      <c r="U10" s="29"/>
      <c r="V10" s="32" t="str">
        <f t="array" ref="V10">XLOOKUP(XLOOKUP(V8,'食譜'!$B:$B,'食譜'!$J:$J,""),'食材'!$B:$B,'食材'!$D:$D,"")</f>
        <v/>
      </c>
      <c r="W10" s="33"/>
      <c r="X10" s="34">
        <f t="array" ref="X10">XLOOKUP(V8,'食譜'!$B:$B,'食譜'!$K:$K,"")</f>
        <v>8</v>
      </c>
      <c r="Y10" s="29"/>
      <c r="Z10" s="32" t="str">
        <f t="array" ref="Z10">XLOOKUP(XLOOKUP(Z8,'食譜'!$B:$B,'食譜'!$J:$J,""),'食材'!$B:$B,'食材'!$D:$D,"")</f>
        <v/>
      </c>
      <c r="AA10" s="33"/>
      <c r="AB10" s="34">
        <f t="array" ref="AB10">XLOOKUP(Z8,'食譜'!$B:$B,'食譜'!$K:$K,"")</f>
        <v>10</v>
      </c>
      <c r="AC10" s="29"/>
      <c r="AD10" s="32" t="str">
        <f t="array" ref="AD10">XLOOKUP(XLOOKUP(AD8,'食譜'!$B:$B,'食譜'!$J:$J,""),'食材'!$B:$B,'食材'!$D:$D,"")</f>
        <v/>
      </c>
      <c r="AE10" s="33"/>
      <c r="AF10" s="34">
        <f t="array" ref="AF10">XLOOKUP(AD8,'食譜'!$B:$B,'食譜'!$K:$K,"")</f>
        <v>10</v>
      </c>
      <c r="AG10" s="29"/>
      <c r="AH10" s="32" t="str">
        <f t="array" ref="AH10">XLOOKUP(XLOOKUP(AH8,'食譜'!$B:$B,'食譜'!$J:$J,""),'食材'!$B:$B,'食材'!$D:$D,"")</f>
        <v/>
      </c>
      <c r="AI10" s="33"/>
      <c r="AJ10" s="34">
        <f t="array" ref="AJ10">XLOOKUP(AH8,'食譜'!$B:$B,'食譜'!$K:$K,"")</f>
        <v>10</v>
      </c>
      <c r="AK10" s="29"/>
      <c r="AL10" s="32" t="str">
        <f t="array" ref="AL10">XLOOKUP(XLOOKUP(AL8,'食譜'!$B:$B,'食譜'!$J:$J,""),'食材'!$B:$B,'食材'!$D:$D,"")</f>
        <v/>
      </c>
      <c r="AM10" s="33"/>
      <c r="AN10" s="34">
        <f t="array" ref="AN10">XLOOKUP(AL8,'食譜'!$B:$B,'食譜'!$K:$K,"")</f>
        <v>10</v>
      </c>
      <c r="AO10" s="29"/>
      <c r="AP10" s="32" t="str">
        <f t="array" ref="AP10">XLOOKUP(XLOOKUP(AP8,'食譜'!$B:$B,'食譜'!$J:$J,""),'食材'!$B:$B,'食材'!$D:$D,"")</f>
        <v/>
      </c>
      <c r="AQ10" s="33"/>
      <c r="AR10" s="34">
        <f t="array" ref="AR10">XLOOKUP(AP8,'食譜'!$B:$B,'食譜'!$K:$K,"")</f>
        <v>12</v>
      </c>
      <c r="AS10" s="29"/>
      <c r="AT10" s="32" t="str">
        <f t="array" ref="AT10">XLOOKUP(XLOOKUP(AT8,'食譜'!$B:$B,'食譜'!$J:$J,""),'食材'!$B:$B,'食材'!$D:$D,"")</f>
        <v/>
      </c>
      <c r="AU10" s="33"/>
      <c r="AV10" s="34">
        <f t="array" ref="AV10">XLOOKUP(AT8,'食譜'!$B:$B,'食譜'!$K:$K,"")</f>
        <v>14</v>
      </c>
      <c r="AW10" s="29"/>
      <c r="AX10" s="32" t="str">
        <f t="array" ref="AX10">XLOOKUP(XLOOKUP(AX8,'食譜'!$B:$B,'食譜'!$J:$J,""),'食材'!$B:$B,'食材'!$D:$D,"")</f>
        <v/>
      </c>
      <c r="AY10" s="33"/>
      <c r="AZ10" s="34">
        <f t="array" ref="AZ10">XLOOKUP(AX8,'食譜'!$B:$B,'食譜'!$K:$K,"")</f>
        <v>12</v>
      </c>
      <c r="BA10" s="29"/>
      <c r="BB10" s="32" t="str">
        <f t="array" ref="BB10">XLOOKUP(XLOOKUP(BB8,'食譜'!$B:$B,'食譜'!$J:$J,""),'食材'!$B:$B,'食材'!$D:$D,"")</f>
        <v/>
      </c>
      <c r="BC10" s="33"/>
      <c r="BD10" s="34">
        <f t="array" ref="BD10">XLOOKUP(BB8,'食譜'!$B:$B,'食譜'!$K:$K,"")</f>
        <v>14</v>
      </c>
      <c r="BE10" s="29"/>
      <c r="BF10" s="32" t="str">
        <f t="array" ref="BF10">XLOOKUP(XLOOKUP(BF8,'食譜'!$B:$B,'食譜'!$J:$J,""),'食材'!$B:$B,'食材'!$D:$D,"")</f>
        <v/>
      </c>
      <c r="BG10" s="33"/>
      <c r="BH10" s="34">
        <f t="array" ref="BH10">XLOOKUP(BF8,'食譜'!$B:$B,'食譜'!$K:$K,"")</f>
        <v>11</v>
      </c>
      <c r="BI10" s="29"/>
      <c r="BJ10" s="32" t="str">
        <f t="array" ref="BJ10">XLOOKUP(XLOOKUP(BJ8,'食譜'!$B:$B,'食譜'!$J:$J,""),'食材'!$B:$B,'食材'!$D:$D,"")</f>
        <v/>
      </c>
      <c r="BK10" s="33"/>
      <c r="BL10" s="34">
        <f t="array" ref="BL10">XLOOKUP(BJ8,'食譜'!$B:$B,'食譜'!$K:$K,"")</f>
        <v>14</v>
      </c>
      <c r="BM10" s="29"/>
      <c r="BN10" s="32" t="str">
        <f t="array" ref="BN10">XLOOKUP(XLOOKUP(BN8,'食譜'!$B:$B,'食譜'!$J:$J,""),'食材'!$B:$B,'食材'!$D:$D,"")</f>
        <v/>
      </c>
      <c r="BO10" s="33"/>
      <c r="BP10" s="34">
        <f t="array" ref="BP10">XLOOKUP(BN8,'食譜'!$B:$B,'食譜'!$K:$K,"")</f>
        <v>25</v>
      </c>
      <c r="BQ10" s="29"/>
      <c r="BR10" s="32" t="str">
        <f t="array" ref="BR10">XLOOKUP(XLOOKUP(BR8,'食譜'!$B:$B,'食譜'!$J:$J,""),'食材'!$B:$B,'食材'!$D:$D,"")</f>
        <v/>
      </c>
      <c r="BS10" s="33"/>
      <c r="BT10" s="34">
        <f t="array" ref="BT10">XLOOKUP(BR8,'食譜'!$B:$B,'食譜'!$K:$K,"")</f>
        <v>18</v>
      </c>
      <c r="BU10" s="29"/>
      <c r="BV10" s="32" t="str">
        <f t="array" ref="BV10">XLOOKUP(XLOOKUP(BV8,'食譜'!$B:$B,'食譜'!$J:$J,""),'食材'!$B:$B,'食材'!$D:$D,"")</f>
        <v/>
      </c>
      <c r="BW10" s="33"/>
      <c r="BX10" s="34">
        <f t="array" ref="BX10">XLOOKUP(BV8,'食譜'!$B:$B,'食譜'!$K:$K,"")</f>
        <v>24</v>
      </c>
      <c r="BY10" s="29"/>
      <c r="BZ10" s="32" t="str">
        <f t="array" ref="BZ10">XLOOKUP(XLOOKUP(BZ8,'食譜'!$B:$B,'食譜'!$J:$J,""),'食材'!$B:$B,'食材'!$D:$D,"")</f>
        <v/>
      </c>
      <c r="CA10" s="33"/>
      <c r="CB10" s="34">
        <f t="array" ref="CB10">XLOOKUP(BZ8,'食譜'!$B:$B,'食譜'!$K:$K,"")</f>
        <v>27</v>
      </c>
      <c r="CC10" s="29"/>
      <c r="CD10" s="32" t="str">
        <f t="array" ref="CD10">XLOOKUP(XLOOKUP(CD8,'食譜'!$B:$B,'食譜'!$J:$J,""),'食材'!$B:$B,'食材'!$D:$D,"")</f>
        <v/>
      </c>
      <c r="CE10" s="33"/>
      <c r="CF10" s="34">
        <f t="array" ref="CF10">XLOOKUP(CD8,'食譜'!$B:$B,'食譜'!$K:$K,"")</f>
        <v>10</v>
      </c>
      <c r="CG10" s="29"/>
      <c r="CH10" s="32" t="str">
        <f t="array" ref="CH10">XLOOKUP(XLOOKUP(CH8,'食譜'!$B:$B,'食譜'!$J:$J,""),'食材'!$B:$B,'食材'!$D:$D,"")</f>
        <v/>
      </c>
      <c r="CI10" s="33"/>
      <c r="CJ10" s="34">
        <f t="array" ref="CJ10">XLOOKUP(CH8,'食譜'!$B:$B,'食譜'!$K:$K,"")</f>
        <v>28</v>
      </c>
      <c r="CK10" s="29"/>
      <c r="CL10" s="32" t="str">
        <f t="array" ref="CL10">XLOOKUP(XLOOKUP(CL8,'食譜'!$B:$B,'食譜'!$J:$J,""),'食材'!$B:$B,'食材'!$D:$D,"")</f>
        <v/>
      </c>
      <c r="CM10" s="33"/>
      <c r="CN10" s="34">
        <f t="array" ref="CN10">XLOOKUP(CL8,'食譜'!$B:$B,'食譜'!$K:$K,"")</f>
        <v>27</v>
      </c>
      <c r="CO10" s="29"/>
      <c r="CP10" s="32" t="str">
        <f t="array" ref="CP10">XLOOKUP(XLOOKUP(CP8,'食譜'!$B:$B,'食譜'!$J:$J,""),'食材'!$B:$B,'食材'!$D:$D,"")</f>
        <v/>
      </c>
      <c r="CQ10" s="33"/>
      <c r="CR10" s="34">
        <f t="array" ref="CR10">XLOOKUP(CP8,'食譜'!$B:$B,'食譜'!$K:$K,"")</f>
        <v>22</v>
      </c>
      <c r="CS10" s="29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7" t="str">
        <f t="array" ref="DG10">XLOOKUP(DK10,'食材'!$B:$B,'食材'!$D:$D,"")</f>
        <v/>
      </c>
      <c r="DH10" s="8"/>
      <c r="DI10" s="9">
        <f t="array" ref="DI10">XLOOKUP(DK10,'食材'!$B:$B,'食材'!$F:$F,"")</f>
        <v>103</v>
      </c>
      <c r="DJ10" s="8"/>
      <c r="DK10" s="10" t="s">
        <v>4</v>
      </c>
      <c r="DL10" s="11"/>
      <c r="DM10" s="11"/>
      <c r="DN10" s="11"/>
      <c r="DO10" s="11"/>
      <c r="DP10" s="11"/>
      <c r="DQ10" s="12"/>
      <c r="DR10" s="13"/>
    </row>
    <row r="11" ht="15.0" customHeight="1">
      <c r="A11" s="3"/>
      <c r="B11" s="14"/>
      <c r="E11" s="15"/>
      <c r="F11" s="16"/>
      <c r="G11" s="35"/>
      <c r="H11" s="36"/>
      <c r="I11" s="18"/>
      <c r="J11" s="16"/>
      <c r="K11" s="35"/>
      <c r="L11" s="36"/>
      <c r="M11" s="18"/>
      <c r="N11" s="16"/>
      <c r="O11" s="35"/>
      <c r="P11" s="36"/>
      <c r="Q11" s="18"/>
      <c r="R11" s="16"/>
      <c r="S11" s="35"/>
      <c r="T11" s="36"/>
      <c r="U11" s="18"/>
      <c r="V11" s="16"/>
      <c r="W11" s="35"/>
      <c r="X11" s="36"/>
      <c r="Y11" s="18"/>
      <c r="Z11" s="16"/>
      <c r="AA11" s="35"/>
      <c r="AB11" s="36"/>
      <c r="AC11" s="18"/>
      <c r="AD11" s="16"/>
      <c r="AE11" s="35"/>
      <c r="AF11" s="36"/>
      <c r="AG11" s="18"/>
      <c r="AH11" s="16"/>
      <c r="AI11" s="35"/>
      <c r="AJ11" s="36"/>
      <c r="AK11" s="18"/>
      <c r="AL11" s="16"/>
      <c r="AM11" s="35"/>
      <c r="AN11" s="36"/>
      <c r="AO11" s="18"/>
      <c r="AP11" s="16"/>
      <c r="AQ11" s="35"/>
      <c r="AR11" s="36"/>
      <c r="AS11" s="18"/>
      <c r="AT11" s="16"/>
      <c r="AU11" s="35"/>
      <c r="AV11" s="36"/>
      <c r="AW11" s="18"/>
      <c r="AX11" s="16"/>
      <c r="AY11" s="35"/>
      <c r="AZ11" s="36"/>
      <c r="BA11" s="18"/>
      <c r="BB11" s="16"/>
      <c r="BC11" s="35"/>
      <c r="BD11" s="36"/>
      <c r="BE11" s="18"/>
      <c r="BF11" s="16"/>
      <c r="BG11" s="35"/>
      <c r="BH11" s="36"/>
      <c r="BI11" s="18"/>
      <c r="BJ11" s="16"/>
      <c r="BK11" s="35"/>
      <c r="BL11" s="36"/>
      <c r="BM11" s="18"/>
      <c r="BN11" s="16"/>
      <c r="BO11" s="35"/>
      <c r="BP11" s="36"/>
      <c r="BQ11" s="18"/>
      <c r="BR11" s="16"/>
      <c r="BS11" s="35"/>
      <c r="BT11" s="36"/>
      <c r="BU11" s="18"/>
      <c r="BV11" s="16"/>
      <c r="BW11" s="35"/>
      <c r="BX11" s="36"/>
      <c r="BY11" s="18"/>
      <c r="BZ11" s="16"/>
      <c r="CA11" s="35"/>
      <c r="CB11" s="36"/>
      <c r="CC11" s="18"/>
      <c r="CD11" s="16"/>
      <c r="CE11" s="35"/>
      <c r="CF11" s="36"/>
      <c r="CG11" s="18"/>
      <c r="CH11" s="16"/>
      <c r="CI11" s="35"/>
      <c r="CJ11" s="36"/>
      <c r="CK11" s="18"/>
      <c r="CL11" s="16"/>
      <c r="CM11" s="35"/>
      <c r="CN11" s="36"/>
      <c r="CO11" s="18"/>
      <c r="CP11" s="16"/>
      <c r="CQ11" s="35"/>
      <c r="CR11" s="36"/>
      <c r="CS11" s="18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9"/>
      <c r="DH11" s="20"/>
      <c r="DI11" s="21"/>
      <c r="DJ11" s="20"/>
      <c r="DK11" s="21"/>
      <c r="DL11" s="22"/>
      <c r="DM11" s="22"/>
      <c r="DN11" s="22"/>
      <c r="DO11" s="22"/>
      <c r="DP11" s="22"/>
      <c r="DQ11" s="23"/>
      <c r="DR11" s="13"/>
    </row>
    <row r="12" ht="15.0" customHeight="1">
      <c r="A12" s="3"/>
      <c r="B12" s="14"/>
      <c r="E12" s="15"/>
      <c r="F12" s="32" t="str">
        <f t="array" ref="F12">XLOOKUP(XLOOKUP(F8,'食譜'!$B:$B,'食譜'!$L:$L,""),'食材'!$B:$B,'食材'!$D:$D,"")</f>
        <v/>
      </c>
      <c r="G12" s="33"/>
      <c r="H12" s="34" t="str">
        <f t="array" ref="H12">XLOOKUP(F8,'食譜'!$B:$B,'食譜'!$M:$M,"")</f>
        <v/>
      </c>
      <c r="I12" s="29"/>
      <c r="J12" s="32" t="str">
        <f t="array" ref="J12">XLOOKUP(XLOOKUP(J8,'食譜'!$B:$B,'食譜'!$L:$L,""),'食材'!$B:$B,'食材'!$D:$D,"")</f>
        <v/>
      </c>
      <c r="K12" s="33"/>
      <c r="L12" s="34" t="str">
        <f t="array" ref="L12">XLOOKUP(J8,'食譜'!$B:$B,'食譜'!$M:$M,"")</f>
        <v/>
      </c>
      <c r="M12" s="29"/>
      <c r="N12" s="32" t="str">
        <f t="array" ref="N12">XLOOKUP(XLOOKUP(N8,'食譜'!$B:$B,'食譜'!$L:$L,""),'食材'!$B:$B,'食材'!$D:$D,"")</f>
        <v/>
      </c>
      <c r="O12" s="33"/>
      <c r="P12" s="34" t="str">
        <f t="array" ref="P12">XLOOKUP(N8,'食譜'!$B:$B,'食譜'!$M:$M,"")</f>
        <v/>
      </c>
      <c r="Q12" s="29"/>
      <c r="R12" s="32" t="str">
        <f t="array" ref="R12">XLOOKUP(XLOOKUP(R8,'食譜'!$B:$B,'食譜'!$L:$L,""),'食材'!$B:$B,'食材'!$D:$D,"")</f>
        <v/>
      </c>
      <c r="S12" s="33"/>
      <c r="T12" s="34" t="str">
        <f t="array" ref="T12">XLOOKUP(R8,'食譜'!$B:$B,'食譜'!$M:$M,"")</f>
        <v/>
      </c>
      <c r="U12" s="29"/>
      <c r="V12" s="32" t="str">
        <f t="array" ref="V12">XLOOKUP(XLOOKUP(V8,'食譜'!$B:$B,'食譜'!$L:$L,""),'食材'!$B:$B,'食材'!$D:$D,"")</f>
        <v/>
      </c>
      <c r="W12" s="33"/>
      <c r="X12" s="34">
        <f t="array" ref="X12">XLOOKUP(V8,'食譜'!$B:$B,'食譜'!$M:$M,"")</f>
        <v>8</v>
      </c>
      <c r="Y12" s="29"/>
      <c r="Z12" s="32" t="str">
        <f t="array" ref="Z12">XLOOKUP(XLOOKUP(Z8,'食譜'!$B:$B,'食譜'!$L:$L,""),'食材'!$B:$B,'食材'!$D:$D,"")</f>
        <v/>
      </c>
      <c r="AA12" s="33"/>
      <c r="AB12" s="34">
        <f t="array" ref="AB12">XLOOKUP(Z8,'食譜'!$B:$B,'食譜'!$M:$M,"")</f>
        <v>5</v>
      </c>
      <c r="AC12" s="29"/>
      <c r="AD12" s="32" t="str">
        <f t="array" ref="AD12">XLOOKUP(XLOOKUP(AD8,'食譜'!$B:$B,'食譜'!$L:$L,""),'食材'!$B:$B,'食材'!$D:$D,"")</f>
        <v/>
      </c>
      <c r="AE12" s="33"/>
      <c r="AF12" s="34">
        <f t="array" ref="AF12">XLOOKUP(AD8,'食譜'!$B:$B,'食譜'!$M:$M,"")</f>
        <v>5</v>
      </c>
      <c r="AG12" s="29"/>
      <c r="AH12" s="32" t="str">
        <f t="array" ref="AH12">XLOOKUP(XLOOKUP(AH8,'食譜'!$B:$B,'食譜'!$L:$L,""),'食材'!$B:$B,'食材'!$D:$D,"")</f>
        <v/>
      </c>
      <c r="AI12" s="33"/>
      <c r="AJ12" s="34">
        <f t="array" ref="AJ12">XLOOKUP(AH8,'食譜'!$B:$B,'食譜'!$M:$M,"")</f>
        <v>6</v>
      </c>
      <c r="AK12" s="29"/>
      <c r="AL12" s="32" t="str">
        <f t="array" ref="AL12">XLOOKUP(XLOOKUP(AL8,'食譜'!$B:$B,'食譜'!$L:$L,""),'食材'!$B:$B,'食材'!$D:$D,"")</f>
        <v/>
      </c>
      <c r="AM12" s="33"/>
      <c r="AN12" s="34">
        <f t="array" ref="AN12">XLOOKUP(AL8,'食譜'!$B:$B,'食譜'!$M:$M,"")</f>
        <v>8</v>
      </c>
      <c r="AO12" s="29"/>
      <c r="AP12" s="32" t="str">
        <f t="array" ref="AP12">XLOOKUP(XLOOKUP(AP8,'食譜'!$B:$B,'食譜'!$L:$L,""),'食材'!$B:$B,'食材'!$D:$D,"")</f>
        <v/>
      </c>
      <c r="AQ12" s="33"/>
      <c r="AR12" s="34">
        <f t="array" ref="AR12">XLOOKUP(AP8,'食譜'!$B:$B,'食譜'!$M:$M,"")</f>
        <v>6</v>
      </c>
      <c r="AS12" s="29"/>
      <c r="AT12" s="32" t="str">
        <f t="array" ref="AT12">XLOOKUP(XLOOKUP(AT8,'食譜'!$B:$B,'食譜'!$L:$L,""),'食材'!$B:$B,'食材'!$D:$D,"")</f>
        <v/>
      </c>
      <c r="AU12" s="33"/>
      <c r="AV12" s="34">
        <f t="array" ref="AV12">XLOOKUP(AT8,'食譜'!$B:$B,'食譜'!$M:$M,"")</f>
        <v>9</v>
      </c>
      <c r="AW12" s="29"/>
      <c r="AX12" s="32" t="str">
        <f t="array" ref="AX12">XLOOKUP(XLOOKUP(AX8,'食譜'!$B:$B,'食譜'!$L:$L,""),'食材'!$B:$B,'食材'!$D:$D,"")</f>
        <v/>
      </c>
      <c r="AY12" s="33"/>
      <c r="AZ12" s="34">
        <f t="array" ref="AZ12">XLOOKUP(AX8,'食譜'!$B:$B,'食譜'!$M:$M,"")</f>
        <v>11</v>
      </c>
      <c r="BA12" s="29"/>
      <c r="BB12" s="32" t="str">
        <f t="array" ref="BB12">XLOOKUP(XLOOKUP(BB8,'食譜'!$B:$B,'食譜'!$L:$L,""),'食材'!$B:$B,'食材'!$D:$D,"")</f>
        <v/>
      </c>
      <c r="BC12" s="33"/>
      <c r="BD12" s="34">
        <f t="array" ref="BD12">XLOOKUP(BB8,'食譜'!$B:$B,'食譜'!$M:$M,"")</f>
        <v>8</v>
      </c>
      <c r="BE12" s="29"/>
      <c r="BF12" s="32" t="str">
        <f t="array" ref="BF12">XLOOKUP(XLOOKUP(BF8,'食譜'!$B:$B,'食譜'!$L:$L,""),'食材'!$B:$B,'食材'!$D:$D,"")</f>
        <v/>
      </c>
      <c r="BG12" s="33"/>
      <c r="BH12" s="34">
        <f t="array" ref="BH12">XLOOKUP(BF8,'食譜'!$B:$B,'食譜'!$M:$M,"")</f>
        <v>11</v>
      </c>
      <c r="BI12" s="29"/>
      <c r="BJ12" s="32" t="str">
        <f t="array" ref="BJ12">XLOOKUP(XLOOKUP(BJ8,'食譜'!$B:$B,'食譜'!$L:$L,""),'食材'!$B:$B,'食材'!$D:$D,"")</f>
        <v/>
      </c>
      <c r="BK12" s="33"/>
      <c r="BL12" s="34">
        <f t="array" ref="BL12">XLOOKUP(BJ8,'食譜'!$B:$B,'食譜'!$M:$M,"")</f>
        <v>10</v>
      </c>
      <c r="BM12" s="29"/>
      <c r="BN12" s="32" t="str">
        <f t="array" ref="BN12">XLOOKUP(XLOOKUP(BN8,'食譜'!$B:$B,'食譜'!$L:$L,""),'食材'!$B:$B,'食材'!$D:$D,"")</f>
        <v/>
      </c>
      <c r="BO12" s="33"/>
      <c r="BP12" s="34">
        <f t="array" ref="BP12">XLOOKUP(BN8,'食譜'!$B:$B,'食譜'!$M:$M,"")</f>
        <v>8</v>
      </c>
      <c r="BQ12" s="29"/>
      <c r="BR12" s="32" t="str">
        <f t="array" ref="BR12">XLOOKUP(XLOOKUP(BR8,'食譜'!$B:$B,'食譜'!$L:$L,""),'食材'!$B:$B,'食材'!$D:$D,"")</f>
        <v/>
      </c>
      <c r="BS12" s="33"/>
      <c r="BT12" s="34">
        <f t="array" ref="BT12">XLOOKUP(BR8,'食譜'!$B:$B,'食譜'!$M:$M,"")</f>
        <v>15</v>
      </c>
      <c r="BU12" s="29"/>
      <c r="BV12" s="32" t="str">
        <f t="array" ref="BV12">XLOOKUP(XLOOKUP(BV8,'食譜'!$B:$B,'食譜'!$L:$L,""),'食材'!$B:$B,'食材'!$D:$D,"")</f>
        <v/>
      </c>
      <c r="BW12" s="33"/>
      <c r="BX12" s="34">
        <f t="array" ref="BX12">XLOOKUP(BV8,'食譜'!$B:$B,'食譜'!$M:$M,"")</f>
        <v>12</v>
      </c>
      <c r="BY12" s="29"/>
      <c r="BZ12" s="32" t="str">
        <f t="array" ref="BZ12">XLOOKUP(XLOOKUP(BZ8,'食譜'!$B:$B,'食譜'!$L:$L,""),'食材'!$B:$B,'食材'!$D:$D,"")</f>
        <v/>
      </c>
      <c r="CA12" s="33"/>
      <c r="CB12" s="34">
        <f t="array" ref="CB12">XLOOKUP(BZ8,'食譜'!$B:$B,'食譜'!$M:$M,"")</f>
        <v>24</v>
      </c>
      <c r="CC12" s="29"/>
      <c r="CD12" s="32" t="str">
        <f t="array" ref="CD12">XLOOKUP(XLOOKUP(CD8,'食譜'!$B:$B,'食譜'!$L:$L,""),'食材'!$B:$B,'食材'!$D:$D,"")</f>
        <v/>
      </c>
      <c r="CE12" s="33"/>
      <c r="CF12" s="34">
        <f t="array" ref="CF12">XLOOKUP(CD8,'食譜'!$B:$B,'食譜'!$M:$M,"")</f>
        <v>16</v>
      </c>
      <c r="CG12" s="29"/>
      <c r="CH12" s="32" t="str">
        <f t="array" ref="CH12">XLOOKUP(XLOOKUP(CH8,'食譜'!$B:$B,'食譜'!$L:$L,""),'食材'!$B:$B,'食材'!$D:$D,"")</f>
        <v/>
      </c>
      <c r="CI12" s="33"/>
      <c r="CJ12" s="34">
        <f t="array" ref="CJ12">XLOOKUP(CH8,'食譜'!$B:$B,'食譜'!$M:$M,"")</f>
        <v>25</v>
      </c>
      <c r="CK12" s="29"/>
      <c r="CL12" s="32" t="str">
        <f t="array" ref="CL12">XLOOKUP(XLOOKUP(CL8,'食譜'!$B:$B,'食譜'!$L:$L,""),'食材'!$B:$B,'食材'!$D:$D,"")</f>
        <v/>
      </c>
      <c r="CM12" s="33"/>
      <c r="CN12" s="34">
        <f t="array" ref="CN12">XLOOKUP(CL8,'食譜'!$B:$B,'食譜'!$M:$M,"")</f>
        <v>26</v>
      </c>
      <c r="CO12" s="29"/>
      <c r="CP12" s="32" t="str">
        <f t="array" ref="CP12">XLOOKUP(XLOOKUP(CP8,'食譜'!$B:$B,'食譜'!$L:$L,""),'食材'!$B:$B,'食材'!$D:$D,"")</f>
        <v/>
      </c>
      <c r="CQ12" s="33"/>
      <c r="CR12" s="34">
        <f t="array" ref="CR12">XLOOKUP(CP8,'食譜'!$B:$B,'食譜'!$M:$M,"")</f>
        <v>20</v>
      </c>
      <c r="CS12" s="29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7" t="str">
        <f t="array" ref="DG12">XLOOKUP(DK12,'食材'!$B:$B,'食材'!$D:$D,"")</f>
        <v/>
      </c>
      <c r="DH12" s="8"/>
      <c r="DI12" s="9">
        <f t="array" ref="DI12">XLOOKUP(DK12,'食材'!$B:$B,'食材'!$F:$F,"")</f>
        <v>109</v>
      </c>
      <c r="DJ12" s="8"/>
      <c r="DK12" s="10" t="s">
        <v>5</v>
      </c>
      <c r="DL12" s="11"/>
      <c r="DM12" s="11"/>
      <c r="DN12" s="11"/>
      <c r="DO12" s="11"/>
      <c r="DP12" s="11"/>
      <c r="DQ12" s="12"/>
      <c r="DR12" s="13"/>
    </row>
    <row r="13" ht="15.0" customHeight="1">
      <c r="A13" s="3"/>
      <c r="B13" s="14"/>
      <c r="E13" s="15"/>
      <c r="F13" s="16"/>
      <c r="G13" s="35"/>
      <c r="H13" s="36"/>
      <c r="I13" s="18"/>
      <c r="J13" s="16"/>
      <c r="K13" s="35"/>
      <c r="L13" s="36"/>
      <c r="M13" s="18"/>
      <c r="N13" s="16"/>
      <c r="O13" s="35"/>
      <c r="P13" s="36"/>
      <c r="Q13" s="18"/>
      <c r="R13" s="16"/>
      <c r="S13" s="35"/>
      <c r="T13" s="36"/>
      <c r="U13" s="18"/>
      <c r="V13" s="16"/>
      <c r="W13" s="35"/>
      <c r="X13" s="36"/>
      <c r="Y13" s="18"/>
      <c r="Z13" s="16"/>
      <c r="AA13" s="35"/>
      <c r="AB13" s="36"/>
      <c r="AC13" s="18"/>
      <c r="AD13" s="16"/>
      <c r="AE13" s="35"/>
      <c r="AF13" s="36"/>
      <c r="AG13" s="18"/>
      <c r="AH13" s="16"/>
      <c r="AI13" s="35"/>
      <c r="AJ13" s="36"/>
      <c r="AK13" s="18"/>
      <c r="AL13" s="16"/>
      <c r="AM13" s="35"/>
      <c r="AN13" s="36"/>
      <c r="AO13" s="18"/>
      <c r="AP13" s="16"/>
      <c r="AQ13" s="35"/>
      <c r="AR13" s="36"/>
      <c r="AS13" s="18"/>
      <c r="AT13" s="16"/>
      <c r="AU13" s="35"/>
      <c r="AV13" s="36"/>
      <c r="AW13" s="18"/>
      <c r="AX13" s="16"/>
      <c r="AY13" s="35"/>
      <c r="AZ13" s="36"/>
      <c r="BA13" s="18"/>
      <c r="BB13" s="16"/>
      <c r="BC13" s="35"/>
      <c r="BD13" s="36"/>
      <c r="BE13" s="18"/>
      <c r="BF13" s="16"/>
      <c r="BG13" s="35"/>
      <c r="BH13" s="36"/>
      <c r="BI13" s="18"/>
      <c r="BJ13" s="16"/>
      <c r="BK13" s="35"/>
      <c r="BL13" s="36"/>
      <c r="BM13" s="18"/>
      <c r="BN13" s="16"/>
      <c r="BO13" s="35"/>
      <c r="BP13" s="36"/>
      <c r="BQ13" s="18"/>
      <c r="BR13" s="16"/>
      <c r="BS13" s="35"/>
      <c r="BT13" s="36"/>
      <c r="BU13" s="18"/>
      <c r="BV13" s="16"/>
      <c r="BW13" s="35"/>
      <c r="BX13" s="36"/>
      <c r="BY13" s="18"/>
      <c r="BZ13" s="16"/>
      <c r="CA13" s="35"/>
      <c r="CB13" s="36"/>
      <c r="CC13" s="18"/>
      <c r="CD13" s="16"/>
      <c r="CE13" s="35"/>
      <c r="CF13" s="36"/>
      <c r="CG13" s="18"/>
      <c r="CH13" s="16"/>
      <c r="CI13" s="35"/>
      <c r="CJ13" s="36"/>
      <c r="CK13" s="18"/>
      <c r="CL13" s="16"/>
      <c r="CM13" s="35"/>
      <c r="CN13" s="36"/>
      <c r="CO13" s="18"/>
      <c r="CP13" s="16"/>
      <c r="CQ13" s="35"/>
      <c r="CR13" s="36"/>
      <c r="CS13" s="18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9"/>
      <c r="DH13" s="20"/>
      <c r="DI13" s="21"/>
      <c r="DJ13" s="20"/>
      <c r="DK13" s="21"/>
      <c r="DL13" s="22"/>
      <c r="DM13" s="22"/>
      <c r="DN13" s="22"/>
      <c r="DO13" s="22"/>
      <c r="DP13" s="22"/>
      <c r="DQ13" s="23"/>
      <c r="DR13" s="13"/>
    </row>
    <row r="14" ht="15.0" customHeight="1">
      <c r="A14" s="3"/>
      <c r="B14" s="14"/>
      <c r="E14" s="15"/>
      <c r="F14" s="32" t="str">
        <f t="array" ref="F14">XLOOKUP(XLOOKUP(F8,'食譜'!$B:$B,'食譜'!$N:$N,""),'食材'!$B:$B,'食材'!$D:$D,"")</f>
        <v/>
      </c>
      <c r="G14" s="33"/>
      <c r="H14" s="34" t="str">
        <f t="array" ref="H14">XLOOKUP(F8,'食譜'!$B:$B,'食譜'!$O:$O,"")</f>
        <v/>
      </c>
      <c r="I14" s="29"/>
      <c r="J14" s="32" t="str">
        <f t="array" ref="J14">XLOOKUP(XLOOKUP(J8,'食譜'!$B:$B,'食譜'!$N:$N,""),'食材'!$B:$B,'食材'!$D:$D,"")</f>
        <v/>
      </c>
      <c r="K14" s="33"/>
      <c r="L14" s="34" t="str">
        <f t="array" ref="L14">XLOOKUP(J8,'食譜'!$B:$B,'食譜'!$O:$O,"")</f>
        <v/>
      </c>
      <c r="M14" s="29"/>
      <c r="N14" s="32" t="str">
        <f t="array" ref="N14">XLOOKUP(XLOOKUP(N8,'食譜'!$B:$B,'食譜'!$N:$N,""),'食材'!$B:$B,'食材'!$D:$D,"")</f>
        <v/>
      </c>
      <c r="O14" s="33"/>
      <c r="P14" s="34" t="str">
        <f t="array" ref="P14">XLOOKUP(N8,'食譜'!$B:$B,'食譜'!$O:$O,"")</f>
        <v/>
      </c>
      <c r="Q14" s="29"/>
      <c r="R14" s="32" t="str">
        <f t="array" ref="R14">XLOOKUP(XLOOKUP(R8,'食譜'!$B:$B,'食譜'!$N:$N,""),'食材'!$B:$B,'食材'!$D:$D,"")</f>
        <v/>
      </c>
      <c r="S14" s="33"/>
      <c r="T14" s="34" t="str">
        <f t="array" ref="T14">XLOOKUP(R8,'食譜'!$B:$B,'食譜'!$O:$O,"")</f>
        <v/>
      </c>
      <c r="U14" s="29"/>
      <c r="V14" s="32" t="str">
        <f t="array" ref="V14">XLOOKUP(XLOOKUP(V8,'食譜'!$B:$B,'食譜'!$N:$N,""),'食材'!$B:$B,'食材'!$D:$D,"")</f>
        <v/>
      </c>
      <c r="W14" s="33"/>
      <c r="X14" s="34" t="str">
        <f t="array" ref="X14">XLOOKUP(V8,'食譜'!$B:$B,'食譜'!$O:$O,"")</f>
        <v/>
      </c>
      <c r="Y14" s="29"/>
      <c r="Z14" s="32" t="str">
        <f t="array" ref="Z14">XLOOKUP(XLOOKUP(Z8,'食譜'!$B:$B,'食譜'!$N:$N,""),'食材'!$B:$B,'食材'!$D:$D,"")</f>
        <v/>
      </c>
      <c r="AA14" s="33"/>
      <c r="AB14" s="34" t="str">
        <f t="array" ref="AB14">XLOOKUP(Z8,'食譜'!$B:$B,'食譜'!$O:$O,"")</f>
        <v/>
      </c>
      <c r="AC14" s="29"/>
      <c r="AD14" s="32" t="str">
        <f t="array" ref="AD14">XLOOKUP(XLOOKUP(AD8,'食譜'!$B:$B,'食譜'!$N:$N,""),'食材'!$B:$B,'食材'!$D:$D,"")</f>
        <v/>
      </c>
      <c r="AE14" s="33"/>
      <c r="AF14" s="34" t="str">
        <f t="array" ref="AF14">XLOOKUP(AD8,'食譜'!$B:$B,'食譜'!$O:$O,"")</f>
        <v/>
      </c>
      <c r="AG14" s="29"/>
      <c r="AH14" s="32" t="str">
        <f t="array" ref="AH14">XLOOKUP(XLOOKUP(AH8,'食譜'!$B:$B,'食譜'!$N:$N,""),'食材'!$B:$B,'食材'!$D:$D,"")</f>
        <v/>
      </c>
      <c r="AI14" s="33"/>
      <c r="AJ14" s="34" t="str">
        <f t="array" ref="AJ14">XLOOKUP(AH8,'食譜'!$B:$B,'食譜'!$O:$O,"")</f>
        <v/>
      </c>
      <c r="AK14" s="29"/>
      <c r="AL14" s="32" t="str">
        <f t="array" ref="AL14">XLOOKUP(XLOOKUP(AL8,'食譜'!$B:$B,'食譜'!$N:$N,""),'食材'!$B:$B,'食材'!$D:$D,"")</f>
        <v/>
      </c>
      <c r="AM14" s="33"/>
      <c r="AN14" s="34">
        <f t="array" ref="AN14">XLOOKUP(AL8,'食譜'!$B:$B,'食譜'!$O:$O,"")</f>
        <v>4</v>
      </c>
      <c r="AO14" s="29"/>
      <c r="AP14" s="32" t="str">
        <f t="array" ref="AP14">XLOOKUP(XLOOKUP(AP8,'食譜'!$B:$B,'食譜'!$N:$N,""),'食材'!$B:$B,'食材'!$D:$D,"")</f>
        <v/>
      </c>
      <c r="AQ14" s="33"/>
      <c r="AR14" s="34">
        <f t="array" ref="AR14">XLOOKUP(AP8,'食譜'!$B:$B,'食譜'!$O:$O,"")</f>
        <v>4</v>
      </c>
      <c r="AS14" s="29"/>
      <c r="AT14" s="32" t="str">
        <f t="array" ref="AT14">XLOOKUP(XLOOKUP(AT8,'食譜'!$B:$B,'食譜'!$N:$N,""),'食材'!$B:$B,'食材'!$D:$D,"")</f>
        <v/>
      </c>
      <c r="AU14" s="33"/>
      <c r="AV14" s="34" t="str">
        <f t="array" ref="AV14">XLOOKUP(AT8,'食譜'!$B:$B,'食譜'!$O:$O,"")</f>
        <v/>
      </c>
      <c r="AW14" s="29"/>
      <c r="AX14" s="32" t="str">
        <f t="array" ref="AX14">XLOOKUP(XLOOKUP(AX8,'食譜'!$B:$B,'食譜'!$N:$N,""),'食材'!$B:$B,'食材'!$D:$D,"")</f>
        <v/>
      </c>
      <c r="AY14" s="33"/>
      <c r="AZ14" s="34">
        <f t="array" ref="AZ14">XLOOKUP(AX8,'食譜'!$B:$B,'食譜'!$O:$O,"")</f>
        <v>8</v>
      </c>
      <c r="BA14" s="29"/>
      <c r="BB14" s="32" t="str">
        <f t="array" ref="BB14">XLOOKUP(XLOOKUP(BB8,'食譜'!$B:$B,'食譜'!$N:$N,""),'食材'!$B:$B,'食材'!$D:$D,"")</f>
        <v/>
      </c>
      <c r="BC14" s="33"/>
      <c r="BD14" s="34">
        <f t="array" ref="BD14">XLOOKUP(BB8,'食譜'!$B:$B,'食譜'!$O:$O,"")</f>
        <v>8</v>
      </c>
      <c r="BE14" s="29"/>
      <c r="BF14" s="32" t="str">
        <f t="array" ref="BF14">XLOOKUP(XLOOKUP(BF8,'食譜'!$B:$B,'食譜'!$N:$N,""),'食材'!$B:$B,'食材'!$D:$D,"")</f>
        <v/>
      </c>
      <c r="BG14" s="33"/>
      <c r="BH14" s="34">
        <f t="array" ref="BH14">XLOOKUP(BF8,'食譜'!$B:$B,'食譜'!$O:$O,"")</f>
        <v>11</v>
      </c>
      <c r="BI14" s="29"/>
      <c r="BJ14" s="32" t="str">
        <f t="array" ref="BJ14">XLOOKUP(XLOOKUP(BJ8,'食譜'!$B:$B,'食譜'!$N:$N,""),'食材'!$B:$B,'食材'!$D:$D,"")</f>
        <v/>
      </c>
      <c r="BK14" s="33"/>
      <c r="BL14" s="34">
        <f t="array" ref="BL14">XLOOKUP(BJ8,'食譜'!$B:$B,'食譜'!$O:$O,"")</f>
        <v>8</v>
      </c>
      <c r="BM14" s="29"/>
      <c r="BN14" s="32" t="str">
        <f t="array" ref="BN14">XLOOKUP(XLOOKUP(BN8,'食譜'!$B:$B,'食譜'!$N:$N,""),'食材'!$B:$B,'食材'!$D:$D,"")</f>
        <v/>
      </c>
      <c r="BO14" s="33"/>
      <c r="BP14" s="34" t="str">
        <f t="array" ref="BP14">XLOOKUP(BN8,'食譜'!$B:$B,'食譜'!$O:$O,"")</f>
        <v/>
      </c>
      <c r="BQ14" s="29"/>
      <c r="BR14" s="32" t="str">
        <f t="array" ref="BR14">XLOOKUP(XLOOKUP(BR8,'食譜'!$B:$B,'食譜'!$N:$N,""),'食材'!$B:$B,'食材'!$D:$D,"")</f>
        <v/>
      </c>
      <c r="BS14" s="33"/>
      <c r="BT14" s="34">
        <f t="array" ref="BT14">XLOOKUP(BR8,'食譜'!$B:$B,'食譜'!$O:$O,"")</f>
        <v>12</v>
      </c>
      <c r="BU14" s="29"/>
      <c r="BV14" s="32" t="str">
        <f t="array" ref="BV14">XLOOKUP(XLOOKUP(BV8,'食譜'!$B:$B,'食譜'!$N:$N,""),'食材'!$B:$B,'食材'!$D:$D,"")</f>
        <v/>
      </c>
      <c r="BW14" s="33"/>
      <c r="BX14" s="34">
        <f t="array" ref="BX14">XLOOKUP(BV8,'食譜'!$B:$B,'食譜'!$O:$O,"")</f>
        <v>9</v>
      </c>
      <c r="BY14" s="29"/>
      <c r="BZ14" s="32" t="str">
        <f t="array" ref="BZ14">XLOOKUP(XLOOKUP(BZ8,'食譜'!$B:$B,'食譜'!$N:$N,""),'食材'!$B:$B,'食材'!$D:$D,"")</f>
        <v/>
      </c>
      <c r="CA14" s="33"/>
      <c r="CB14" s="34">
        <f t="array" ref="CB14">XLOOKUP(BZ8,'食譜'!$B:$B,'食譜'!$O:$O,"")</f>
        <v>14</v>
      </c>
      <c r="CC14" s="29"/>
      <c r="CD14" s="32" t="str">
        <f t="array" ref="CD14">XLOOKUP(XLOOKUP(CD8,'食譜'!$B:$B,'食譜'!$N:$N,""),'食材'!$B:$B,'食材'!$D:$D,"")</f>
        <v/>
      </c>
      <c r="CE14" s="33"/>
      <c r="CF14" s="34">
        <f t="array" ref="CF14">XLOOKUP(CD8,'食譜'!$B:$B,'食譜'!$O:$O,"")</f>
        <v>18</v>
      </c>
      <c r="CG14" s="29"/>
      <c r="CH14" s="32" t="str">
        <f t="array" ref="CH14">XLOOKUP(XLOOKUP(CH8,'食譜'!$B:$B,'食譜'!$N:$N,""),'食材'!$B:$B,'食材'!$D:$D,"")</f>
        <v/>
      </c>
      <c r="CI14" s="33"/>
      <c r="CJ14" s="34">
        <f t="array" ref="CJ14">XLOOKUP(CH8,'食譜'!$B:$B,'食譜'!$O:$O,"")</f>
        <v>23</v>
      </c>
      <c r="CK14" s="29"/>
      <c r="CL14" s="32" t="str">
        <f t="array" ref="CL14">XLOOKUP(XLOOKUP(CL8,'食譜'!$B:$B,'食譜'!$N:$N,""),'食材'!$B:$B,'食材'!$D:$D,"")</f>
        <v/>
      </c>
      <c r="CM14" s="33"/>
      <c r="CN14" s="34">
        <f t="array" ref="CN14">XLOOKUP(CL8,'食譜'!$B:$B,'食譜'!$O:$O,"")</f>
        <v>26</v>
      </c>
      <c r="CO14" s="29"/>
      <c r="CP14" s="32" t="str">
        <f t="array" ref="CP14">XLOOKUP(XLOOKUP(CP8,'食譜'!$B:$B,'食譜'!$N:$N,""),'食材'!$B:$B,'食材'!$D:$D,"")</f>
        <v/>
      </c>
      <c r="CQ14" s="33"/>
      <c r="CR14" s="34">
        <f t="array" ref="CR14">XLOOKUP(CP8,'食譜'!$B:$B,'食譜'!$O:$O,"")</f>
        <v>41</v>
      </c>
      <c r="CS14" s="29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7" t="str">
        <f t="array" ref="DG14">XLOOKUP(DK14,'食材'!$B:$B,'食材'!$D:$D,"")</f>
        <v/>
      </c>
      <c r="DH14" s="8"/>
      <c r="DI14" s="9">
        <f t="array" ref="DI14">XLOOKUP(DK14,'食材'!$B:$B,'食材'!$F:$F,"")</f>
        <v>110</v>
      </c>
      <c r="DJ14" s="8"/>
      <c r="DK14" s="10" t="s">
        <v>6</v>
      </c>
      <c r="DL14" s="11"/>
      <c r="DM14" s="11"/>
      <c r="DN14" s="11"/>
      <c r="DO14" s="11"/>
      <c r="DP14" s="11"/>
      <c r="DQ14" s="12"/>
      <c r="DR14" s="13"/>
    </row>
    <row r="15" ht="15.0" customHeight="1">
      <c r="A15" s="3"/>
      <c r="B15" s="14"/>
      <c r="E15" s="15"/>
      <c r="F15" s="16"/>
      <c r="G15" s="35"/>
      <c r="H15" s="36"/>
      <c r="I15" s="18"/>
      <c r="J15" s="16"/>
      <c r="K15" s="35"/>
      <c r="L15" s="36"/>
      <c r="M15" s="18"/>
      <c r="N15" s="16"/>
      <c r="O15" s="35"/>
      <c r="P15" s="36"/>
      <c r="Q15" s="18"/>
      <c r="R15" s="16"/>
      <c r="S15" s="35"/>
      <c r="T15" s="36"/>
      <c r="U15" s="18"/>
      <c r="V15" s="16"/>
      <c r="W15" s="35"/>
      <c r="X15" s="36"/>
      <c r="Y15" s="18"/>
      <c r="Z15" s="16"/>
      <c r="AA15" s="35"/>
      <c r="AB15" s="36"/>
      <c r="AC15" s="18"/>
      <c r="AD15" s="16"/>
      <c r="AE15" s="35"/>
      <c r="AF15" s="36"/>
      <c r="AG15" s="18"/>
      <c r="AH15" s="16"/>
      <c r="AI15" s="35"/>
      <c r="AJ15" s="36"/>
      <c r="AK15" s="18"/>
      <c r="AL15" s="16"/>
      <c r="AM15" s="35"/>
      <c r="AN15" s="36"/>
      <c r="AO15" s="18"/>
      <c r="AP15" s="16"/>
      <c r="AQ15" s="35"/>
      <c r="AR15" s="36"/>
      <c r="AS15" s="18"/>
      <c r="AT15" s="16"/>
      <c r="AU15" s="35"/>
      <c r="AV15" s="36"/>
      <c r="AW15" s="18"/>
      <c r="AX15" s="16"/>
      <c r="AY15" s="35"/>
      <c r="AZ15" s="36"/>
      <c r="BA15" s="18"/>
      <c r="BB15" s="16"/>
      <c r="BC15" s="35"/>
      <c r="BD15" s="36"/>
      <c r="BE15" s="18"/>
      <c r="BF15" s="16"/>
      <c r="BG15" s="35"/>
      <c r="BH15" s="36"/>
      <c r="BI15" s="18"/>
      <c r="BJ15" s="16"/>
      <c r="BK15" s="35"/>
      <c r="BL15" s="36"/>
      <c r="BM15" s="18"/>
      <c r="BN15" s="16"/>
      <c r="BO15" s="35"/>
      <c r="BP15" s="36"/>
      <c r="BQ15" s="18"/>
      <c r="BR15" s="16"/>
      <c r="BS15" s="35"/>
      <c r="BT15" s="36"/>
      <c r="BU15" s="18"/>
      <c r="BV15" s="16"/>
      <c r="BW15" s="35"/>
      <c r="BX15" s="36"/>
      <c r="BY15" s="18"/>
      <c r="BZ15" s="16"/>
      <c r="CA15" s="35"/>
      <c r="CB15" s="36"/>
      <c r="CC15" s="18"/>
      <c r="CD15" s="16"/>
      <c r="CE15" s="35"/>
      <c r="CF15" s="36"/>
      <c r="CG15" s="18"/>
      <c r="CH15" s="16"/>
      <c r="CI15" s="35"/>
      <c r="CJ15" s="36"/>
      <c r="CK15" s="18"/>
      <c r="CL15" s="16"/>
      <c r="CM15" s="35"/>
      <c r="CN15" s="36"/>
      <c r="CO15" s="18"/>
      <c r="CP15" s="16"/>
      <c r="CQ15" s="35"/>
      <c r="CR15" s="36"/>
      <c r="CS15" s="18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9"/>
      <c r="DH15" s="20"/>
      <c r="DI15" s="21"/>
      <c r="DJ15" s="20"/>
      <c r="DK15" s="21"/>
      <c r="DL15" s="22"/>
      <c r="DM15" s="22"/>
      <c r="DN15" s="22"/>
      <c r="DO15" s="22"/>
      <c r="DP15" s="22"/>
      <c r="DQ15" s="23"/>
      <c r="DR15" s="13"/>
    </row>
    <row r="16" ht="15.0" customHeight="1">
      <c r="A16" s="3"/>
      <c r="B16" s="14"/>
      <c r="E16" s="15"/>
      <c r="F16" s="32" t="str">
        <f t="array" ref="F16">XLOOKUP(XLOOKUP(F8,'食譜'!$B:$B,'食譜'!$P:$P,""),'食材'!$B:$B,'食材'!$D:$D,"")</f>
        <v/>
      </c>
      <c r="G16" s="33"/>
      <c r="H16" s="34" t="str">
        <f t="array" ref="H16">XLOOKUP(F8,'食譜'!$B:$B,'食譜'!$Q:$Q,"")</f>
        <v/>
      </c>
      <c r="I16" s="29"/>
      <c r="J16" s="32" t="str">
        <f t="array" ref="J16">XLOOKUP(XLOOKUP(J8,'食譜'!$B:$B,'食譜'!$P:$P,""),'食材'!$B:$B,'食材'!$D:$D,"")</f>
        <v/>
      </c>
      <c r="K16" s="33"/>
      <c r="L16" s="34" t="str">
        <f t="array" ref="L16">XLOOKUP(J8,'食譜'!$B:$B,'食譜'!$Q:$Q,"")</f>
        <v/>
      </c>
      <c r="M16" s="29"/>
      <c r="N16" s="32" t="str">
        <f t="array" ref="N16">XLOOKUP(XLOOKUP(N8,'食譜'!$B:$B,'食譜'!$P:$P,""),'食材'!$B:$B,'食材'!$D:$D,"")</f>
        <v/>
      </c>
      <c r="O16" s="33"/>
      <c r="P16" s="34" t="str">
        <f t="array" ref="P16">XLOOKUP(N8,'食譜'!$B:$B,'食譜'!$Q:$Q,"")</f>
        <v/>
      </c>
      <c r="Q16" s="29"/>
      <c r="R16" s="32" t="str">
        <f t="array" ref="R16">XLOOKUP(XLOOKUP(R8,'食譜'!$B:$B,'食譜'!$P:$P,""),'食材'!$B:$B,'食材'!$D:$D,"")</f>
        <v/>
      </c>
      <c r="S16" s="33"/>
      <c r="T16" s="34" t="str">
        <f t="array" ref="T16">XLOOKUP(R8,'食譜'!$B:$B,'食譜'!$Q:$Q,"")</f>
        <v/>
      </c>
      <c r="U16" s="29"/>
      <c r="V16" s="32" t="str">
        <f t="array" ref="V16">XLOOKUP(XLOOKUP(V8,'食譜'!$B:$B,'食譜'!$P:$P,""),'食材'!$B:$B,'食材'!$D:$D,"")</f>
        <v/>
      </c>
      <c r="W16" s="33"/>
      <c r="X16" s="34" t="str">
        <f t="array" ref="X16">XLOOKUP(V8,'食譜'!$B:$B,'食譜'!$Q:$Q,"")</f>
        <v/>
      </c>
      <c r="Y16" s="29"/>
      <c r="Z16" s="32" t="str">
        <f t="array" ref="Z16">XLOOKUP(XLOOKUP(Z8,'食譜'!$B:$B,'食譜'!$P:$P,""),'食材'!$B:$B,'食材'!$D:$D,"")</f>
        <v/>
      </c>
      <c r="AA16" s="33"/>
      <c r="AB16" s="34" t="str">
        <f t="array" ref="AB16">XLOOKUP(Z8,'食譜'!$B:$B,'食譜'!$Q:$Q,"")</f>
        <v/>
      </c>
      <c r="AC16" s="29"/>
      <c r="AD16" s="32" t="str">
        <f t="array" ref="AD16">XLOOKUP(XLOOKUP(AD8,'食譜'!$B:$B,'食譜'!$P:$P,""),'食材'!$B:$B,'食材'!$D:$D,"")</f>
        <v/>
      </c>
      <c r="AE16" s="33"/>
      <c r="AF16" s="34" t="str">
        <f t="array" ref="AF16">XLOOKUP(AD8,'食譜'!$B:$B,'食譜'!$Q:$Q,"")</f>
        <v/>
      </c>
      <c r="AG16" s="29"/>
      <c r="AH16" s="32" t="str">
        <f t="array" ref="AH16">XLOOKUP(XLOOKUP(AH8,'食譜'!$B:$B,'食譜'!$P:$P,""),'食材'!$B:$B,'食材'!$D:$D,"")</f>
        <v/>
      </c>
      <c r="AI16" s="33"/>
      <c r="AJ16" s="34" t="str">
        <f t="array" ref="AJ16">XLOOKUP(AH8,'食譜'!$B:$B,'食譜'!$Q:$Q,"")</f>
        <v/>
      </c>
      <c r="AK16" s="29"/>
      <c r="AL16" s="32" t="str">
        <f t="array" ref="AL16">XLOOKUP(XLOOKUP(AL8,'食譜'!$B:$B,'食譜'!$P:$P,""),'食材'!$B:$B,'食材'!$D:$D,"")</f>
        <v/>
      </c>
      <c r="AM16" s="33"/>
      <c r="AN16" s="34" t="str">
        <f t="array" ref="AN16">XLOOKUP(AL8,'食譜'!$B:$B,'食譜'!$Q:$Q,"")</f>
        <v/>
      </c>
      <c r="AO16" s="29"/>
      <c r="AP16" s="32" t="str">
        <f t="array" ref="AP16">XLOOKUP(XLOOKUP(AP8,'食譜'!$B:$B,'食譜'!$P:$P,""),'食材'!$B:$B,'食材'!$D:$D,"")</f>
        <v/>
      </c>
      <c r="AQ16" s="33"/>
      <c r="AR16" s="34">
        <f t="array" ref="AR16">XLOOKUP(AP8,'食譜'!$B:$B,'食譜'!$Q:$Q,"")</f>
        <v>4</v>
      </c>
      <c r="AS16" s="29"/>
      <c r="AT16" s="32" t="str">
        <f t="array" ref="AT16">XLOOKUP(XLOOKUP(AT8,'食譜'!$B:$B,'食譜'!$P:$P,""),'食材'!$B:$B,'食材'!$D:$D,"")</f>
        <v/>
      </c>
      <c r="AU16" s="33"/>
      <c r="AV16" s="34" t="str">
        <f t="array" ref="AV16">XLOOKUP(AT8,'食譜'!$B:$B,'食譜'!$Q:$Q,"")</f>
        <v/>
      </c>
      <c r="AW16" s="29"/>
      <c r="AX16" s="32" t="str">
        <f t="array" ref="AX16">XLOOKUP(XLOOKUP(AX8,'食譜'!$B:$B,'食譜'!$P:$P,""),'食材'!$B:$B,'食材'!$D:$D,"")</f>
        <v/>
      </c>
      <c r="AY16" s="33"/>
      <c r="AZ16" s="34">
        <f t="array" ref="AZ16">XLOOKUP(AX8,'食譜'!$B:$B,'食譜'!$Q:$Q,"")</f>
        <v>4</v>
      </c>
      <c r="BA16" s="29"/>
      <c r="BB16" s="32" t="str">
        <f t="array" ref="BB16">XLOOKUP(XLOOKUP(BB8,'食譜'!$B:$B,'食譜'!$P:$P,""),'食材'!$B:$B,'食材'!$D:$D,"")</f>
        <v/>
      </c>
      <c r="BC16" s="33"/>
      <c r="BD16" s="34" t="str">
        <f t="array" ref="BD16">XLOOKUP(BB8,'食譜'!$B:$B,'食譜'!$Q:$Q,"")</f>
        <v/>
      </c>
      <c r="BE16" s="29"/>
      <c r="BF16" s="32" t="str">
        <f t="array" ref="BF16">XLOOKUP(XLOOKUP(BF8,'食譜'!$B:$B,'食譜'!$P:$P,""),'食材'!$B:$B,'食材'!$D:$D,"")</f>
        <v/>
      </c>
      <c r="BG16" s="33"/>
      <c r="BH16" s="34" t="str">
        <f t="array" ref="BH16">XLOOKUP(BF8,'食譜'!$B:$B,'食譜'!$Q:$Q,"")</f>
        <v/>
      </c>
      <c r="BI16" s="29"/>
      <c r="BJ16" s="32" t="str">
        <f t="array" ref="BJ16">XLOOKUP(XLOOKUP(BJ8,'食譜'!$B:$B,'食譜'!$P:$P,""),'食材'!$B:$B,'食材'!$D:$D,"")</f>
        <v/>
      </c>
      <c r="BK16" s="33"/>
      <c r="BL16" s="34" t="str">
        <f t="array" ref="BL16">XLOOKUP(BJ8,'食譜'!$B:$B,'食譜'!$Q:$Q,"")</f>
        <v/>
      </c>
      <c r="BM16" s="29"/>
      <c r="BN16" s="32" t="str">
        <f t="array" ref="BN16">XLOOKUP(XLOOKUP(BN8,'食譜'!$B:$B,'食譜'!$P:$P,""),'食材'!$B:$B,'食材'!$D:$D,"")</f>
        <v/>
      </c>
      <c r="BO16" s="33"/>
      <c r="BP16" s="34" t="str">
        <f t="array" ref="BP16">XLOOKUP(BN8,'食譜'!$B:$B,'食譜'!$Q:$Q,"")</f>
        <v/>
      </c>
      <c r="BQ16" s="29"/>
      <c r="BR16" s="32" t="str">
        <f t="array" ref="BR16">XLOOKUP(XLOOKUP(BR8,'食譜'!$B:$B,'食譜'!$P:$P,""),'食材'!$B:$B,'食材'!$D:$D,"")</f>
        <v/>
      </c>
      <c r="BS16" s="33"/>
      <c r="BT16" s="34">
        <f t="array" ref="BT16">XLOOKUP(BR8,'食譜'!$B:$B,'食譜'!$Q:$Q,"")</f>
        <v>10</v>
      </c>
      <c r="BU16" s="29"/>
      <c r="BV16" s="32" t="str">
        <f t="array" ref="BV16">XLOOKUP(XLOOKUP(BV8,'食譜'!$B:$B,'食譜'!$P:$P,""),'食材'!$B:$B,'食材'!$D:$D,"")</f>
        <v/>
      </c>
      <c r="BW16" s="33"/>
      <c r="BX16" s="34">
        <f t="array" ref="BX16">XLOOKUP(BV8,'食譜'!$B:$B,'食譜'!$Q:$Q,"")</f>
        <v>5</v>
      </c>
      <c r="BY16" s="29"/>
      <c r="BZ16" s="32" t="str">
        <f t="array" ref="BZ16">XLOOKUP(XLOOKUP(BZ8,'食譜'!$B:$B,'食譜'!$P:$P,""),'食材'!$B:$B,'食材'!$D:$D,"")</f>
        <v/>
      </c>
      <c r="CA16" s="33"/>
      <c r="CB16" s="34">
        <f t="array" ref="CB16">XLOOKUP(BZ8,'食譜'!$B:$B,'食譜'!$Q:$Q,"")</f>
        <v>12</v>
      </c>
      <c r="CC16" s="29"/>
      <c r="CD16" s="32" t="str">
        <f t="array" ref="CD16">XLOOKUP(XLOOKUP(CD8,'食譜'!$B:$B,'食譜'!$P:$P,""),'食材'!$B:$B,'食材'!$D:$D,"")</f>
        <v/>
      </c>
      <c r="CE16" s="33"/>
      <c r="CF16" s="34">
        <f t="array" ref="CF16">XLOOKUP(CD8,'食譜'!$B:$B,'食譜'!$Q:$Q,"")</f>
        <v>25</v>
      </c>
      <c r="CG16" s="29"/>
      <c r="CH16" s="32" t="str">
        <f t="array" ref="CH16">XLOOKUP(XLOOKUP(CH8,'食譜'!$B:$B,'食譜'!$P:$P,""),'食材'!$B:$B,'食材'!$D:$D,"")</f>
        <v/>
      </c>
      <c r="CI16" s="33"/>
      <c r="CJ16" s="34">
        <f t="array" ref="CJ16">XLOOKUP(CH8,'食譜'!$B:$B,'食譜'!$Q:$Q,"")</f>
        <v>16</v>
      </c>
      <c r="CK16" s="29"/>
      <c r="CL16" s="32" t="str">
        <f t="array" ref="CL16">XLOOKUP(XLOOKUP(CL8,'食譜'!$B:$B,'食譜'!$P:$P,""),'食材'!$B:$B,'食材'!$D:$D,"")</f>
        <v/>
      </c>
      <c r="CM16" s="33"/>
      <c r="CN16" s="34">
        <f t="array" ref="CN16">XLOOKUP(CL8,'食譜'!$B:$B,'食譜'!$Q:$Q,"")</f>
        <v>22</v>
      </c>
      <c r="CO16" s="29"/>
      <c r="CP16" s="32" t="str">
        <f t="array" ref="CP16">XLOOKUP(XLOOKUP(CP8,'食譜'!$B:$B,'食譜'!$P:$P,""),'食材'!$B:$B,'食材'!$D:$D,"")</f>
        <v/>
      </c>
      <c r="CQ16" s="33"/>
      <c r="CR16" s="34">
        <f t="array" ref="CR16">XLOOKUP(CP8,'食譜'!$B:$B,'食譜'!$Q:$Q,"")</f>
        <v>32</v>
      </c>
      <c r="CS16" s="29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7" t="str">
        <f t="array" ref="DG16">XLOOKUP(DK16,'食材'!$B:$B,'食材'!$D:$D,"")</f>
        <v/>
      </c>
      <c r="DH16" s="8"/>
      <c r="DI16" s="9">
        <f t="array" ref="DI16">XLOOKUP(DK16,'食材'!$B:$B,'食材'!$F:$F,"")</f>
        <v>115</v>
      </c>
      <c r="DJ16" s="8"/>
      <c r="DK16" s="10" t="s">
        <v>7</v>
      </c>
      <c r="DL16" s="11"/>
      <c r="DM16" s="11"/>
      <c r="DN16" s="11"/>
      <c r="DO16" s="11"/>
      <c r="DP16" s="11"/>
      <c r="DQ16" s="12"/>
      <c r="DR16" s="13"/>
    </row>
    <row r="17" ht="15.0" customHeight="1">
      <c r="A17" s="3"/>
      <c r="B17" s="14"/>
      <c r="E17" s="15"/>
      <c r="F17" s="16"/>
      <c r="G17" s="35"/>
      <c r="H17" s="36"/>
      <c r="I17" s="18"/>
      <c r="J17" s="16"/>
      <c r="K17" s="35"/>
      <c r="L17" s="36"/>
      <c r="M17" s="18"/>
      <c r="N17" s="16"/>
      <c r="O17" s="35"/>
      <c r="P17" s="36"/>
      <c r="Q17" s="18"/>
      <c r="R17" s="16"/>
      <c r="S17" s="35"/>
      <c r="T17" s="36"/>
      <c r="U17" s="18"/>
      <c r="V17" s="16"/>
      <c r="W17" s="35"/>
      <c r="X17" s="36"/>
      <c r="Y17" s="18"/>
      <c r="Z17" s="16"/>
      <c r="AA17" s="35"/>
      <c r="AB17" s="36"/>
      <c r="AC17" s="18"/>
      <c r="AD17" s="16"/>
      <c r="AE17" s="35"/>
      <c r="AF17" s="36"/>
      <c r="AG17" s="18"/>
      <c r="AH17" s="16"/>
      <c r="AI17" s="35"/>
      <c r="AJ17" s="36"/>
      <c r="AK17" s="18"/>
      <c r="AL17" s="16"/>
      <c r="AM17" s="35"/>
      <c r="AN17" s="36"/>
      <c r="AO17" s="18"/>
      <c r="AP17" s="16"/>
      <c r="AQ17" s="35"/>
      <c r="AR17" s="36"/>
      <c r="AS17" s="18"/>
      <c r="AT17" s="16"/>
      <c r="AU17" s="35"/>
      <c r="AV17" s="36"/>
      <c r="AW17" s="18"/>
      <c r="AX17" s="16"/>
      <c r="AY17" s="35"/>
      <c r="AZ17" s="36"/>
      <c r="BA17" s="18"/>
      <c r="BB17" s="16"/>
      <c r="BC17" s="35"/>
      <c r="BD17" s="36"/>
      <c r="BE17" s="18"/>
      <c r="BF17" s="16"/>
      <c r="BG17" s="35"/>
      <c r="BH17" s="36"/>
      <c r="BI17" s="18"/>
      <c r="BJ17" s="16"/>
      <c r="BK17" s="35"/>
      <c r="BL17" s="36"/>
      <c r="BM17" s="18"/>
      <c r="BN17" s="16"/>
      <c r="BO17" s="35"/>
      <c r="BP17" s="36"/>
      <c r="BQ17" s="18"/>
      <c r="BR17" s="16"/>
      <c r="BS17" s="35"/>
      <c r="BT17" s="36"/>
      <c r="BU17" s="18"/>
      <c r="BV17" s="16"/>
      <c r="BW17" s="35"/>
      <c r="BX17" s="36"/>
      <c r="BY17" s="18"/>
      <c r="BZ17" s="16"/>
      <c r="CA17" s="35"/>
      <c r="CB17" s="36"/>
      <c r="CC17" s="18"/>
      <c r="CD17" s="16"/>
      <c r="CE17" s="35"/>
      <c r="CF17" s="36"/>
      <c r="CG17" s="18"/>
      <c r="CH17" s="16"/>
      <c r="CI17" s="35"/>
      <c r="CJ17" s="36"/>
      <c r="CK17" s="18"/>
      <c r="CL17" s="16"/>
      <c r="CM17" s="35"/>
      <c r="CN17" s="36"/>
      <c r="CO17" s="18"/>
      <c r="CP17" s="16"/>
      <c r="CQ17" s="35"/>
      <c r="CR17" s="36"/>
      <c r="CS17" s="18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9"/>
      <c r="DH17" s="20"/>
      <c r="DI17" s="21"/>
      <c r="DJ17" s="20"/>
      <c r="DK17" s="21"/>
      <c r="DL17" s="22"/>
      <c r="DM17" s="22"/>
      <c r="DN17" s="22"/>
      <c r="DO17" s="22"/>
      <c r="DP17" s="22"/>
      <c r="DQ17" s="23"/>
      <c r="DR17" s="13"/>
    </row>
    <row r="18" ht="15.0" customHeight="1">
      <c r="A18" s="3"/>
      <c r="B18" s="14"/>
      <c r="E18" s="15"/>
      <c r="F18" s="37">
        <f t="array" ref="F18">XLOOKUP(F8,'食譜'!$B:$B,'食譜'!$D:$D,"")</f>
        <v>7</v>
      </c>
      <c r="G18" s="28"/>
      <c r="H18" s="28"/>
      <c r="I18" s="29"/>
      <c r="J18" s="37">
        <f t="array" ref="J18">XLOOKUP(J8,'食譜'!$B:$B,'食譜'!$D:$D,"")</f>
        <v>7</v>
      </c>
      <c r="K18" s="28"/>
      <c r="L18" s="28"/>
      <c r="M18" s="29"/>
      <c r="N18" s="37">
        <f t="array" ref="N18">XLOOKUP(N8,'食譜'!$B:$B,'食譜'!$D:$D,"")</f>
        <v>7</v>
      </c>
      <c r="O18" s="28"/>
      <c r="P18" s="28"/>
      <c r="Q18" s="29"/>
      <c r="R18" s="37">
        <f t="array" ref="R18">XLOOKUP(R8,'食譜'!$B:$B,'食譜'!$D:$D,"")</f>
        <v>7</v>
      </c>
      <c r="S18" s="28"/>
      <c r="T18" s="28"/>
      <c r="U18" s="29"/>
      <c r="V18" s="37">
        <f t="array" ref="V18">XLOOKUP(V8,'食譜'!$B:$B,'食譜'!$D:$D,"")</f>
        <v>16</v>
      </c>
      <c r="W18" s="28"/>
      <c r="X18" s="28"/>
      <c r="Y18" s="29"/>
      <c r="Z18" s="37">
        <f t="array" ref="Z18">XLOOKUP(Z8,'食譜'!$B:$B,'食譜'!$D:$D,"")</f>
        <v>15</v>
      </c>
      <c r="AA18" s="28"/>
      <c r="AB18" s="28"/>
      <c r="AC18" s="29"/>
      <c r="AD18" s="37">
        <f t="array" ref="AD18">XLOOKUP(AD8,'食譜'!$B:$B,'食譜'!$D:$D,"")</f>
        <v>15</v>
      </c>
      <c r="AE18" s="28"/>
      <c r="AF18" s="28"/>
      <c r="AG18" s="29"/>
      <c r="AH18" s="37">
        <f t="array" ref="AH18">XLOOKUP(AH8,'食譜'!$B:$B,'食譜'!$D:$D,"")</f>
        <v>16</v>
      </c>
      <c r="AI18" s="28"/>
      <c r="AJ18" s="28"/>
      <c r="AK18" s="29"/>
      <c r="AL18" s="37">
        <f t="array" ref="AL18">XLOOKUP(AL8,'食譜'!$B:$B,'食譜'!$D:$D,"")</f>
        <v>22</v>
      </c>
      <c r="AM18" s="28"/>
      <c r="AN18" s="28"/>
      <c r="AO18" s="29"/>
      <c r="AP18" s="37">
        <f t="array" ref="AP18">XLOOKUP(AP8,'食譜'!$B:$B,'食譜'!$D:$D,"")</f>
        <v>26</v>
      </c>
      <c r="AQ18" s="28"/>
      <c r="AR18" s="28"/>
      <c r="AS18" s="29"/>
      <c r="AT18" s="37">
        <f t="array" ref="AT18">XLOOKUP(AT8,'食譜'!$B:$B,'食譜'!$D:$D,"")</f>
        <v>23</v>
      </c>
      <c r="AU18" s="28"/>
      <c r="AV18" s="28"/>
      <c r="AW18" s="29"/>
      <c r="AX18" s="37">
        <f t="array" ref="AX18">XLOOKUP(AX8,'食譜'!$B:$B,'食譜'!$D:$D,"")</f>
        <v>35</v>
      </c>
      <c r="AY18" s="28"/>
      <c r="AZ18" s="28"/>
      <c r="BA18" s="29"/>
      <c r="BB18" s="37">
        <f t="array" ref="BB18">XLOOKUP(BB8,'食譜'!$B:$B,'食譜'!$D:$D,"")</f>
        <v>30</v>
      </c>
      <c r="BC18" s="28"/>
      <c r="BD18" s="28"/>
      <c r="BE18" s="29"/>
      <c r="BF18" s="37">
        <f t="array" ref="BF18">XLOOKUP(BF8,'食譜'!$B:$B,'食譜'!$D:$D,"")</f>
        <v>33</v>
      </c>
      <c r="BG18" s="28"/>
      <c r="BH18" s="28"/>
      <c r="BI18" s="29"/>
      <c r="BJ18" s="37">
        <f t="array" ref="BJ18">XLOOKUP(BJ8,'食譜'!$B:$B,'食譜'!$D:$D,"")</f>
        <v>32</v>
      </c>
      <c r="BK18" s="28"/>
      <c r="BL18" s="28"/>
      <c r="BM18" s="29"/>
      <c r="BN18" s="37">
        <f t="array" ref="BN18">XLOOKUP(BN8,'食譜'!$B:$B,'食譜'!$D:$D,"")</f>
        <v>33</v>
      </c>
      <c r="BO18" s="28"/>
      <c r="BP18" s="28"/>
      <c r="BQ18" s="29"/>
      <c r="BR18" s="37">
        <f t="array" ref="BR18">XLOOKUP(BR8,'食譜'!$B:$B,'食譜'!$D:$D,"")</f>
        <v>55</v>
      </c>
      <c r="BS18" s="28"/>
      <c r="BT18" s="28"/>
      <c r="BU18" s="29"/>
      <c r="BV18" s="37">
        <f t="array" ref="BV18">XLOOKUP(BV8,'食譜'!$B:$B,'食譜'!$D:$D,"")</f>
        <v>50</v>
      </c>
      <c r="BW18" s="28"/>
      <c r="BX18" s="28"/>
      <c r="BY18" s="29"/>
      <c r="BZ18" s="37">
        <f t="array" ref="BZ18">XLOOKUP(BZ8,'食譜'!$B:$B,'食譜'!$D:$D,"")</f>
        <v>77</v>
      </c>
      <c r="CA18" s="28"/>
      <c r="CB18" s="28"/>
      <c r="CC18" s="29"/>
      <c r="CD18" s="37">
        <f t="array" ref="CD18">XLOOKUP(CD8,'食譜'!$B:$B,'食譜'!$D:$D,"")</f>
        <v>69</v>
      </c>
      <c r="CE18" s="28"/>
      <c r="CF18" s="28"/>
      <c r="CG18" s="29"/>
      <c r="CH18" s="37">
        <f t="array" ref="CH18">XLOOKUP(CH8,'食譜'!$B:$B,'食譜'!$D:$D,"")</f>
        <v>92</v>
      </c>
      <c r="CI18" s="28"/>
      <c r="CJ18" s="28"/>
      <c r="CK18" s="29"/>
      <c r="CL18" s="37">
        <f t="array" ref="CL18">XLOOKUP(CL8,'食譜'!$B:$B,'食譜'!$D:$D,"")</f>
        <v>101</v>
      </c>
      <c r="CM18" s="28"/>
      <c r="CN18" s="28"/>
      <c r="CO18" s="29"/>
      <c r="CP18" s="37">
        <f t="array" ref="CP18">XLOOKUP(CP8,'食譜'!$B:$B,'食譜'!$D:$D,"")</f>
        <v>115</v>
      </c>
      <c r="CQ18" s="28"/>
      <c r="CR18" s="28"/>
      <c r="CS18" s="29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7" t="str">
        <f t="array" ref="DG18">XLOOKUP(DK18,'食材'!$B:$B,'食材'!$D:$D,"")</f>
        <v/>
      </c>
      <c r="DH18" s="8"/>
      <c r="DI18" s="9">
        <f t="array" ref="DI18">XLOOKUP(DK18,'食材'!$B:$B,'食材'!$F:$F,"")</f>
        <v>121</v>
      </c>
      <c r="DJ18" s="8"/>
      <c r="DK18" s="10" t="s">
        <v>8</v>
      </c>
      <c r="DL18" s="11"/>
      <c r="DM18" s="11"/>
      <c r="DN18" s="11"/>
      <c r="DO18" s="11"/>
      <c r="DP18" s="11"/>
      <c r="DQ18" s="12"/>
      <c r="DR18" s="13"/>
    </row>
    <row r="19" ht="15.0" customHeight="1">
      <c r="A19" s="3"/>
      <c r="B19" s="16"/>
      <c r="C19" s="17"/>
      <c r="D19" s="17"/>
      <c r="E19" s="18"/>
      <c r="F19" s="38"/>
      <c r="G19" s="39"/>
      <c r="H19" s="39"/>
      <c r="I19" s="40"/>
      <c r="J19" s="38"/>
      <c r="K19" s="39"/>
      <c r="L19" s="39"/>
      <c r="M19" s="40"/>
      <c r="N19" s="38"/>
      <c r="O19" s="39"/>
      <c r="P19" s="39"/>
      <c r="Q19" s="40"/>
      <c r="R19" s="38"/>
      <c r="S19" s="39"/>
      <c r="T19" s="39"/>
      <c r="U19" s="40"/>
      <c r="V19" s="38"/>
      <c r="W19" s="39"/>
      <c r="X19" s="39"/>
      <c r="Y19" s="40"/>
      <c r="Z19" s="38"/>
      <c r="AA19" s="39"/>
      <c r="AB19" s="39"/>
      <c r="AC19" s="40"/>
      <c r="AD19" s="38"/>
      <c r="AE19" s="39"/>
      <c r="AF19" s="39"/>
      <c r="AG19" s="40"/>
      <c r="AH19" s="38"/>
      <c r="AI19" s="39"/>
      <c r="AJ19" s="39"/>
      <c r="AK19" s="40"/>
      <c r="AL19" s="38"/>
      <c r="AM19" s="39"/>
      <c r="AN19" s="39"/>
      <c r="AO19" s="40"/>
      <c r="AP19" s="38"/>
      <c r="AQ19" s="39"/>
      <c r="AR19" s="39"/>
      <c r="AS19" s="40"/>
      <c r="AT19" s="38"/>
      <c r="AU19" s="39"/>
      <c r="AV19" s="39"/>
      <c r="AW19" s="40"/>
      <c r="AX19" s="38"/>
      <c r="AY19" s="39"/>
      <c r="AZ19" s="39"/>
      <c r="BA19" s="40"/>
      <c r="BB19" s="38"/>
      <c r="BC19" s="39"/>
      <c r="BD19" s="39"/>
      <c r="BE19" s="40"/>
      <c r="BF19" s="38"/>
      <c r="BG19" s="39"/>
      <c r="BH19" s="39"/>
      <c r="BI19" s="40"/>
      <c r="BJ19" s="38"/>
      <c r="BK19" s="39"/>
      <c r="BL19" s="39"/>
      <c r="BM19" s="40"/>
      <c r="BN19" s="38"/>
      <c r="BO19" s="39"/>
      <c r="BP19" s="39"/>
      <c r="BQ19" s="40"/>
      <c r="BR19" s="38"/>
      <c r="BS19" s="39"/>
      <c r="BT19" s="39"/>
      <c r="BU19" s="40"/>
      <c r="BV19" s="38"/>
      <c r="BW19" s="39"/>
      <c r="BX19" s="39"/>
      <c r="BY19" s="40"/>
      <c r="BZ19" s="38"/>
      <c r="CA19" s="39"/>
      <c r="CB19" s="39"/>
      <c r="CC19" s="40"/>
      <c r="CD19" s="38"/>
      <c r="CE19" s="39"/>
      <c r="CF19" s="39"/>
      <c r="CG19" s="40"/>
      <c r="CH19" s="38"/>
      <c r="CI19" s="39"/>
      <c r="CJ19" s="39"/>
      <c r="CK19" s="40"/>
      <c r="CL19" s="38"/>
      <c r="CM19" s="39"/>
      <c r="CN19" s="39"/>
      <c r="CO19" s="40"/>
      <c r="CP19" s="38"/>
      <c r="CQ19" s="39"/>
      <c r="CR19" s="39"/>
      <c r="CS19" s="40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9"/>
      <c r="DH19" s="20"/>
      <c r="DI19" s="21"/>
      <c r="DJ19" s="20"/>
      <c r="DK19" s="21"/>
      <c r="DL19" s="22"/>
      <c r="DM19" s="22"/>
      <c r="DN19" s="22"/>
      <c r="DO19" s="22"/>
      <c r="DP19" s="22"/>
      <c r="DQ19" s="23"/>
      <c r="DR19" s="13"/>
    </row>
    <row r="20" ht="15.0" customHeight="1">
      <c r="A20" s="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3"/>
      <c r="CY20" s="43"/>
      <c r="CZ20" s="43"/>
      <c r="DA20" s="43"/>
      <c r="DB20" s="1"/>
      <c r="DC20" s="1"/>
      <c r="DD20" s="1"/>
      <c r="DE20" s="1"/>
      <c r="DF20" s="1"/>
      <c r="DG20" s="7" t="str">
        <f t="array" ref="DG20">XLOOKUP(DK20,'食材'!$B:$B,'食材'!$D:$D,"")</f>
        <v/>
      </c>
      <c r="DH20" s="8"/>
      <c r="DI20" s="9">
        <f t="array" ref="DI20">XLOOKUP(DK20,'食材'!$B:$B,'食材'!$F:$F,"")</f>
        <v>124</v>
      </c>
      <c r="DJ20" s="8"/>
      <c r="DK20" s="10" t="s">
        <v>9</v>
      </c>
      <c r="DL20" s="11"/>
      <c r="DM20" s="11"/>
      <c r="DN20" s="11"/>
      <c r="DO20" s="11"/>
      <c r="DP20" s="11"/>
      <c r="DQ20" s="12"/>
      <c r="DR20" s="13"/>
    </row>
    <row r="21" ht="15.0" customHeight="1">
      <c r="A21" s="1"/>
      <c r="B21" s="41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3"/>
      <c r="CY21" s="43"/>
      <c r="CZ21" s="43"/>
      <c r="DA21" s="43"/>
      <c r="DB21" s="1"/>
      <c r="DC21" s="1"/>
      <c r="DD21" s="1"/>
      <c r="DE21" s="1"/>
      <c r="DF21" s="1"/>
      <c r="DG21" s="19"/>
      <c r="DH21" s="20"/>
      <c r="DI21" s="21"/>
      <c r="DJ21" s="20"/>
      <c r="DK21" s="21"/>
      <c r="DL21" s="22"/>
      <c r="DM21" s="22"/>
      <c r="DN21" s="22"/>
      <c r="DO21" s="22"/>
      <c r="DP21" s="22"/>
      <c r="DQ21" s="23"/>
      <c r="DR21" s="13"/>
    </row>
    <row r="22" ht="15.0" customHeight="1">
      <c r="A22" s="1"/>
      <c r="B22" s="44" t="str">
        <f t="array" ref="B22">XLOOKUP("拌拌沙拉",'食譜'!B:B,'食譜'!A:A,"")</f>
        <v/>
      </c>
      <c r="C22" s="5"/>
      <c r="D22" s="5"/>
      <c r="E22" s="6"/>
      <c r="F22" s="44">
        <f t="array" ref="F22">XLOOKUP(F28,'食譜'!$B:$B,'食譜'!$F:$F,"")</f>
        <v>0.19</v>
      </c>
      <c r="G22" s="5"/>
      <c r="H22" s="5"/>
      <c r="I22" s="6"/>
      <c r="J22" s="44">
        <f t="array" ref="J22">XLOOKUP(J28,'食譜'!$B:$B,'食譜'!$F:$F,"")</f>
        <v>0.19</v>
      </c>
      <c r="K22" s="5"/>
      <c r="L22" s="5"/>
      <c r="M22" s="6"/>
      <c r="N22" s="44">
        <f t="array" ref="N22">XLOOKUP(N28,'食譜'!$B:$B,'食譜'!$F:$F,"")</f>
        <v>0.19</v>
      </c>
      <c r="O22" s="5"/>
      <c r="P22" s="5"/>
      <c r="Q22" s="6"/>
      <c r="R22" s="44">
        <f t="array" ref="R22">XLOOKUP(R28,'食譜'!$B:$B,'食譜'!$F:$F,"")</f>
        <v>0.19</v>
      </c>
      <c r="S22" s="5"/>
      <c r="T22" s="5"/>
      <c r="U22" s="6"/>
      <c r="V22" s="44">
        <f t="array" ref="V22">XLOOKUP(V28,'食譜'!$B:$B,'食譜'!$F:$F,"")</f>
        <v>0.19</v>
      </c>
      <c r="W22" s="5"/>
      <c r="X22" s="5"/>
      <c r="Y22" s="6"/>
      <c r="Z22" s="44">
        <f t="array" ref="Z22">XLOOKUP(Z28,'食譜'!$B:$B,'食譜'!$F:$F,"")</f>
        <v>0.21</v>
      </c>
      <c r="AA22" s="5"/>
      <c r="AB22" s="5"/>
      <c r="AC22" s="6"/>
      <c r="AD22" s="44">
        <f t="array" ref="AD22">XLOOKUP(AD28,'食譜'!$B:$B,'食譜'!$F:$F,"")</f>
        <v>0.25</v>
      </c>
      <c r="AE22" s="5"/>
      <c r="AF22" s="5"/>
      <c r="AG22" s="6"/>
      <c r="AH22" s="44">
        <f t="array" ref="AH22">XLOOKUP(AH28,'食譜'!$B:$B,'食譜'!$F:$F,"")</f>
        <v>0.19</v>
      </c>
      <c r="AI22" s="5"/>
      <c r="AJ22" s="5"/>
      <c r="AK22" s="6"/>
      <c r="AL22" s="44">
        <f t="array" ref="AL22">XLOOKUP(AL28,'食譜'!$B:$B,'食譜'!$F:$F,"")</f>
        <v>0.21</v>
      </c>
      <c r="AM22" s="5"/>
      <c r="AN22" s="5"/>
      <c r="AO22" s="6"/>
      <c r="AP22" s="44">
        <f t="array" ref="AP22">XLOOKUP(AP28,'食譜'!$B:$B,'食譜'!$F:$F,"")</f>
        <v>0.2</v>
      </c>
      <c r="AQ22" s="5"/>
      <c r="AR22" s="5"/>
      <c r="AS22" s="6"/>
      <c r="AT22" s="44">
        <f t="array" ref="AT22">XLOOKUP(AT28,'食譜'!$B:$B,'食譜'!$F:$F,"")</f>
        <v>0.25</v>
      </c>
      <c r="AU22" s="5"/>
      <c r="AV22" s="5"/>
      <c r="AW22" s="6"/>
      <c r="AX22" s="44">
        <f t="array" ref="AX22">XLOOKUP(AX28,'食譜'!$B:$B,'食譜'!$F:$F,"")</f>
        <v>0.21</v>
      </c>
      <c r="AY22" s="5"/>
      <c r="AZ22" s="5"/>
      <c r="BA22" s="6"/>
      <c r="BB22" s="44">
        <f t="array" ref="BB22">XLOOKUP(BB28,'食譜'!$B:$B,'食譜'!$F:$F,"")</f>
        <v>0.25</v>
      </c>
      <c r="BC22" s="5"/>
      <c r="BD22" s="5"/>
      <c r="BE22" s="6"/>
      <c r="BF22" s="44">
        <f t="array" ref="BF22">XLOOKUP(BF28,'食譜'!$B:$B,'食譜'!$F:$F,"")</f>
        <v>0.25</v>
      </c>
      <c r="BG22" s="5"/>
      <c r="BH22" s="5"/>
      <c r="BI22" s="6"/>
      <c r="BJ22" s="44">
        <f t="array" ref="BJ22">XLOOKUP(BJ28,'食譜'!$B:$B,'食譜'!$F:$F,"")</f>
        <v>0.25</v>
      </c>
      <c r="BK22" s="5"/>
      <c r="BL22" s="5"/>
      <c r="BM22" s="6"/>
      <c r="BN22" s="44">
        <f t="array" ref="BN22">XLOOKUP(BN28,'食譜'!$B:$B,'食譜'!$F:$F,"")</f>
        <v>0.35</v>
      </c>
      <c r="BO22" s="5"/>
      <c r="BP22" s="5"/>
      <c r="BQ22" s="6"/>
      <c r="BR22" s="44">
        <f t="array" ref="BR22">XLOOKUP(BR28,'食譜'!$B:$B,'食譜'!$F:$F,"")</f>
        <v>0.48</v>
      </c>
      <c r="BS22" s="5"/>
      <c r="BT22" s="5"/>
      <c r="BU22" s="6"/>
      <c r="BV22" s="44">
        <f t="array" ref="BV22">XLOOKUP(BV28,'食譜'!$B:$B,'食譜'!$F:$F,"")</f>
        <v>0.25</v>
      </c>
      <c r="BW22" s="5"/>
      <c r="BX22" s="5"/>
      <c r="BY22" s="6"/>
      <c r="BZ22" s="44">
        <f t="array" ref="BZ22">XLOOKUP(BZ28,'食譜'!$B:$B,'食譜'!$F:$F,"")</f>
        <v>0.35</v>
      </c>
      <c r="CA22" s="5"/>
      <c r="CB22" s="5"/>
      <c r="CC22" s="6"/>
      <c r="CD22" s="44">
        <f t="array" ref="CD22">XLOOKUP(CD28,'食譜'!$B:$B,'食譜'!$F:$F,"")</f>
        <v>0.48</v>
      </c>
      <c r="CE22" s="5"/>
      <c r="CF22" s="5"/>
      <c r="CG22" s="6"/>
      <c r="CH22" s="44">
        <f t="array" ref="CH22">XLOOKUP(CH28,'食譜'!$B:$B,'食譜'!$F:$F,"")</f>
        <v>0.48</v>
      </c>
      <c r="CI22" s="5"/>
      <c r="CJ22" s="5"/>
      <c r="CK22" s="6"/>
      <c r="CL22" s="44">
        <f t="array" ref="CL22">XLOOKUP(CL28,'食譜'!$B:$B,'食譜'!$F:$F,"")</f>
        <v>0.48</v>
      </c>
      <c r="CM22" s="5"/>
      <c r="CN22" s="5"/>
      <c r="CO22" s="6"/>
      <c r="CP22" s="44">
        <f t="array" ref="CP22">XLOOKUP(CP28,'食譜'!$B:$B,'食譜'!$F:$F,"")</f>
        <v>0.78</v>
      </c>
      <c r="CQ22" s="5"/>
      <c r="CR22" s="5"/>
      <c r="CS22" s="6"/>
      <c r="CT22" s="44">
        <f t="array" ref="CT22">XLOOKUP(CT28,'食譜'!$B:$B,'食譜'!$F:$F,"")</f>
        <v>0.61</v>
      </c>
      <c r="CU22" s="5"/>
      <c r="CV22" s="5"/>
      <c r="CW22" s="6"/>
      <c r="CX22" s="44">
        <f t="array" ref="CX22">XLOOKUP(CX28,'食譜'!$B:$B,'食譜'!$F:$F,"")</f>
        <v>0.78</v>
      </c>
      <c r="CY22" s="5"/>
      <c r="CZ22" s="5"/>
      <c r="DA22" s="6"/>
      <c r="DB22" s="44">
        <f t="array" ref="DB22">XLOOKUP(DB28,'食譜'!$B:$B,'食譜'!$F:$F,"")</f>
        <v>0.61</v>
      </c>
      <c r="DC22" s="5"/>
      <c r="DD22" s="5"/>
      <c r="DE22" s="6"/>
      <c r="DF22" s="1"/>
      <c r="DG22" s="7" t="str">
        <f t="array" ref="DG22">XLOOKUP(DK22,'食材'!$B:$B,'食材'!$D:$D,"")</f>
        <v/>
      </c>
      <c r="DH22" s="8"/>
      <c r="DI22" s="9">
        <f t="array" ref="DI22">XLOOKUP(DK22,'食材'!$B:$B,'食材'!$F:$F,"")</f>
        <v>130</v>
      </c>
      <c r="DJ22" s="8"/>
      <c r="DK22" s="10" t="s">
        <v>10</v>
      </c>
      <c r="DL22" s="11"/>
      <c r="DM22" s="11"/>
      <c r="DN22" s="11"/>
      <c r="DO22" s="11"/>
      <c r="DP22" s="11"/>
      <c r="DQ22" s="12"/>
      <c r="DR22" s="13"/>
    </row>
    <row r="23" ht="15.0" customHeight="1">
      <c r="A23" s="1"/>
      <c r="B23" s="14"/>
      <c r="E23" s="15"/>
      <c r="F23" s="45"/>
      <c r="G23" s="46"/>
      <c r="H23" s="46"/>
      <c r="I23" s="47"/>
      <c r="J23" s="45"/>
      <c r="K23" s="46"/>
      <c r="L23" s="46"/>
      <c r="M23" s="47"/>
      <c r="N23" s="45"/>
      <c r="O23" s="46"/>
      <c r="P23" s="46"/>
      <c r="Q23" s="47"/>
      <c r="R23" s="45"/>
      <c r="S23" s="46"/>
      <c r="T23" s="46"/>
      <c r="U23" s="47"/>
      <c r="V23" s="45"/>
      <c r="W23" s="46"/>
      <c r="X23" s="46"/>
      <c r="Y23" s="47"/>
      <c r="Z23" s="45"/>
      <c r="AA23" s="46"/>
      <c r="AB23" s="46"/>
      <c r="AC23" s="47"/>
      <c r="AD23" s="45"/>
      <c r="AE23" s="46"/>
      <c r="AF23" s="46"/>
      <c r="AG23" s="47"/>
      <c r="AH23" s="45"/>
      <c r="AI23" s="46"/>
      <c r="AJ23" s="46"/>
      <c r="AK23" s="47"/>
      <c r="AL23" s="45"/>
      <c r="AM23" s="46"/>
      <c r="AN23" s="46"/>
      <c r="AO23" s="47"/>
      <c r="AP23" s="45"/>
      <c r="AQ23" s="46"/>
      <c r="AR23" s="46"/>
      <c r="AS23" s="47"/>
      <c r="AT23" s="45"/>
      <c r="AU23" s="46"/>
      <c r="AV23" s="46"/>
      <c r="AW23" s="47"/>
      <c r="AX23" s="45"/>
      <c r="AY23" s="46"/>
      <c r="AZ23" s="46"/>
      <c r="BA23" s="47"/>
      <c r="BB23" s="45"/>
      <c r="BC23" s="46"/>
      <c r="BD23" s="46"/>
      <c r="BE23" s="47"/>
      <c r="BF23" s="45"/>
      <c r="BG23" s="46"/>
      <c r="BH23" s="46"/>
      <c r="BI23" s="47"/>
      <c r="BJ23" s="45"/>
      <c r="BK23" s="46"/>
      <c r="BL23" s="46"/>
      <c r="BM23" s="47"/>
      <c r="BN23" s="45"/>
      <c r="BO23" s="46"/>
      <c r="BP23" s="46"/>
      <c r="BQ23" s="47"/>
      <c r="BR23" s="45"/>
      <c r="BS23" s="46"/>
      <c r="BT23" s="46"/>
      <c r="BU23" s="47"/>
      <c r="BV23" s="45"/>
      <c r="BW23" s="46"/>
      <c r="BX23" s="46"/>
      <c r="BY23" s="47"/>
      <c r="BZ23" s="45"/>
      <c r="CA23" s="46"/>
      <c r="CB23" s="46"/>
      <c r="CC23" s="47"/>
      <c r="CD23" s="45"/>
      <c r="CE23" s="46"/>
      <c r="CF23" s="46"/>
      <c r="CG23" s="47"/>
      <c r="CH23" s="45"/>
      <c r="CI23" s="46"/>
      <c r="CJ23" s="46"/>
      <c r="CK23" s="47"/>
      <c r="CL23" s="45"/>
      <c r="CM23" s="46"/>
      <c r="CN23" s="46"/>
      <c r="CO23" s="47"/>
      <c r="CP23" s="45"/>
      <c r="CQ23" s="46"/>
      <c r="CR23" s="46"/>
      <c r="CS23" s="47"/>
      <c r="CT23" s="45"/>
      <c r="CU23" s="46"/>
      <c r="CV23" s="46"/>
      <c r="CW23" s="47"/>
      <c r="CX23" s="45"/>
      <c r="CY23" s="46"/>
      <c r="CZ23" s="46"/>
      <c r="DA23" s="47"/>
      <c r="DB23" s="45"/>
      <c r="DC23" s="46"/>
      <c r="DD23" s="46"/>
      <c r="DE23" s="47"/>
      <c r="DF23" s="1"/>
      <c r="DG23" s="19"/>
      <c r="DH23" s="20"/>
      <c r="DI23" s="21"/>
      <c r="DJ23" s="20"/>
      <c r="DK23" s="21"/>
      <c r="DL23" s="22"/>
      <c r="DM23" s="22"/>
      <c r="DN23" s="22"/>
      <c r="DO23" s="22"/>
      <c r="DP23" s="22"/>
      <c r="DQ23" s="23"/>
      <c r="DR23" s="13"/>
    </row>
    <row r="24" ht="15.0" customHeight="1">
      <c r="A24" s="1"/>
      <c r="B24" s="14"/>
      <c r="E24" s="15"/>
      <c r="F24" s="48">
        <f t="array" ref="F24">XLOOKUP(F28,'食譜'!$B:$B,'食譜'!$H:$H,"")</f>
        <v>855</v>
      </c>
      <c r="G24" s="49"/>
      <c r="H24" s="49"/>
      <c r="I24" s="50"/>
      <c r="J24" s="48">
        <f t="array" ref="J24">XLOOKUP(J28,'食譜'!$B:$B,'食譜'!$H:$H,"")</f>
        <v>978</v>
      </c>
      <c r="K24" s="49"/>
      <c r="L24" s="49"/>
      <c r="M24" s="50"/>
      <c r="N24" s="48">
        <f t="array" ref="N24">XLOOKUP(N28,'食譜'!$B:$B,'食譜'!$H:$H,"")</f>
        <v>1045</v>
      </c>
      <c r="O24" s="49"/>
      <c r="P24" s="49"/>
      <c r="Q24" s="50"/>
      <c r="R24" s="48">
        <f t="array" ref="R24">XLOOKUP(R28,'食譜'!$B:$B,'食譜'!$H:$H,"")</f>
        <v>1898</v>
      </c>
      <c r="S24" s="49"/>
      <c r="T24" s="49"/>
      <c r="U24" s="50"/>
      <c r="V24" s="48">
        <f t="array" ref="V24">XLOOKUP(V28,'食譜'!$B:$B,'食譜'!$H:$H,"")</f>
        <v>2114</v>
      </c>
      <c r="W24" s="49"/>
      <c r="X24" s="49"/>
      <c r="Y24" s="50"/>
      <c r="Z24" s="48">
        <f t="array" ref="Z24">XLOOKUP(Z28,'食譜'!$B:$B,'食譜'!$H:$H,"")</f>
        <v>2655</v>
      </c>
      <c r="AA24" s="49"/>
      <c r="AB24" s="49"/>
      <c r="AC24" s="50"/>
      <c r="AD24" s="48">
        <f t="array" ref="AD24">XLOOKUP(AD28,'食譜'!$B:$B,'食譜'!$H:$H,"")</f>
        <v>2785</v>
      </c>
      <c r="AE24" s="49"/>
      <c r="AF24" s="49"/>
      <c r="AG24" s="50"/>
      <c r="AH24" s="48">
        <f t="array" ref="AH24">XLOOKUP(AH28,'食譜'!$B:$B,'食譜'!$H:$H,"")</f>
        <v>2845</v>
      </c>
      <c r="AI24" s="49"/>
      <c r="AJ24" s="49"/>
      <c r="AK24" s="50"/>
      <c r="AL24" s="48">
        <f t="array" ref="AL24">XLOOKUP(AL28,'食譜'!$B:$B,'食譜'!$H:$H,"")</f>
        <v>2942</v>
      </c>
      <c r="AM24" s="49"/>
      <c r="AN24" s="49"/>
      <c r="AO24" s="50"/>
      <c r="AP24" s="48">
        <f t="array" ref="AP24">XLOOKUP(AP28,'食譜'!$B:$B,'食譜'!$H:$H,"")</f>
        <v>3046</v>
      </c>
      <c r="AQ24" s="49"/>
      <c r="AR24" s="49"/>
      <c r="AS24" s="50"/>
      <c r="AT24" s="48">
        <f t="array" ref="AT24">XLOOKUP(AT28,'食譜'!$B:$B,'食譜'!$H:$H,"")</f>
        <v>3113</v>
      </c>
      <c r="AU24" s="49"/>
      <c r="AV24" s="49"/>
      <c r="AW24" s="50"/>
      <c r="AX24" s="48">
        <f t="array" ref="AX24">XLOOKUP(AX28,'食譜'!$B:$B,'食譜'!$H:$H,"")</f>
        <v>3665</v>
      </c>
      <c r="AY24" s="49"/>
      <c r="AZ24" s="49"/>
      <c r="BA24" s="50"/>
      <c r="BB24" s="48">
        <f t="array" ref="BB24">XLOOKUP(BB28,'食譜'!$B:$B,'食譜'!$H:$H,"")</f>
        <v>5040</v>
      </c>
      <c r="BC24" s="49"/>
      <c r="BD24" s="49"/>
      <c r="BE24" s="50"/>
      <c r="BF24" s="48">
        <f t="array" ref="BF24">XLOOKUP(BF28,'食譜'!$B:$B,'食譜'!$H:$H,"")</f>
        <v>5225</v>
      </c>
      <c r="BG24" s="49"/>
      <c r="BH24" s="49"/>
      <c r="BI24" s="50"/>
      <c r="BJ24" s="48">
        <f t="array" ref="BJ24">XLOOKUP(BJ28,'食譜'!$B:$B,'食譜'!$H:$H,"")</f>
        <v>5859</v>
      </c>
      <c r="BK24" s="49"/>
      <c r="BL24" s="49"/>
      <c r="BM24" s="50"/>
      <c r="BN24" s="48">
        <f t="array" ref="BN24">XLOOKUP(BN28,'食譜'!$B:$B,'食譜'!$H:$H,"")</f>
        <v>7125</v>
      </c>
      <c r="BO24" s="49"/>
      <c r="BP24" s="49"/>
      <c r="BQ24" s="50"/>
      <c r="BR24" s="48">
        <f t="array" ref="BR24">XLOOKUP(BR28,'食譜'!$B:$B,'食譜'!$H:$H,"")</f>
        <v>7675</v>
      </c>
      <c r="BS24" s="49"/>
      <c r="BT24" s="49"/>
      <c r="BU24" s="50"/>
      <c r="BV24" s="48">
        <f t="array" ref="BV24">XLOOKUP(BV28,'食譜'!$B:$B,'食譜'!$H:$H,"")</f>
        <v>8169</v>
      </c>
      <c r="BW24" s="49"/>
      <c r="BX24" s="49"/>
      <c r="BY24" s="50"/>
      <c r="BZ24" s="48">
        <f t="array" ref="BZ24">XLOOKUP(BZ28,'食譜'!$B:$B,'食譜'!$H:$H,"")</f>
        <v>8755</v>
      </c>
      <c r="CA24" s="49"/>
      <c r="CB24" s="49"/>
      <c r="CC24" s="50"/>
      <c r="CD24" s="48">
        <f t="array" ref="CD24">XLOOKUP(CD28,'食譜'!$B:$B,'食譜'!$H:$H,"")</f>
        <v>11393</v>
      </c>
      <c r="CE24" s="49"/>
      <c r="CF24" s="49"/>
      <c r="CG24" s="50"/>
      <c r="CH24" s="48">
        <f t="array" ref="CH24">XLOOKUP(CH28,'食譜'!$B:$B,'食譜'!$H:$H,"")</f>
        <v>11659</v>
      </c>
      <c r="CI24" s="49"/>
      <c r="CJ24" s="49"/>
      <c r="CK24" s="50"/>
      <c r="CL24" s="48">
        <f t="array" ref="CL24">XLOOKUP(CL28,'食譜'!$B:$B,'食譜'!$H:$H,"")</f>
        <v>11881</v>
      </c>
      <c r="CM24" s="49"/>
      <c r="CN24" s="49"/>
      <c r="CO24" s="50"/>
      <c r="CP24" s="48">
        <f t="array" ref="CP24">XLOOKUP(CP28,'食譜'!$B:$B,'食譜'!$H:$H,"")</f>
        <v>19293</v>
      </c>
      <c r="CQ24" s="49"/>
      <c r="CR24" s="49"/>
      <c r="CS24" s="50"/>
      <c r="CT24" s="48">
        <f t="array" ref="CT24">XLOOKUP(CT28,'食譜'!$B:$B,'食譜'!$H:$H,"")</f>
        <v>20218</v>
      </c>
      <c r="CU24" s="49"/>
      <c r="CV24" s="49"/>
      <c r="CW24" s="50"/>
      <c r="CX24" s="48">
        <f t="array" ref="CX24">XLOOKUP(CX28,'食譜'!$B:$B,'食譜'!$H:$H,"")</f>
        <v>25162</v>
      </c>
      <c r="CY24" s="49"/>
      <c r="CZ24" s="49"/>
      <c r="DA24" s="50"/>
      <c r="DB24" s="48">
        <f t="array" ref="DB24">XLOOKUP(DB28,'食譜'!$B:$B,'食譜'!$H:$H,"")</f>
        <v>25356</v>
      </c>
      <c r="DC24" s="49"/>
      <c r="DD24" s="49"/>
      <c r="DE24" s="50"/>
      <c r="DF24" s="1"/>
      <c r="DG24" s="7" t="str">
        <f t="array" ref="DG24">XLOOKUP(DK24,'食材'!$B:$B,'食材'!$D:$D,"")</f>
        <v/>
      </c>
      <c r="DH24" s="8"/>
      <c r="DI24" s="9">
        <f t="array" ref="DI24">XLOOKUP(DK24,'食材'!$B:$B,'食材'!$F:$F,"")</f>
        <v>140</v>
      </c>
      <c r="DJ24" s="8"/>
      <c r="DK24" s="10" t="s">
        <v>11</v>
      </c>
      <c r="DL24" s="11"/>
      <c r="DM24" s="11"/>
      <c r="DN24" s="11"/>
      <c r="DO24" s="11"/>
      <c r="DP24" s="11"/>
      <c r="DQ24" s="12"/>
      <c r="DR24" s="13"/>
    </row>
    <row r="25" ht="15.0" customHeight="1">
      <c r="A25" s="1"/>
      <c r="B25" s="14"/>
      <c r="E25" s="15"/>
      <c r="F25" s="51" t="str">
        <f t="array" ref="F25">XLOOKUP(F28,'食譜'!$B:$B,'食譜'!$A:$A,"")</f>
        <v/>
      </c>
      <c r="G25" s="52"/>
      <c r="H25" s="52"/>
      <c r="I25" s="53"/>
      <c r="J25" s="51" t="str">
        <f t="array" ref="J25">XLOOKUP(J28,'食譜'!$B:$B,'食譜'!$A:$A,"")</f>
        <v/>
      </c>
      <c r="K25" s="52"/>
      <c r="L25" s="52"/>
      <c r="M25" s="53"/>
      <c r="N25" s="51" t="str">
        <f t="array" ref="N25">XLOOKUP(N28,'食譜'!$B:$B,'食譜'!$A:$A,"")</f>
        <v/>
      </c>
      <c r="O25" s="52"/>
      <c r="P25" s="52"/>
      <c r="Q25" s="53"/>
      <c r="R25" s="51" t="str">
        <f t="array" ref="R25">XLOOKUP(R28,'食譜'!$B:$B,'食譜'!$A:$A,"")</f>
        <v/>
      </c>
      <c r="S25" s="52"/>
      <c r="T25" s="52"/>
      <c r="U25" s="53"/>
      <c r="V25" s="51" t="str">
        <f t="array" ref="V25">XLOOKUP(V28,'食譜'!$B:$B,'食譜'!$A:$A,"")</f>
        <v/>
      </c>
      <c r="W25" s="52"/>
      <c r="X25" s="52"/>
      <c r="Y25" s="53"/>
      <c r="Z25" s="51" t="str">
        <f t="array" ref="Z25">XLOOKUP(Z28,'食譜'!$B:$B,'食譜'!$A:$A,"")</f>
        <v/>
      </c>
      <c r="AA25" s="52"/>
      <c r="AB25" s="52"/>
      <c r="AC25" s="53"/>
      <c r="AD25" s="51" t="str">
        <f t="array" ref="AD25">XLOOKUP(AD28,'食譜'!$B:$B,'食譜'!$A:$A,"")</f>
        <v/>
      </c>
      <c r="AE25" s="52"/>
      <c r="AF25" s="52"/>
      <c r="AG25" s="53"/>
      <c r="AH25" s="51" t="str">
        <f t="array" ref="AH25">XLOOKUP(AH28,'食譜'!$B:$B,'食譜'!$A:$A,"")</f>
        <v/>
      </c>
      <c r="AI25" s="52"/>
      <c r="AJ25" s="52"/>
      <c r="AK25" s="53"/>
      <c r="AL25" s="51" t="str">
        <f t="array" ref="AL25">XLOOKUP(AL28,'食譜'!$B:$B,'食譜'!$A:$A,"")</f>
        <v/>
      </c>
      <c r="AM25" s="52"/>
      <c r="AN25" s="52"/>
      <c r="AO25" s="53"/>
      <c r="AP25" s="51" t="str">
        <f t="array" ref="AP25">XLOOKUP(AP28,'食譜'!$B:$B,'食譜'!$A:$A,"")</f>
        <v/>
      </c>
      <c r="AQ25" s="52"/>
      <c r="AR25" s="52"/>
      <c r="AS25" s="53"/>
      <c r="AT25" s="51" t="str">
        <f t="array" ref="AT25">XLOOKUP(AT28,'食譜'!$B:$B,'食譜'!$A:$A,"")</f>
        <v/>
      </c>
      <c r="AU25" s="52"/>
      <c r="AV25" s="52"/>
      <c r="AW25" s="53"/>
      <c r="AX25" s="51" t="str">
        <f t="array" ref="AX25">XLOOKUP(AX28,'食譜'!$B:$B,'食譜'!$A:$A,"")</f>
        <v/>
      </c>
      <c r="AY25" s="52"/>
      <c r="AZ25" s="52"/>
      <c r="BA25" s="53"/>
      <c r="BB25" s="51" t="str">
        <f t="array" ref="BB25">XLOOKUP(BB28,'食譜'!$B:$B,'食譜'!$A:$A,"")</f>
        <v/>
      </c>
      <c r="BC25" s="52"/>
      <c r="BD25" s="52"/>
      <c r="BE25" s="53"/>
      <c r="BF25" s="51" t="str">
        <f t="array" ref="BF25">XLOOKUP(BF28,'食譜'!$B:$B,'食譜'!$A:$A,"")</f>
        <v/>
      </c>
      <c r="BG25" s="52"/>
      <c r="BH25" s="52"/>
      <c r="BI25" s="53"/>
      <c r="BJ25" s="51" t="str">
        <f t="array" ref="BJ25">XLOOKUP(BJ28,'食譜'!$B:$B,'食譜'!$A:$A,"")</f>
        <v/>
      </c>
      <c r="BK25" s="52"/>
      <c r="BL25" s="52"/>
      <c r="BM25" s="53"/>
      <c r="BN25" s="51" t="str">
        <f t="array" ref="BN25">XLOOKUP(BN28,'食譜'!$B:$B,'食譜'!$A:$A,"")</f>
        <v/>
      </c>
      <c r="BO25" s="52"/>
      <c r="BP25" s="52"/>
      <c r="BQ25" s="53"/>
      <c r="BR25" s="51" t="str">
        <f t="array" ref="BR25">XLOOKUP(BR28,'食譜'!$B:$B,'食譜'!$A:$A,"")</f>
        <v/>
      </c>
      <c r="BS25" s="52"/>
      <c r="BT25" s="52"/>
      <c r="BU25" s="53"/>
      <c r="BV25" s="51" t="str">
        <f t="array" ref="BV25">XLOOKUP(BV28,'食譜'!$B:$B,'食譜'!$A:$A,"")</f>
        <v/>
      </c>
      <c r="BW25" s="52"/>
      <c r="BX25" s="52"/>
      <c r="BY25" s="53"/>
      <c r="BZ25" s="51" t="str">
        <f t="array" ref="BZ25">XLOOKUP(BZ28,'食譜'!$B:$B,'食譜'!$A:$A,"")</f>
        <v/>
      </c>
      <c r="CA25" s="52"/>
      <c r="CB25" s="52"/>
      <c r="CC25" s="53"/>
      <c r="CD25" s="51" t="str">
        <f t="array" ref="CD25">XLOOKUP(CD28,'食譜'!$B:$B,'食譜'!$A:$A,"")</f>
        <v/>
      </c>
      <c r="CE25" s="52"/>
      <c r="CF25" s="52"/>
      <c r="CG25" s="53"/>
      <c r="CH25" s="51" t="str">
        <f t="array" ref="CH25">XLOOKUP(CH28,'食譜'!$B:$B,'食譜'!$A:$A,"")</f>
        <v/>
      </c>
      <c r="CI25" s="52"/>
      <c r="CJ25" s="52"/>
      <c r="CK25" s="53"/>
      <c r="CL25" s="51" t="str">
        <f t="array" ref="CL25">XLOOKUP(CL28,'食譜'!$B:$B,'食譜'!$A:$A,"")</f>
        <v/>
      </c>
      <c r="CM25" s="52"/>
      <c r="CN25" s="52"/>
      <c r="CO25" s="53"/>
      <c r="CP25" s="51" t="str">
        <f t="array" ref="CP25">XLOOKUP(CP28,'食譜'!$B:$B,'食譜'!$A:$A,"")</f>
        <v/>
      </c>
      <c r="CQ25" s="52"/>
      <c r="CR25" s="52"/>
      <c r="CS25" s="53"/>
      <c r="CT25" s="51" t="str">
        <f t="array" ref="CT25">XLOOKUP(CT28,'食譜'!$B:$B,'食譜'!$A:$A,"")</f>
        <v/>
      </c>
      <c r="CU25" s="52"/>
      <c r="CV25" s="52"/>
      <c r="CW25" s="53"/>
      <c r="CX25" s="51" t="str">
        <f t="array" ref="CX25">XLOOKUP(CX28,'食譜'!$B:$B,'食譜'!$A:$A,"")</f>
        <v/>
      </c>
      <c r="CY25" s="52"/>
      <c r="CZ25" s="52"/>
      <c r="DA25" s="53"/>
      <c r="DB25" s="51" t="str">
        <f t="array" ref="DB25">XLOOKUP(DB28,'食譜'!$B:$B,'食譜'!$A:$A,"")</f>
        <v/>
      </c>
      <c r="DC25" s="52"/>
      <c r="DD25" s="52"/>
      <c r="DE25" s="53"/>
      <c r="DF25" s="1"/>
      <c r="DG25" s="19"/>
      <c r="DH25" s="20"/>
      <c r="DI25" s="21"/>
      <c r="DJ25" s="20"/>
      <c r="DK25" s="21"/>
      <c r="DL25" s="22"/>
      <c r="DM25" s="22"/>
      <c r="DN25" s="22"/>
      <c r="DO25" s="22"/>
      <c r="DP25" s="22"/>
      <c r="DQ25" s="23"/>
      <c r="DR25" s="13"/>
    </row>
    <row r="26" ht="15.0" customHeight="1">
      <c r="A26" s="1"/>
      <c r="B26" s="14"/>
      <c r="E26" s="15"/>
      <c r="F26" s="14"/>
      <c r="I26" s="15"/>
      <c r="J26" s="14"/>
      <c r="M26" s="15"/>
      <c r="N26" s="14"/>
      <c r="Q26" s="15"/>
      <c r="R26" s="14"/>
      <c r="U26" s="15"/>
      <c r="V26" s="14"/>
      <c r="Y26" s="15"/>
      <c r="Z26" s="14"/>
      <c r="AC26" s="15"/>
      <c r="AD26" s="14"/>
      <c r="AG26" s="15"/>
      <c r="AH26" s="14"/>
      <c r="AK26" s="15"/>
      <c r="AL26" s="14"/>
      <c r="AO26" s="15"/>
      <c r="AP26" s="14"/>
      <c r="AS26" s="15"/>
      <c r="AT26" s="14"/>
      <c r="AW26" s="15"/>
      <c r="AX26" s="14"/>
      <c r="BA26" s="15"/>
      <c r="BB26" s="14"/>
      <c r="BE26" s="15"/>
      <c r="BF26" s="14"/>
      <c r="BI26" s="15"/>
      <c r="BJ26" s="14"/>
      <c r="BM26" s="15"/>
      <c r="BN26" s="14"/>
      <c r="BQ26" s="15"/>
      <c r="BR26" s="14"/>
      <c r="BU26" s="15"/>
      <c r="BV26" s="14"/>
      <c r="BY26" s="15"/>
      <c r="BZ26" s="14"/>
      <c r="CC26" s="15"/>
      <c r="CD26" s="14"/>
      <c r="CG26" s="15"/>
      <c r="CH26" s="14"/>
      <c r="CK26" s="15"/>
      <c r="CL26" s="14"/>
      <c r="CO26" s="15"/>
      <c r="CP26" s="14"/>
      <c r="CS26" s="15"/>
      <c r="CT26" s="14"/>
      <c r="CW26" s="15"/>
      <c r="CX26" s="14"/>
      <c r="DA26" s="15"/>
      <c r="DB26" s="14"/>
      <c r="DE26" s="15"/>
      <c r="DF26" s="1"/>
      <c r="DG26" s="7" t="str">
        <f t="array" ref="DG26">XLOOKUP(DK26,'食材'!$B:$B,'食材'!$D:$D,"")</f>
        <v/>
      </c>
      <c r="DH26" s="8"/>
      <c r="DI26" s="9">
        <f t="array" ref="DI26">XLOOKUP(DK26,'食材'!$B:$B,'食材'!$F:$F,"")</f>
        <v>151</v>
      </c>
      <c r="DJ26" s="8"/>
      <c r="DK26" s="10" t="s">
        <v>12</v>
      </c>
      <c r="DL26" s="11"/>
      <c r="DM26" s="11"/>
      <c r="DN26" s="11"/>
      <c r="DO26" s="11"/>
      <c r="DP26" s="11"/>
      <c r="DQ26" s="12"/>
      <c r="DR26" s="13"/>
    </row>
    <row r="27" ht="15.0" customHeight="1">
      <c r="A27" s="1"/>
      <c r="B27" s="14"/>
      <c r="E27" s="15"/>
      <c r="F27" s="45"/>
      <c r="G27" s="46"/>
      <c r="H27" s="46"/>
      <c r="I27" s="47"/>
      <c r="J27" s="45"/>
      <c r="K27" s="46"/>
      <c r="L27" s="46"/>
      <c r="M27" s="47"/>
      <c r="N27" s="45"/>
      <c r="O27" s="46"/>
      <c r="P27" s="46"/>
      <c r="Q27" s="47"/>
      <c r="R27" s="45"/>
      <c r="S27" s="46"/>
      <c r="T27" s="46"/>
      <c r="U27" s="47"/>
      <c r="V27" s="45"/>
      <c r="W27" s="46"/>
      <c r="X27" s="46"/>
      <c r="Y27" s="47"/>
      <c r="Z27" s="45"/>
      <c r="AA27" s="46"/>
      <c r="AB27" s="46"/>
      <c r="AC27" s="47"/>
      <c r="AD27" s="45"/>
      <c r="AE27" s="46"/>
      <c r="AF27" s="46"/>
      <c r="AG27" s="47"/>
      <c r="AH27" s="45"/>
      <c r="AI27" s="46"/>
      <c r="AJ27" s="46"/>
      <c r="AK27" s="47"/>
      <c r="AL27" s="45"/>
      <c r="AM27" s="46"/>
      <c r="AN27" s="46"/>
      <c r="AO27" s="47"/>
      <c r="AP27" s="45"/>
      <c r="AQ27" s="46"/>
      <c r="AR27" s="46"/>
      <c r="AS27" s="47"/>
      <c r="AT27" s="45"/>
      <c r="AU27" s="46"/>
      <c r="AV27" s="46"/>
      <c r="AW27" s="47"/>
      <c r="AX27" s="45"/>
      <c r="AY27" s="46"/>
      <c r="AZ27" s="46"/>
      <c r="BA27" s="47"/>
      <c r="BB27" s="45"/>
      <c r="BC27" s="46"/>
      <c r="BD27" s="46"/>
      <c r="BE27" s="47"/>
      <c r="BF27" s="45"/>
      <c r="BG27" s="46"/>
      <c r="BH27" s="46"/>
      <c r="BI27" s="47"/>
      <c r="BJ27" s="45"/>
      <c r="BK27" s="46"/>
      <c r="BL27" s="46"/>
      <c r="BM27" s="47"/>
      <c r="BN27" s="45"/>
      <c r="BO27" s="46"/>
      <c r="BP27" s="46"/>
      <c r="BQ27" s="47"/>
      <c r="BR27" s="45"/>
      <c r="BS27" s="46"/>
      <c r="BT27" s="46"/>
      <c r="BU27" s="47"/>
      <c r="BV27" s="45"/>
      <c r="BW27" s="46"/>
      <c r="BX27" s="46"/>
      <c r="BY27" s="47"/>
      <c r="BZ27" s="45"/>
      <c r="CA27" s="46"/>
      <c r="CB27" s="46"/>
      <c r="CC27" s="47"/>
      <c r="CD27" s="45"/>
      <c r="CE27" s="46"/>
      <c r="CF27" s="46"/>
      <c r="CG27" s="47"/>
      <c r="CH27" s="45"/>
      <c r="CI27" s="46"/>
      <c r="CJ27" s="46"/>
      <c r="CK27" s="47"/>
      <c r="CL27" s="45"/>
      <c r="CM27" s="46"/>
      <c r="CN27" s="46"/>
      <c r="CO27" s="47"/>
      <c r="CP27" s="45"/>
      <c r="CQ27" s="46"/>
      <c r="CR27" s="46"/>
      <c r="CS27" s="47"/>
      <c r="CT27" s="45"/>
      <c r="CU27" s="46"/>
      <c r="CV27" s="46"/>
      <c r="CW27" s="47"/>
      <c r="CX27" s="45"/>
      <c r="CY27" s="46"/>
      <c r="CZ27" s="46"/>
      <c r="DA27" s="47"/>
      <c r="DB27" s="45"/>
      <c r="DC27" s="46"/>
      <c r="DD27" s="46"/>
      <c r="DE27" s="47"/>
      <c r="DF27" s="1"/>
      <c r="DG27" s="19"/>
      <c r="DH27" s="20"/>
      <c r="DI27" s="21"/>
      <c r="DJ27" s="20"/>
      <c r="DK27" s="21"/>
      <c r="DL27" s="22"/>
      <c r="DM27" s="22"/>
      <c r="DN27" s="22"/>
      <c r="DO27" s="22"/>
      <c r="DP27" s="22"/>
      <c r="DQ27" s="23"/>
      <c r="DR27" s="13"/>
    </row>
    <row r="28" ht="15.0" customHeight="1">
      <c r="A28" s="1"/>
      <c r="B28" s="14"/>
      <c r="E28" s="15"/>
      <c r="F28" s="54" t="str">
        <f>IFERROR(__xludf.DUMMYFUNCTION("SPLIT(TEXTJOIN("""",TRUE,TOROW(FILTER('食譜'!$B:$B&amp;""----"", '食譜'!$E:$E=""沙拉"",'食譜'!$B:$B&lt;&gt;""拌拌沙拉"")),"""","""",""""),""-"",TRUE,FALSE)"),"特選蘋果沙拉")</f>
        <v>特選蘋果沙拉</v>
      </c>
      <c r="G28" s="52"/>
      <c r="H28" s="52"/>
      <c r="I28" s="53"/>
      <c r="J28" s="54" t="str">
        <f>IFERROR(__xludf.DUMMYFUNCTION("""COMPUTED_VALUE"""),"豆製火腿沙拉")</f>
        <v>豆製火腿沙拉</v>
      </c>
      <c r="K28" s="52"/>
      <c r="L28" s="52"/>
      <c r="M28" s="53"/>
      <c r="N28" s="54" t="str">
        <f>IFERROR(__xludf.DUMMYFUNCTION("""COMPUTED_VALUE"""),"好眠番茄沙拉")</f>
        <v>好眠番茄沙拉</v>
      </c>
      <c r="O28" s="52"/>
      <c r="P28" s="52"/>
      <c r="Q28" s="53"/>
      <c r="R28" s="54" t="str">
        <f>IFERROR(__xludf.DUMMYFUNCTION("""COMPUTED_VALUE"""),"撥雪凱薩沙拉")</f>
        <v>撥雪凱薩沙拉</v>
      </c>
      <c r="S28" s="52"/>
      <c r="T28" s="52"/>
      <c r="U28" s="53"/>
      <c r="V28" s="54" t="str">
        <f>IFERROR(__xludf.DUMMYFUNCTION("""COMPUTED_VALUE"""),"熱風豆腐沙拉")</f>
        <v>熱風豆腐沙拉</v>
      </c>
      <c r="W28" s="52"/>
      <c r="X28" s="52"/>
      <c r="Y28" s="53"/>
      <c r="Z28" s="54" t="str">
        <f>IFERROR(__xludf.DUMMYFUNCTION("""COMPUTED_VALUE"""),"迷人蘋果起司沙拉")</f>
        <v>迷人蘋果起司沙拉</v>
      </c>
      <c r="AA28" s="52"/>
      <c r="AB28" s="52"/>
      <c r="AC28" s="53"/>
      <c r="AD28" s="54" t="str">
        <f>IFERROR(__xludf.DUMMYFUNCTION("""COMPUTED_VALUE"""),"亂擊玉米沙拉")</f>
        <v>亂擊玉米沙拉</v>
      </c>
      <c r="AE28" s="52"/>
      <c r="AF28" s="52"/>
      <c r="AG28" s="53"/>
      <c r="AH28" s="54" t="str">
        <f>IFERROR(__xludf.DUMMYFUNCTION("""COMPUTED_VALUE"""),"免疫蔥花沙拉")</f>
        <v>免疫蔥花沙拉</v>
      </c>
      <c r="AI28" s="52"/>
      <c r="AJ28" s="52"/>
      <c r="AK28" s="53"/>
      <c r="AL28" s="54" t="str">
        <f>IFERROR(__xludf.DUMMYFUNCTION("""COMPUTED_VALUE"""),"哞哞起司番茄沙拉")</f>
        <v>哞哞起司番茄沙拉</v>
      </c>
      <c r="AM28" s="52"/>
      <c r="AN28" s="52"/>
      <c r="AO28" s="53"/>
      <c r="AP28" s="54" t="str">
        <f>IFERROR(__xludf.DUMMYFUNCTION("""COMPUTED_VALUE"""),"蠻力豪邁沙拉")</f>
        <v>蠻力豪邁沙拉</v>
      </c>
      <c r="AQ28" s="52"/>
      <c r="AR28" s="52"/>
      <c r="AS28" s="53"/>
      <c r="AT28" s="54" t="str">
        <f>IFERROR(__xludf.DUMMYFUNCTION("""COMPUTED_VALUE"""),"濕潤豆腐沙拉")</f>
        <v>濕潤豆腐沙拉</v>
      </c>
      <c r="AU28" s="52"/>
      <c r="AV28" s="52"/>
      <c r="AW28" s="53"/>
      <c r="AX28" s="55" t="str">
        <f>IFERROR(__xludf.DUMMYFUNCTION("""COMPUTED_VALUE"""),"心情不定肉沙拉淋巧克力醬")</f>
        <v>心情不定肉沙拉淋巧克力醬</v>
      </c>
      <c r="AY28" s="52"/>
      <c r="AZ28" s="52"/>
      <c r="BA28" s="53"/>
      <c r="BB28" s="54" t="str">
        <f>IFERROR(__xludf.DUMMYFUNCTION("""COMPUTED_VALUE"""),"貪吃鬼洋芋沙拉")</f>
        <v>貪吃鬼洋芋沙拉</v>
      </c>
      <c r="BC28" s="52"/>
      <c r="BD28" s="52"/>
      <c r="BE28" s="53"/>
      <c r="BF28" s="54" t="str">
        <f>IFERROR(__xludf.DUMMYFUNCTION("""COMPUTED_VALUE"""),"過熱沙拉")</f>
        <v>過熱沙拉</v>
      </c>
      <c r="BG28" s="52"/>
      <c r="BH28" s="52"/>
      <c r="BI28" s="53"/>
      <c r="BJ28" s="54" t="str">
        <f>IFERROR(__xludf.DUMMYFUNCTION("""COMPUTED_VALUE"""),"蘑菇孢子沙拉")</f>
        <v>蘑菇孢子沙拉</v>
      </c>
      <c r="BK28" s="52"/>
      <c r="BL28" s="52"/>
      <c r="BM28" s="53"/>
      <c r="BN28" s="54" t="str">
        <f>IFERROR(__xludf.DUMMYFUNCTION("""COMPUTED_VALUE"""),"碎裂酪梨沙拉")</f>
        <v>碎裂酪梨沙拉</v>
      </c>
      <c r="BO28" s="52"/>
      <c r="BP28" s="52"/>
      <c r="BQ28" s="53"/>
      <c r="BR28" s="54" t="str">
        <f>IFERROR(__xludf.DUMMYFUNCTION("""COMPUTED_VALUE"""),"冥想香甜沙拉")</f>
        <v>冥想香甜沙拉</v>
      </c>
      <c r="BS28" s="52"/>
      <c r="BT28" s="52"/>
      <c r="BU28" s="53"/>
      <c r="BV28" s="54" t="str">
        <f>IFERROR(__xludf.DUMMYFUNCTION("""COMPUTED_VALUE"""),"呆呆獸尾巴的胡椒沙拉")</f>
        <v>呆呆獸尾巴的胡椒沙拉</v>
      </c>
      <c r="BW28" s="52"/>
      <c r="BX28" s="52"/>
      <c r="BY28" s="53"/>
      <c r="BZ28" s="54" t="str">
        <f>IFERROR(__xludf.DUMMYFUNCTION("""COMPUTED_VALUE"""),"十字切碎丁沙拉")</f>
        <v>十字切碎丁沙拉</v>
      </c>
      <c r="CA28" s="52"/>
      <c r="CB28" s="52"/>
      <c r="CC28" s="53"/>
      <c r="CD28" s="54" t="str">
        <f>IFERROR(__xludf.DUMMYFUNCTION("""COMPUTED_VALUE"""),"萌綠沙拉")</f>
        <v>萌綠沙拉</v>
      </c>
      <c r="CE28" s="52"/>
      <c r="CF28" s="52"/>
      <c r="CG28" s="53"/>
      <c r="CH28" s="54" t="str">
        <f>IFERROR(__xludf.DUMMYFUNCTION("""COMPUTED_VALUE"""),"忍者沙拉")</f>
        <v>忍者沙拉</v>
      </c>
      <c r="CI28" s="52"/>
      <c r="CJ28" s="52"/>
      <c r="CK28" s="53"/>
      <c r="CL28" s="54" t="str">
        <f>IFERROR(__xludf.DUMMYFUNCTION("""COMPUTED_VALUE"""),"落英繽紛含羞草蛋沙拉")</f>
        <v>落英繽紛含羞草蛋沙拉</v>
      </c>
      <c r="CM28" s="52"/>
      <c r="CN28" s="52"/>
      <c r="CO28" s="53"/>
      <c r="CP28" s="54" t="str">
        <f>IFERROR(__xludf.DUMMYFUNCTION("""COMPUTED_VALUE"""),"蘋果酸優格沙拉")</f>
        <v>蘋果酸優格沙拉</v>
      </c>
      <c r="CQ28" s="52"/>
      <c r="CR28" s="52"/>
      <c r="CS28" s="53"/>
      <c r="CT28" s="54" t="str">
        <f>IFERROR(__xludf.DUMMYFUNCTION("""COMPUTED_VALUE"""),"不服輸咖啡沙拉")</f>
        <v>不服輸咖啡沙拉</v>
      </c>
      <c r="CU28" s="52"/>
      <c r="CV28" s="52"/>
      <c r="CW28" s="53"/>
      <c r="CX28" s="54" t="str">
        <f>IFERROR(__xludf.DUMMYFUNCTION("""COMPUTED_VALUE"""),"重踏酪梨醬脆片")</f>
        <v>重踏酪梨醬脆片</v>
      </c>
      <c r="CY28" s="52"/>
      <c r="CZ28" s="52"/>
      <c r="DA28" s="53"/>
      <c r="DB28" s="54" t="str">
        <f>IFERROR(__xludf.DUMMYFUNCTION("""COMPUTED_VALUE"""),"大塊滿滿熱水沙拉")</f>
        <v>大塊滿滿熱水沙拉</v>
      </c>
      <c r="DC28" s="52"/>
      <c r="DD28" s="52"/>
      <c r="DE28" s="53"/>
      <c r="DF28" s="1"/>
      <c r="DG28" s="7" t="str">
        <f t="array" ref="DG28">XLOOKUP(DK28,'食材'!$B:$B,'食材'!$D:$D,"")</f>
        <v/>
      </c>
      <c r="DH28" s="8"/>
      <c r="DI28" s="9">
        <f t="array" ref="DI28">XLOOKUP(DK28,'食材'!$B:$B,'食材'!$F:$F,"")</f>
        <v>153</v>
      </c>
      <c r="DJ28" s="8"/>
      <c r="DK28" s="10" t="s">
        <v>13</v>
      </c>
      <c r="DL28" s="11"/>
      <c r="DM28" s="11"/>
      <c r="DN28" s="11"/>
      <c r="DO28" s="11"/>
      <c r="DP28" s="11"/>
      <c r="DQ28" s="12"/>
      <c r="DR28" s="13"/>
    </row>
    <row r="29" ht="15.0" customHeight="1">
      <c r="A29" s="1"/>
      <c r="B29" s="14"/>
      <c r="E29" s="15"/>
      <c r="F29" s="45"/>
      <c r="G29" s="46"/>
      <c r="H29" s="46"/>
      <c r="I29" s="47"/>
      <c r="J29" s="45"/>
      <c r="K29" s="46"/>
      <c r="L29" s="46"/>
      <c r="M29" s="47"/>
      <c r="N29" s="45"/>
      <c r="O29" s="46"/>
      <c r="P29" s="46"/>
      <c r="Q29" s="47"/>
      <c r="R29" s="45"/>
      <c r="S29" s="46"/>
      <c r="T29" s="46"/>
      <c r="U29" s="47"/>
      <c r="V29" s="45"/>
      <c r="W29" s="46"/>
      <c r="X29" s="46"/>
      <c r="Y29" s="47"/>
      <c r="Z29" s="45"/>
      <c r="AA29" s="46"/>
      <c r="AB29" s="46"/>
      <c r="AC29" s="47"/>
      <c r="AD29" s="45"/>
      <c r="AE29" s="46"/>
      <c r="AF29" s="46"/>
      <c r="AG29" s="47"/>
      <c r="AH29" s="45"/>
      <c r="AI29" s="46"/>
      <c r="AJ29" s="46"/>
      <c r="AK29" s="47"/>
      <c r="AL29" s="45"/>
      <c r="AM29" s="46"/>
      <c r="AN29" s="46"/>
      <c r="AO29" s="47"/>
      <c r="AP29" s="45"/>
      <c r="AQ29" s="46"/>
      <c r="AR29" s="46"/>
      <c r="AS29" s="47"/>
      <c r="AT29" s="45"/>
      <c r="AU29" s="46"/>
      <c r="AV29" s="46"/>
      <c r="AW29" s="47"/>
      <c r="AX29" s="45"/>
      <c r="AY29" s="46"/>
      <c r="AZ29" s="46"/>
      <c r="BA29" s="47"/>
      <c r="BB29" s="45"/>
      <c r="BC29" s="46"/>
      <c r="BD29" s="46"/>
      <c r="BE29" s="47"/>
      <c r="BF29" s="45"/>
      <c r="BG29" s="46"/>
      <c r="BH29" s="46"/>
      <c r="BI29" s="47"/>
      <c r="BJ29" s="45"/>
      <c r="BK29" s="46"/>
      <c r="BL29" s="46"/>
      <c r="BM29" s="47"/>
      <c r="BN29" s="45"/>
      <c r="BO29" s="46"/>
      <c r="BP29" s="46"/>
      <c r="BQ29" s="47"/>
      <c r="BR29" s="45"/>
      <c r="BS29" s="46"/>
      <c r="BT29" s="46"/>
      <c r="BU29" s="47"/>
      <c r="BV29" s="45"/>
      <c r="BW29" s="46"/>
      <c r="BX29" s="46"/>
      <c r="BY29" s="47"/>
      <c r="BZ29" s="45"/>
      <c r="CA29" s="46"/>
      <c r="CB29" s="46"/>
      <c r="CC29" s="47"/>
      <c r="CD29" s="45"/>
      <c r="CE29" s="46"/>
      <c r="CF29" s="46"/>
      <c r="CG29" s="47"/>
      <c r="CH29" s="45"/>
      <c r="CI29" s="46"/>
      <c r="CJ29" s="46"/>
      <c r="CK29" s="47"/>
      <c r="CL29" s="45"/>
      <c r="CM29" s="46"/>
      <c r="CN29" s="46"/>
      <c r="CO29" s="47"/>
      <c r="CP29" s="45"/>
      <c r="CQ29" s="46"/>
      <c r="CR29" s="46"/>
      <c r="CS29" s="47"/>
      <c r="CT29" s="45"/>
      <c r="CU29" s="46"/>
      <c r="CV29" s="46"/>
      <c r="CW29" s="47"/>
      <c r="CX29" s="45"/>
      <c r="CY29" s="46"/>
      <c r="CZ29" s="46"/>
      <c r="DA29" s="47"/>
      <c r="DB29" s="45"/>
      <c r="DC29" s="46"/>
      <c r="DD29" s="46"/>
      <c r="DE29" s="47"/>
      <c r="DF29" s="1"/>
      <c r="DG29" s="19"/>
      <c r="DH29" s="20"/>
      <c r="DI29" s="21"/>
      <c r="DJ29" s="20"/>
      <c r="DK29" s="21"/>
      <c r="DL29" s="22"/>
      <c r="DM29" s="22"/>
      <c r="DN29" s="22"/>
      <c r="DO29" s="22"/>
      <c r="DP29" s="22"/>
      <c r="DQ29" s="23"/>
      <c r="DR29" s="13"/>
    </row>
    <row r="30" ht="15.0" customHeight="1">
      <c r="A30" s="1"/>
      <c r="B30" s="14"/>
      <c r="E30" s="15"/>
      <c r="F30" s="56" t="str">
        <f t="array" ref="F30">XLOOKUP(XLOOKUP(F28,'食譜'!$B:$B,'食譜'!$J:$J,""),'食材'!$B:$B,'食材'!$D:$D,"")</f>
        <v/>
      </c>
      <c r="G30" s="57"/>
      <c r="H30" s="58">
        <f t="array" ref="H30">XLOOKUP(F28,'食譜'!$B:$B,'食譜'!$K:$K,"")</f>
        <v>8</v>
      </c>
      <c r="I30" s="53"/>
      <c r="J30" s="59" t="str">
        <f t="array" ref="J30">XLOOKUP(XLOOKUP(J28,'食譜'!$B:$B,'食譜'!$J:$J,""),'食材'!$B:$B,'食材'!$D:$D,"")</f>
        <v/>
      </c>
      <c r="K30" s="57"/>
      <c r="L30" s="58">
        <f t="array" ref="L30">XLOOKUP(J28,'食譜'!$B:$B,'食譜'!$K:$K,"")</f>
        <v>8</v>
      </c>
      <c r="M30" s="53"/>
      <c r="N30" s="59" t="str">
        <f t="array" ref="N30">XLOOKUP(XLOOKUP(N28,'食譜'!$B:$B,'食譜'!$J:$J,""),'食材'!$B:$B,'食材'!$D:$D,"")</f>
        <v/>
      </c>
      <c r="O30" s="57"/>
      <c r="P30" s="58">
        <f t="array" ref="P30">XLOOKUP(N28,'食譜'!$B:$B,'食譜'!$K:$K,"")</f>
        <v>8</v>
      </c>
      <c r="Q30" s="53"/>
      <c r="R30" s="59" t="str">
        <f t="array" ref="R30">XLOOKUP(XLOOKUP(R28,'食譜'!$B:$B,'食譜'!$J:$J,""),'食材'!$B:$B,'食材'!$D:$D,"")</f>
        <v/>
      </c>
      <c r="S30" s="57"/>
      <c r="T30" s="58">
        <f t="array" ref="T30">XLOOKUP(R28,'食譜'!$B:$B,'食譜'!$K:$K,"")</f>
        <v>10</v>
      </c>
      <c r="U30" s="53"/>
      <c r="V30" s="59" t="str">
        <f t="array" ref="V30">XLOOKUP(XLOOKUP(V28,'食譜'!$B:$B,'食譜'!$J:$J,""),'食材'!$B:$B,'食材'!$D:$D,"")</f>
        <v/>
      </c>
      <c r="W30" s="57"/>
      <c r="X30" s="58">
        <f t="array" ref="X30">XLOOKUP(V28,'食譜'!$B:$B,'食譜'!$K:$K,"")</f>
        <v>10</v>
      </c>
      <c r="Y30" s="53"/>
      <c r="Z30" s="59" t="str">
        <f t="array" ref="Z30">XLOOKUP(XLOOKUP(Z28,'食譜'!$B:$B,'食譜'!$J:$J,""),'食材'!$B:$B,'食材'!$D:$D,"")</f>
        <v/>
      </c>
      <c r="AA30" s="57"/>
      <c r="AB30" s="58">
        <f t="array" ref="AB30">XLOOKUP(Z28,'食譜'!$B:$B,'食譜'!$K:$K,"")</f>
        <v>15</v>
      </c>
      <c r="AC30" s="53"/>
      <c r="AD30" s="59" t="str">
        <f t="array" ref="AD30">XLOOKUP(XLOOKUP(AD28,'食譜'!$B:$B,'食譜'!$J:$J,""),'食材'!$B:$B,'食材'!$D:$D,"")</f>
        <v/>
      </c>
      <c r="AE30" s="57"/>
      <c r="AF30" s="58">
        <f t="array" ref="AF30">XLOOKUP(AD28,'食譜'!$B:$B,'食譜'!$K:$K,"")</f>
        <v>9</v>
      </c>
      <c r="AG30" s="53"/>
      <c r="AH30" s="59" t="str">
        <f t="array" ref="AH30">XLOOKUP(XLOOKUP(AH28,'食譜'!$B:$B,'食譜'!$J:$J,""),'食材'!$B:$B,'食材'!$D:$D,"")</f>
        <v/>
      </c>
      <c r="AI30" s="57"/>
      <c r="AJ30" s="58">
        <f t="array" ref="AJ30">XLOOKUP(AH28,'食譜'!$B:$B,'食譜'!$K:$K,"")</f>
        <v>10</v>
      </c>
      <c r="AK30" s="53"/>
      <c r="AL30" s="59" t="str">
        <f t="array" ref="AL30">XLOOKUP(XLOOKUP(AL28,'食譜'!$B:$B,'食譜'!$J:$J,""),'食材'!$B:$B,'食材'!$D:$D,"")</f>
        <v/>
      </c>
      <c r="AM30" s="57"/>
      <c r="AN30" s="58">
        <f t="array" ref="AN30">XLOOKUP(AL28,'食譜'!$B:$B,'食譜'!$K:$K,"")</f>
        <v>12</v>
      </c>
      <c r="AO30" s="53"/>
      <c r="AP30" s="59" t="str">
        <f t="array" ref="AP30">XLOOKUP(XLOOKUP(AP28,'食譜'!$B:$B,'食譜'!$J:$J,""),'食材'!$B:$B,'食材'!$D:$D,"")</f>
        <v/>
      </c>
      <c r="AQ30" s="57"/>
      <c r="AR30" s="58">
        <f t="array" ref="AR30">XLOOKUP(AP28,'食譜'!$B:$B,'食譜'!$K:$K,"")</f>
        <v>9</v>
      </c>
      <c r="AS30" s="53"/>
      <c r="AT30" s="59" t="str">
        <f t="array" ref="AT30">XLOOKUP(XLOOKUP(AT28,'食譜'!$B:$B,'食譜'!$J:$J,""),'食材'!$B:$B,'食材'!$D:$D,"")</f>
        <v/>
      </c>
      <c r="AU30" s="57"/>
      <c r="AV30" s="58">
        <f t="array" ref="AV30">XLOOKUP(AT28,'食譜'!$B:$B,'食譜'!$K:$K,"")</f>
        <v>15</v>
      </c>
      <c r="AW30" s="53"/>
      <c r="AX30" s="59" t="str">
        <f t="array" ref="AX30">XLOOKUP(XLOOKUP(AX28,'食譜'!$B:$B,'食譜'!$J:$J,""),'食材'!$B:$B,'食材'!$D:$D,"")</f>
        <v/>
      </c>
      <c r="AY30" s="57"/>
      <c r="AZ30" s="58">
        <f t="array" ref="AZ30">XLOOKUP(AX28,'食譜'!$B:$B,'食譜'!$K:$K,"")</f>
        <v>14</v>
      </c>
      <c r="BA30" s="53"/>
      <c r="BB30" s="59" t="str">
        <f t="array" ref="BB30">XLOOKUP(XLOOKUP(BB28,'食譜'!$B:$B,'食譜'!$J:$J,""),'食材'!$B:$B,'食材'!$D:$D,"")</f>
        <v/>
      </c>
      <c r="BC30" s="57"/>
      <c r="BD30" s="58">
        <f t="array" ref="BD30">XLOOKUP(BB28,'食譜'!$B:$B,'食譜'!$K:$K,"")</f>
        <v>14</v>
      </c>
      <c r="BE30" s="53"/>
      <c r="BF30" s="59" t="str">
        <f t="array" ref="BF30">XLOOKUP(XLOOKUP(BF28,'食譜'!$B:$B,'食譜'!$J:$J,""),'食材'!$B:$B,'食材'!$D:$D,"")</f>
        <v/>
      </c>
      <c r="BG30" s="57"/>
      <c r="BH30" s="58">
        <f t="array" ref="BH30">XLOOKUP(BF28,'食譜'!$B:$B,'食譜'!$K:$K,"")</f>
        <v>17</v>
      </c>
      <c r="BI30" s="53"/>
      <c r="BJ30" s="59" t="str">
        <f t="array" ref="BJ30">XLOOKUP(XLOOKUP(BJ28,'食譜'!$B:$B,'食譜'!$J:$J,""),'食材'!$B:$B,'食材'!$D:$D,"")</f>
        <v/>
      </c>
      <c r="BK30" s="57"/>
      <c r="BL30" s="58">
        <f t="array" ref="BL30">XLOOKUP(BJ28,'食譜'!$B:$B,'食譜'!$K:$K,"")</f>
        <v>17</v>
      </c>
      <c r="BM30" s="53"/>
      <c r="BN30" s="59" t="str">
        <f t="array" ref="BN30">XLOOKUP(XLOOKUP(BN28,'食譜'!$B:$B,'食譜'!$J:$J,""),'食材'!$B:$B,'食材'!$D:$D,"")</f>
        <v/>
      </c>
      <c r="BO30" s="57"/>
      <c r="BP30" s="58">
        <f t="array" ref="BP30">XLOOKUP(BN28,'食譜'!$B:$B,'食譜'!$K:$K,"")</f>
        <v>14</v>
      </c>
      <c r="BQ30" s="53"/>
      <c r="BR30" s="59" t="str">
        <f t="array" ref="BR30">XLOOKUP(XLOOKUP(BR28,'食譜'!$B:$B,'食譜'!$J:$J,""),'食材'!$B:$B,'食材'!$D:$D,"")</f>
        <v/>
      </c>
      <c r="BS30" s="57"/>
      <c r="BT30" s="58">
        <f t="array" ref="BT30">XLOOKUP(BR28,'食譜'!$B:$B,'食譜'!$K:$K,"")</f>
        <v>21</v>
      </c>
      <c r="BU30" s="53"/>
      <c r="BV30" s="59" t="str">
        <f t="array" ref="BV30">XLOOKUP(XLOOKUP(BV28,'食譜'!$B:$B,'食譜'!$J:$J,""),'食材'!$B:$B,'食材'!$D:$D,"")</f>
        <v/>
      </c>
      <c r="BW30" s="57"/>
      <c r="BX30" s="58">
        <f t="array" ref="BX30">XLOOKUP(BV28,'食譜'!$B:$B,'食譜'!$K:$K,"")</f>
        <v>15</v>
      </c>
      <c r="BY30" s="53"/>
      <c r="BZ30" s="59" t="str">
        <f t="array" ref="BZ30">XLOOKUP(XLOOKUP(BZ28,'食譜'!$B:$B,'食譜'!$J:$J,""),'食材'!$B:$B,'食材'!$D:$D,"")</f>
        <v/>
      </c>
      <c r="CA30" s="57"/>
      <c r="CB30" s="58">
        <f t="array" ref="CB30">XLOOKUP(BZ28,'食譜'!$B:$B,'食譜'!$K:$K,"")</f>
        <v>20</v>
      </c>
      <c r="CC30" s="53"/>
      <c r="CD30" s="59" t="str">
        <f t="array" ref="CD30">XLOOKUP(XLOOKUP(CD28,'食譜'!$B:$B,'食譜'!$J:$J,""),'食材'!$B:$B,'食材'!$D:$D,"")</f>
        <v/>
      </c>
      <c r="CE30" s="57"/>
      <c r="CF30" s="58">
        <f t="array" ref="CF30">XLOOKUP(CD28,'食譜'!$B:$B,'食譜'!$K:$K,"")</f>
        <v>22</v>
      </c>
      <c r="CG30" s="53"/>
      <c r="CH30" s="59" t="str">
        <f t="array" ref="CH30">XLOOKUP(XLOOKUP(CH28,'食譜'!$B:$B,'食譜'!$J:$J,""),'食材'!$B:$B,'食材'!$D:$D,"")</f>
        <v/>
      </c>
      <c r="CI30" s="57"/>
      <c r="CJ30" s="58">
        <f t="array" ref="CJ30">XLOOKUP(CH28,'食譜'!$B:$B,'食譜'!$K:$K,"")</f>
        <v>19</v>
      </c>
      <c r="CK30" s="53"/>
      <c r="CL30" s="59" t="str">
        <f t="array" ref="CL30">XLOOKUP(XLOOKUP(CL28,'食譜'!$B:$B,'食譜'!$J:$J,""),'食材'!$B:$B,'食材'!$D:$D,"")</f>
        <v/>
      </c>
      <c r="CM30" s="57"/>
      <c r="CN30" s="58">
        <f t="array" ref="CN30">XLOOKUP(CL28,'食譜'!$B:$B,'食譜'!$K:$K,"")</f>
        <v>25</v>
      </c>
      <c r="CO30" s="53"/>
      <c r="CP30" s="59" t="str">
        <f t="array" ref="CP30">XLOOKUP(XLOOKUP(CP28,'食譜'!$B:$B,'食譜'!$J:$J,""),'食材'!$B:$B,'食材'!$D:$D,"")</f>
        <v/>
      </c>
      <c r="CQ30" s="57"/>
      <c r="CR30" s="58">
        <f t="array" ref="CR30">XLOOKUP(CP28,'食譜'!$B:$B,'食譜'!$K:$K,"")</f>
        <v>35</v>
      </c>
      <c r="CS30" s="53"/>
      <c r="CT30" s="59" t="str">
        <f t="array" ref="CT30">XLOOKUP(XLOOKUP(CT28,'食譜'!$B:$B,'食譜'!$J:$J,""),'食材'!$B:$B,'食材'!$D:$D,"")</f>
        <v/>
      </c>
      <c r="CU30" s="57"/>
      <c r="CV30" s="58">
        <f t="array" ref="CV30">XLOOKUP(CT28,'食譜'!$B:$B,'食譜'!$K:$K,"")</f>
        <v>28</v>
      </c>
      <c r="CW30" s="53"/>
      <c r="CX30" s="59" t="str">
        <f t="array" ref="CX30">XLOOKUP(XLOOKUP(CX28,'食譜'!$B:$B,'食譜'!$J:$J,""),'食材'!$B:$B,'食材'!$D:$D,"")</f>
        <v/>
      </c>
      <c r="CY30" s="57"/>
      <c r="CZ30" s="58">
        <f t="array" ref="CZ30">XLOOKUP(CX28,'食譜'!$B:$B,'食譜'!$K:$K,"")</f>
        <v>28</v>
      </c>
      <c r="DA30" s="53"/>
      <c r="DB30" s="59" t="str">
        <f t="array" ref="DB30">XLOOKUP(XLOOKUP(DB28,'食譜'!$B:$B,'食譜'!$J:$J,""),'食材'!$B:$B,'食材'!$D:$D,"")</f>
        <v/>
      </c>
      <c r="DC30" s="57"/>
      <c r="DD30" s="58">
        <f t="array" ref="DD30">XLOOKUP(DB28,'食譜'!$B:$B,'食譜'!$K:$K,"")</f>
        <v>20</v>
      </c>
      <c r="DE30" s="53"/>
      <c r="DF30" s="1"/>
      <c r="DG30" s="7" t="str">
        <f t="array" ref="DG30">XLOOKUP(DK30,'食材'!$B:$B,'食材'!$D:$D,"")</f>
        <v/>
      </c>
      <c r="DH30" s="8"/>
      <c r="DI30" s="9">
        <f t="array" ref="DI30">XLOOKUP(DK30,'食材'!$B:$B,'食材'!$F:$F,"")</f>
        <v>162</v>
      </c>
      <c r="DJ30" s="8"/>
      <c r="DK30" s="10" t="s">
        <v>14</v>
      </c>
      <c r="DL30" s="11"/>
      <c r="DM30" s="11"/>
      <c r="DN30" s="11"/>
      <c r="DO30" s="11"/>
      <c r="DP30" s="11"/>
      <c r="DQ30" s="12"/>
      <c r="DR30" s="13"/>
    </row>
    <row r="31" ht="15.0" customHeight="1">
      <c r="A31" s="1"/>
      <c r="B31" s="14"/>
      <c r="E31" s="15"/>
      <c r="F31" s="45"/>
      <c r="G31" s="60"/>
      <c r="H31" s="61"/>
      <c r="I31" s="47"/>
      <c r="J31" s="45"/>
      <c r="K31" s="60"/>
      <c r="L31" s="61"/>
      <c r="M31" s="47"/>
      <c r="N31" s="45"/>
      <c r="O31" s="60"/>
      <c r="P31" s="61"/>
      <c r="Q31" s="47"/>
      <c r="R31" s="45"/>
      <c r="S31" s="60"/>
      <c r="T31" s="61"/>
      <c r="U31" s="47"/>
      <c r="V31" s="45"/>
      <c r="W31" s="60"/>
      <c r="X31" s="61"/>
      <c r="Y31" s="47"/>
      <c r="Z31" s="45"/>
      <c r="AA31" s="60"/>
      <c r="AB31" s="61"/>
      <c r="AC31" s="47"/>
      <c r="AD31" s="45"/>
      <c r="AE31" s="60"/>
      <c r="AF31" s="61"/>
      <c r="AG31" s="47"/>
      <c r="AH31" s="45"/>
      <c r="AI31" s="60"/>
      <c r="AJ31" s="61"/>
      <c r="AK31" s="47"/>
      <c r="AL31" s="45"/>
      <c r="AM31" s="60"/>
      <c r="AN31" s="61"/>
      <c r="AO31" s="47"/>
      <c r="AP31" s="45"/>
      <c r="AQ31" s="60"/>
      <c r="AR31" s="61"/>
      <c r="AS31" s="47"/>
      <c r="AT31" s="45"/>
      <c r="AU31" s="60"/>
      <c r="AV31" s="61"/>
      <c r="AW31" s="47"/>
      <c r="AX31" s="45"/>
      <c r="AY31" s="60"/>
      <c r="AZ31" s="61"/>
      <c r="BA31" s="47"/>
      <c r="BB31" s="45"/>
      <c r="BC31" s="60"/>
      <c r="BD31" s="61"/>
      <c r="BE31" s="47"/>
      <c r="BF31" s="45"/>
      <c r="BG31" s="60"/>
      <c r="BH31" s="61"/>
      <c r="BI31" s="47"/>
      <c r="BJ31" s="45"/>
      <c r="BK31" s="60"/>
      <c r="BL31" s="61"/>
      <c r="BM31" s="47"/>
      <c r="BN31" s="45"/>
      <c r="BO31" s="60"/>
      <c r="BP31" s="61"/>
      <c r="BQ31" s="47"/>
      <c r="BR31" s="45"/>
      <c r="BS31" s="60"/>
      <c r="BT31" s="61"/>
      <c r="BU31" s="47"/>
      <c r="BV31" s="45"/>
      <c r="BW31" s="60"/>
      <c r="BX31" s="61"/>
      <c r="BY31" s="47"/>
      <c r="BZ31" s="45"/>
      <c r="CA31" s="60"/>
      <c r="CB31" s="61"/>
      <c r="CC31" s="47"/>
      <c r="CD31" s="45"/>
      <c r="CE31" s="60"/>
      <c r="CF31" s="61"/>
      <c r="CG31" s="47"/>
      <c r="CH31" s="45"/>
      <c r="CI31" s="60"/>
      <c r="CJ31" s="61"/>
      <c r="CK31" s="47"/>
      <c r="CL31" s="45"/>
      <c r="CM31" s="60"/>
      <c r="CN31" s="61"/>
      <c r="CO31" s="47"/>
      <c r="CP31" s="45"/>
      <c r="CQ31" s="60"/>
      <c r="CR31" s="61"/>
      <c r="CS31" s="47"/>
      <c r="CT31" s="45"/>
      <c r="CU31" s="60"/>
      <c r="CV31" s="61"/>
      <c r="CW31" s="47"/>
      <c r="CX31" s="45"/>
      <c r="CY31" s="60"/>
      <c r="CZ31" s="61"/>
      <c r="DA31" s="47"/>
      <c r="DB31" s="45"/>
      <c r="DC31" s="60"/>
      <c r="DD31" s="61"/>
      <c r="DE31" s="47"/>
      <c r="DF31" s="1"/>
      <c r="DG31" s="19"/>
      <c r="DH31" s="20"/>
      <c r="DI31" s="21"/>
      <c r="DJ31" s="20"/>
      <c r="DK31" s="21"/>
      <c r="DL31" s="22"/>
      <c r="DM31" s="22"/>
      <c r="DN31" s="22"/>
      <c r="DO31" s="22"/>
      <c r="DP31" s="22"/>
      <c r="DQ31" s="23"/>
      <c r="DR31" s="13"/>
    </row>
    <row r="32" ht="15.0" customHeight="1">
      <c r="A32" s="1"/>
      <c r="B32" s="14"/>
      <c r="E32" s="15"/>
      <c r="F32" s="56" t="str">
        <f t="array" ref="F32">XLOOKUP(XLOOKUP(F28,'食譜'!$B:$B,'食譜'!$L:$L,""),'食材'!$B:$B,'食材'!$D:$D,"")</f>
        <v/>
      </c>
      <c r="G32" s="57"/>
      <c r="H32" s="58" t="str">
        <f t="array" ref="H32">XLOOKUP(F28,'食譜'!$B:$B,'食譜'!$M:$M,"")</f>
        <v/>
      </c>
      <c r="I32" s="53"/>
      <c r="J32" s="59" t="str">
        <f t="array" ref="J32">XLOOKUP(XLOOKUP(J28,'食譜'!$B:$B,'食譜'!$L:$L,""),'食材'!$B:$B,'食材'!$D:$D,"")</f>
        <v/>
      </c>
      <c r="K32" s="57"/>
      <c r="L32" s="58" t="str">
        <f t="array" ref="L32">XLOOKUP(J28,'食譜'!$B:$B,'食譜'!$M:$M,"")</f>
        <v/>
      </c>
      <c r="M32" s="53"/>
      <c r="N32" s="59" t="str">
        <f t="array" ref="N32">XLOOKUP(XLOOKUP(N28,'食譜'!$B:$B,'食譜'!$L:$L,""),'食材'!$B:$B,'食材'!$D:$D,"")</f>
        <v/>
      </c>
      <c r="O32" s="57"/>
      <c r="P32" s="58" t="str">
        <f t="array" ref="P32">XLOOKUP(N28,'食譜'!$B:$B,'食譜'!$M:$M,"")</f>
        <v/>
      </c>
      <c r="Q32" s="53"/>
      <c r="R32" s="59" t="str">
        <f t="array" ref="R32">XLOOKUP(XLOOKUP(R28,'食譜'!$B:$B,'食譜'!$L:$L,""),'食材'!$B:$B,'食材'!$D:$D,"")</f>
        <v/>
      </c>
      <c r="S32" s="57"/>
      <c r="T32" s="58">
        <f t="array" ref="T32">XLOOKUP(R28,'食譜'!$B:$B,'食譜'!$M:$M,"")</f>
        <v>6</v>
      </c>
      <c r="U32" s="53"/>
      <c r="V32" s="59" t="str">
        <f t="array" ref="V32">XLOOKUP(XLOOKUP(V28,'食譜'!$B:$B,'食譜'!$L:$L,""),'食材'!$B:$B,'食材'!$D:$D,"")</f>
        <v/>
      </c>
      <c r="W32" s="57"/>
      <c r="X32" s="58">
        <f t="array" ref="X32">XLOOKUP(V28,'食譜'!$B:$B,'食譜'!$M:$M,"")</f>
        <v>6</v>
      </c>
      <c r="Y32" s="53"/>
      <c r="Z32" s="59" t="str">
        <f t="array" ref="Z32">XLOOKUP(XLOOKUP(Z28,'食譜'!$B:$B,'食譜'!$L:$L,""),'食材'!$B:$B,'食材'!$D:$D,"")</f>
        <v/>
      </c>
      <c r="AA32" s="57"/>
      <c r="AB32" s="58">
        <f t="array" ref="AB32">XLOOKUP(Z28,'食譜'!$B:$B,'食譜'!$M:$M,"")</f>
        <v>5</v>
      </c>
      <c r="AC32" s="53"/>
      <c r="AD32" s="59" t="str">
        <f t="array" ref="AD32">XLOOKUP(XLOOKUP(AD28,'食譜'!$B:$B,'食譜'!$L:$L,""),'食材'!$B:$B,'食材'!$D:$D,"")</f>
        <v/>
      </c>
      <c r="AE32" s="57"/>
      <c r="AF32" s="58">
        <f t="array" ref="AF32">XLOOKUP(AD28,'食譜'!$B:$B,'食譜'!$M:$M,"")</f>
        <v>8</v>
      </c>
      <c r="AG32" s="53"/>
      <c r="AH32" s="59" t="str">
        <f t="array" ref="AH32">XLOOKUP(XLOOKUP(AH28,'食譜'!$B:$B,'食譜'!$L:$L,""),'食材'!$B:$B,'食材'!$D:$D,"")</f>
        <v/>
      </c>
      <c r="AI32" s="57"/>
      <c r="AJ32" s="58">
        <f t="array" ref="AJ32">XLOOKUP(AH28,'食譜'!$B:$B,'食譜'!$M:$M,"")</f>
        <v>5</v>
      </c>
      <c r="AK32" s="53"/>
      <c r="AL32" s="59" t="str">
        <f t="array" ref="AL32">XLOOKUP(XLOOKUP(AL28,'食譜'!$B:$B,'食譜'!$L:$L,""),'食材'!$B:$B,'食材'!$D:$D,"")</f>
        <v/>
      </c>
      <c r="AM32" s="57"/>
      <c r="AN32" s="58">
        <f t="array" ref="AN32">XLOOKUP(AL28,'食譜'!$B:$B,'食譜'!$M:$M,"")</f>
        <v>6</v>
      </c>
      <c r="AO32" s="53"/>
      <c r="AP32" s="59" t="str">
        <f t="array" ref="AP32">XLOOKUP(XLOOKUP(AP28,'食譜'!$B:$B,'食譜'!$L:$L,""),'食材'!$B:$B,'食材'!$D:$D,"")</f>
        <v/>
      </c>
      <c r="AQ32" s="57"/>
      <c r="AR32" s="58">
        <f t="array" ref="AR32">XLOOKUP(AP28,'食譜'!$B:$B,'食譜'!$M:$M,"")</f>
        <v>6</v>
      </c>
      <c r="AS32" s="53"/>
      <c r="AT32" s="59" t="str">
        <f t="array" ref="AT32">XLOOKUP(XLOOKUP(AT28,'食譜'!$B:$B,'食譜'!$L:$L,""),'食材'!$B:$B,'食材'!$D:$D,"")</f>
        <v/>
      </c>
      <c r="AU32" s="57"/>
      <c r="AV32" s="58">
        <f t="array" ref="AV32">XLOOKUP(AT28,'食譜'!$B:$B,'食譜'!$M:$M,"")</f>
        <v>9</v>
      </c>
      <c r="AW32" s="53"/>
      <c r="AX32" s="59" t="str">
        <f t="array" ref="AX32">XLOOKUP(XLOOKUP(AX28,'食譜'!$B:$B,'食譜'!$L:$L,""),'食材'!$B:$B,'食材'!$D:$D,"")</f>
        <v/>
      </c>
      <c r="AY32" s="57"/>
      <c r="AZ32" s="58">
        <f t="array" ref="AZ32">XLOOKUP(AX28,'食譜'!$B:$B,'食譜'!$M:$M,"")</f>
        <v>9</v>
      </c>
      <c r="BA32" s="53"/>
      <c r="BB32" s="59" t="str">
        <f t="array" ref="BB32">XLOOKUP(XLOOKUP(BB28,'食譜'!$B:$B,'食譜'!$L:$L,""),'食材'!$B:$B,'食材'!$D:$D,"")</f>
        <v/>
      </c>
      <c r="BC32" s="57"/>
      <c r="BD32" s="58">
        <f t="array" ref="BD32">XLOOKUP(BB28,'食譜'!$B:$B,'食譜'!$M:$M,"")</f>
        <v>9</v>
      </c>
      <c r="BE32" s="53"/>
      <c r="BF32" s="59" t="str">
        <f t="array" ref="BF32">XLOOKUP(XLOOKUP(BF28,'食譜'!$B:$B,'食譜'!$L:$L,""),'食材'!$B:$B,'食材'!$D:$D,"")</f>
        <v/>
      </c>
      <c r="BG32" s="57"/>
      <c r="BH32" s="58">
        <f t="array" ref="BH32">XLOOKUP(BF28,'食譜'!$B:$B,'食譜'!$M:$M,"")</f>
        <v>10</v>
      </c>
      <c r="BI32" s="53"/>
      <c r="BJ32" s="59" t="str">
        <f t="array" ref="BJ32">XLOOKUP(XLOOKUP(BJ28,'食譜'!$B:$B,'食譜'!$L:$L,""),'食材'!$B:$B,'食材'!$D:$D,"")</f>
        <v/>
      </c>
      <c r="BK32" s="57"/>
      <c r="BL32" s="58">
        <f t="array" ref="BL32">XLOOKUP(BJ28,'食譜'!$B:$B,'食譜'!$M:$M,"")</f>
        <v>8</v>
      </c>
      <c r="BM32" s="53"/>
      <c r="BN32" s="59" t="str">
        <f t="array" ref="BN32">XLOOKUP(XLOOKUP(BN28,'食譜'!$B:$B,'食譜'!$L:$L,""),'食材'!$B:$B,'食材'!$D:$D,"")</f>
        <v/>
      </c>
      <c r="BO32" s="57"/>
      <c r="BP32" s="58">
        <f t="array" ref="BP32">XLOOKUP(BN28,'食譜'!$B:$B,'食譜'!$M:$M,"")</f>
        <v>18</v>
      </c>
      <c r="BQ32" s="53"/>
      <c r="BR32" s="59" t="str">
        <f t="array" ref="BR32">XLOOKUP(XLOOKUP(BR28,'食譜'!$B:$B,'食譜'!$L:$L,""),'食材'!$B:$B,'食材'!$D:$D,"")</f>
        <v/>
      </c>
      <c r="BS32" s="57"/>
      <c r="BT32" s="58">
        <f t="array" ref="BT32">XLOOKUP(BR28,'食譜'!$B:$B,'食譜'!$M:$M,"")</f>
        <v>16</v>
      </c>
      <c r="BU32" s="53"/>
      <c r="BV32" s="59" t="str">
        <f t="array" ref="BV32">XLOOKUP(XLOOKUP(BV28,'食譜'!$B:$B,'食譜'!$L:$L,""),'食材'!$B:$B,'食材'!$D:$D,"")</f>
        <v/>
      </c>
      <c r="BW32" s="57"/>
      <c r="BX32" s="58">
        <f t="array" ref="BX32">XLOOKUP(BV28,'食譜'!$B:$B,'食譜'!$M:$M,"")</f>
        <v>10</v>
      </c>
      <c r="BY32" s="53"/>
      <c r="BZ32" s="59" t="str">
        <f t="array" ref="BZ32">XLOOKUP(XLOOKUP(BZ28,'食譜'!$B:$B,'食譜'!$L:$L,""),'食材'!$B:$B,'食材'!$D:$D,"")</f>
        <v/>
      </c>
      <c r="CA32" s="57"/>
      <c r="CB32" s="58">
        <f t="array" ref="CB32">XLOOKUP(BZ28,'食譜'!$B:$B,'食譜'!$M:$M,"")</f>
        <v>15</v>
      </c>
      <c r="CC32" s="53"/>
      <c r="CD32" s="59" t="str">
        <f t="array" ref="CD32">XLOOKUP(XLOOKUP(CD28,'食譜'!$B:$B,'食譜'!$L:$L,""),'食材'!$B:$B,'食材'!$D:$D,"")</f>
        <v/>
      </c>
      <c r="CE32" s="57"/>
      <c r="CF32" s="58">
        <f t="array" ref="CF32">XLOOKUP(CD28,'食譜'!$B:$B,'食譜'!$M:$M,"")</f>
        <v>17</v>
      </c>
      <c r="CG32" s="53"/>
      <c r="CH32" s="59" t="str">
        <f t="array" ref="CH32">XLOOKUP(XLOOKUP(CH28,'食譜'!$B:$B,'食譜'!$L:$L,""),'食材'!$B:$B,'食材'!$D:$D,"")</f>
        <v/>
      </c>
      <c r="CI32" s="57"/>
      <c r="CJ32" s="58">
        <f t="array" ref="CJ32">XLOOKUP(CH28,'食譜'!$B:$B,'食譜'!$M:$M,"")</f>
        <v>15</v>
      </c>
      <c r="CK32" s="53"/>
      <c r="CL32" s="59" t="str">
        <f t="array" ref="CL32">XLOOKUP(XLOOKUP(CL28,'食譜'!$B:$B,'食譜'!$L:$L,""),'食材'!$B:$B,'食材'!$D:$D,"")</f>
        <v/>
      </c>
      <c r="CM32" s="57"/>
      <c r="CN32" s="58">
        <f t="array" ref="CN32">XLOOKUP(CL28,'食譜'!$B:$B,'食譜'!$M:$M,"")</f>
        <v>17</v>
      </c>
      <c r="CO32" s="53"/>
      <c r="CP32" s="59" t="str">
        <f t="array" ref="CP32">XLOOKUP(XLOOKUP(CP28,'食譜'!$B:$B,'食譜'!$L:$L,""),'食材'!$B:$B,'食材'!$D:$D,"")</f>
        <v/>
      </c>
      <c r="CQ32" s="57"/>
      <c r="CR32" s="58">
        <f t="array" ref="CR32">XLOOKUP(CP28,'食譜'!$B:$B,'食譜'!$M:$M,"")</f>
        <v>28</v>
      </c>
      <c r="CS32" s="53"/>
      <c r="CT32" s="59" t="str">
        <f t="array" ref="CT32">XLOOKUP(XLOOKUP(CT28,'食譜'!$B:$B,'食譜'!$L:$L,""),'食材'!$B:$B,'食材'!$D:$D,"")</f>
        <v/>
      </c>
      <c r="CU32" s="57"/>
      <c r="CV32" s="58">
        <f t="array" ref="CV32">XLOOKUP(CT28,'食譜'!$B:$B,'食譜'!$M:$M,"")</f>
        <v>28</v>
      </c>
      <c r="CW32" s="53"/>
      <c r="CX32" s="59" t="str">
        <f t="array" ref="CX32">XLOOKUP(XLOOKUP(CX28,'食譜'!$B:$B,'食譜'!$L:$L,""),'食材'!$B:$B,'食材'!$D:$D,"")</f>
        <v/>
      </c>
      <c r="CY32" s="57"/>
      <c r="CZ32" s="58">
        <f t="array" ref="CZ32">XLOOKUP(CX28,'食譜'!$B:$B,'食譜'!$M:$M,"")</f>
        <v>25</v>
      </c>
      <c r="DA32" s="53"/>
      <c r="DB32" s="59" t="str">
        <f t="array" ref="DB32">XLOOKUP(XLOOKUP(DB28,'食譜'!$B:$B,'食譜'!$L:$L,""),'食材'!$B:$B,'食材'!$D:$D,"")</f>
        <v/>
      </c>
      <c r="DC32" s="57"/>
      <c r="DD32" s="58">
        <f t="array" ref="DD32">XLOOKUP(DB28,'食譜'!$B:$B,'食譜'!$M:$M,"")</f>
        <v>30</v>
      </c>
      <c r="DE32" s="53"/>
      <c r="DF32" s="1"/>
      <c r="DG32" s="7" t="str">
        <f t="array" ref="DG32">XLOOKUP(DK32,'食材'!$B:$B,'食材'!$D:$D,"")</f>
        <v/>
      </c>
      <c r="DH32" s="8"/>
      <c r="DI32" s="9">
        <f t="array" ref="DI32">XLOOKUP(DK32,'食材'!$B:$B,'食材'!$F:$F,"")</f>
        <v>167</v>
      </c>
      <c r="DJ32" s="8"/>
      <c r="DK32" s="10" t="s">
        <v>15</v>
      </c>
      <c r="DL32" s="11"/>
      <c r="DM32" s="11"/>
      <c r="DN32" s="11"/>
      <c r="DO32" s="11"/>
      <c r="DP32" s="11"/>
      <c r="DQ32" s="12"/>
      <c r="DR32" s="13"/>
    </row>
    <row r="33" ht="15.0" customHeight="1">
      <c r="A33" s="1"/>
      <c r="B33" s="14"/>
      <c r="E33" s="15"/>
      <c r="F33" s="45"/>
      <c r="G33" s="60"/>
      <c r="H33" s="61"/>
      <c r="I33" s="47"/>
      <c r="J33" s="45"/>
      <c r="K33" s="60"/>
      <c r="L33" s="61"/>
      <c r="M33" s="47"/>
      <c r="N33" s="45"/>
      <c r="O33" s="60"/>
      <c r="P33" s="61"/>
      <c r="Q33" s="47"/>
      <c r="R33" s="45"/>
      <c r="S33" s="60"/>
      <c r="T33" s="61"/>
      <c r="U33" s="47"/>
      <c r="V33" s="45"/>
      <c r="W33" s="60"/>
      <c r="X33" s="61"/>
      <c r="Y33" s="47"/>
      <c r="Z33" s="45"/>
      <c r="AA33" s="60"/>
      <c r="AB33" s="61"/>
      <c r="AC33" s="47"/>
      <c r="AD33" s="45"/>
      <c r="AE33" s="60"/>
      <c r="AF33" s="61"/>
      <c r="AG33" s="47"/>
      <c r="AH33" s="45"/>
      <c r="AI33" s="60"/>
      <c r="AJ33" s="61"/>
      <c r="AK33" s="47"/>
      <c r="AL33" s="45"/>
      <c r="AM33" s="60"/>
      <c r="AN33" s="61"/>
      <c r="AO33" s="47"/>
      <c r="AP33" s="45"/>
      <c r="AQ33" s="60"/>
      <c r="AR33" s="61"/>
      <c r="AS33" s="47"/>
      <c r="AT33" s="45"/>
      <c r="AU33" s="60"/>
      <c r="AV33" s="61"/>
      <c r="AW33" s="47"/>
      <c r="AX33" s="45"/>
      <c r="AY33" s="60"/>
      <c r="AZ33" s="61"/>
      <c r="BA33" s="47"/>
      <c r="BB33" s="45"/>
      <c r="BC33" s="60"/>
      <c r="BD33" s="61"/>
      <c r="BE33" s="47"/>
      <c r="BF33" s="45"/>
      <c r="BG33" s="60"/>
      <c r="BH33" s="61"/>
      <c r="BI33" s="47"/>
      <c r="BJ33" s="45"/>
      <c r="BK33" s="60"/>
      <c r="BL33" s="61"/>
      <c r="BM33" s="47"/>
      <c r="BN33" s="45"/>
      <c r="BO33" s="60"/>
      <c r="BP33" s="61"/>
      <c r="BQ33" s="47"/>
      <c r="BR33" s="45"/>
      <c r="BS33" s="60"/>
      <c r="BT33" s="61"/>
      <c r="BU33" s="47"/>
      <c r="BV33" s="45"/>
      <c r="BW33" s="60"/>
      <c r="BX33" s="61"/>
      <c r="BY33" s="47"/>
      <c r="BZ33" s="45"/>
      <c r="CA33" s="60"/>
      <c r="CB33" s="61"/>
      <c r="CC33" s="47"/>
      <c r="CD33" s="45"/>
      <c r="CE33" s="60"/>
      <c r="CF33" s="61"/>
      <c r="CG33" s="47"/>
      <c r="CH33" s="45"/>
      <c r="CI33" s="60"/>
      <c r="CJ33" s="61"/>
      <c r="CK33" s="47"/>
      <c r="CL33" s="45"/>
      <c r="CM33" s="60"/>
      <c r="CN33" s="61"/>
      <c r="CO33" s="47"/>
      <c r="CP33" s="45"/>
      <c r="CQ33" s="60"/>
      <c r="CR33" s="61"/>
      <c r="CS33" s="47"/>
      <c r="CT33" s="45"/>
      <c r="CU33" s="60"/>
      <c r="CV33" s="61"/>
      <c r="CW33" s="47"/>
      <c r="CX33" s="45"/>
      <c r="CY33" s="60"/>
      <c r="CZ33" s="61"/>
      <c r="DA33" s="47"/>
      <c r="DB33" s="45"/>
      <c r="DC33" s="60"/>
      <c r="DD33" s="61"/>
      <c r="DE33" s="47"/>
      <c r="DF33" s="1"/>
      <c r="DG33" s="19"/>
      <c r="DH33" s="20"/>
      <c r="DI33" s="21"/>
      <c r="DJ33" s="20"/>
      <c r="DK33" s="21"/>
      <c r="DL33" s="22"/>
      <c r="DM33" s="22"/>
      <c r="DN33" s="22"/>
      <c r="DO33" s="22"/>
      <c r="DP33" s="22"/>
      <c r="DQ33" s="23"/>
      <c r="DR33" s="13"/>
    </row>
    <row r="34" ht="15.0" customHeight="1">
      <c r="A34" s="1"/>
      <c r="B34" s="14"/>
      <c r="E34" s="15"/>
      <c r="F34" s="56" t="str">
        <f t="array" ref="F34">XLOOKUP(XLOOKUP(F28,'食譜'!$B:$B,'食譜'!$N:$N,""),'食材'!$B:$B,'食材'!$D:$D,"")</f>
        <v/>
      </c>
      <c r="G34" s="57"/>
      <c r="H34" s="58" t="str">
        <f t="array" ref="H34">XLOOKUP(F28,'食譜'!$B:$B,'食譜'!$O:$O,"")</f>
        <v/>
      </c>
      <c r="I34" s="53"/>
      <c r="J34" s="59" t="str">
        <f t="array" ref="J34">XLOOKUP(XLOOKUP(J28,'食譜'!$B:$B,'食譜'!$N:$N,""),'食材'!$B:$B,'食材'!$D:$D,"")</f>
        <v/>
      </c>
      <c r="K34" s="57"/>
      <c r="L34" s="58" t="str">
        <f t="array" ref="L34">XLOOKUP(J28,'食譜'!$B:$B,'食譜'!$O:$O,"")</f>
        <v/>
      </c>
      <c r="M34" s="53"/>
      <c r="N34" s="59" t="str">
        <f t="array" ref="N34">XLOOKUP(XLOOKUP(N28,'食譜'!$B:$B,'食譜'!$N:$N,""),'食材'!$B:$B,'食材'!$D:$D,"")</f>
        <v/>
      </c>
      <c r="O34" s="57"/>
      <c r="P34" s="58" t="str">
        <f t="array" ref="P34">XLOOKUP(N28,'食譜'!$B:$B,'食譜'!$O:$O,"")</f>
        <v/>
      </c>
      <c r="Q34" s="53"/>
      <c r="R34" s="59" t="str">
        <f t="array" ref="R34">XLOOKUP(XLOOKUP(R28,'食譜'!$B:$B,'食譜'!$N:$N,""),'食材'!$B:$B,'食材'!$D:$D,"")</f>
        <v/>
      </c>
      <c r="S34" s="57"/>
      <c r="T34" s="58" t="str">
        <f t="array" ref="T34">XLOOKUP(R28,'食譜'!$B:$B,'食譜'!$O:$O,"")</f>
        <v/>
      </c>
      <c r="U34" s="53"/>
      <c r="V34" s="59" t="str">
        <f t="array" ref="V34">XLOOKUP(XLOOKUP(V28,'食譜'!$B:$B,'食譜'!$N:$N,""),'食材'!$B:$B,'食材'!$D:$D,"")</f>
        <v/>
      </c>
      <c r="W34" s="57"/>
      <c r="X34" s="58" t="str">
        <f t="array" ref="X34">XLOOKUP(V28,'食譜'!$B:$B,'食譜'!$O:$O,"")</f>
        <v/>
      </c>
      <c r="Y34" s="53"/>
      <c r="Z34" s="59" t="str">
        <f t="array" ref="Z34">XLOOKUP(XLOOKUP(Z28,'食譜'!$B:$B,'食譜'!$N:$N,""),'食材'!$B:$B,'食材'!$D:$D,"")</f>
        <v/>
      </c>
      <c r="AA34" s="57"/>
      <c r="AB34" s="58">
        <f t="array" ref="AB34">XLOOKUP(Z28,'食譜'!$B:$B,'食譜'!$O:$O,"")</f>
        <v>3</v>
      </c>
      <c r="AC34" s="53"/>
      <c r="AD34" s="59" t="str">
        <f t="array" ref="AD34">XLOOKUP(XLOOKUP(AD28,'食譜'!$B:$B,'食譜'!$N:$N,""),'食材'!$B:$B,'食材'!$D:$D,"")</f>
        <v/>
      </c>
      <c r="AE34" s="57"/>
      <c r="AF34" s="58" t="str">
        <f t="array" ref="AF34">XLOOKUP(AD28,'食譜'!$B:$B,'食譜'!$O:$O,"")</f>
        <v/>
      </c>
      <c r="AG34" s="53"/>
      <c r="AH34" s="59" t="str">
        <f t="array" ref="AH34">XLOOKUP(XLOOKUP(AH28,'食譜'!$B:$B,'食譜'!$N:$N,""),'食材'!$B:$B,'食材'!$D:$D,"")</f>
        <v/>
      </c>
      <c r="AI34" s="57"/>
      <c r="AJ34" s="58" t="str">
        <f t="array" ref="AJ34">XLOOKUP(AH28,'食譜'!$B:$B,'食譜'!$O:$O,"")</f>
        <v/>
      </c>
      <c r="AK34" s="53"/>
      <c r="AL34" s="59" t="str">
        <f t="array" ref="AL34">XLOOKUP(XLOOKUP(AL28,'食譜'!$B:$B,'食譜'!$N:$N,""),'食材'!$B:$B,'食材'!$D:$D,"")</f>
        <v/>
      </c>
      <c r="AM34" s="57"/>
      <c r="AN34" s="58">
        <f t="array" ref="AN34">XLOOKUP(AL28,'食譜'!$B:$B,'食譜'!$O:$O,"")</f>
        <v>5</v>
      </c>
      <c r="AO34" s="53"/>
      <c r="AP34" s="59" t="str">
        <f t="array" ref="AP34">XLOOKUP(XLOOKUP(AP28,'食譜'!$B:$B,'食譜'!$N:$N,""),'食材'!$B:$B,'食材'!$D:$D,"")</f>
        <v/>
      </c>
      <c r="AQ34" s="57"/>
      <c r="AR34" s="58">
        <f t="array" ref="AR34">XLOOKUP(AP28,'食譜'!$B:$B,'食譜'!$O:$O,"")</f>
        <v>5</v>
      </c>
      <c r="AS34" s="53"/>
      <c r="AT34" s="59" t="str">
        <f t="array" ref="AT34">XLOOKUP(XLOOKUP(AT28,'食譜'!$B:$B,'食譜'!$N:$N,""),'食材'!$B:$B,'食材'!$D:$D,"")</f>
        <v/>
      </c>
      <c r="AU34" s="57"/>
      <c r="AV34" s="58" t="str">
        <f t="array" ref="AV34">XLOOKUP(AT28,'食譜'!$B:$B,'食譜'!$O:$O,"")</f>
        <v/>
      </c>
      <c r="AW34" s="53"/>
      <c r="AX34" s="59" t="str">
        <f t="array" ref="AX34">XLOOKUP(XLOOKUP(AX28,'食譜'!$B:$B,'食譜'!$N:$N,""),'食材'!$B:$B,'食材'!$D:$D,"")</f>
        <v/>
      </c>
      <c r="AY34" s="57"/>
      <c r="AZ34" s="58" t="str">
        <f t="array" ref="AZ34">XLOOKUP(AX28,'食譜'!$B:$B,'食譜'!$O:$O,"")</f>
        <v/>
      </c>
      <c r="BA34" s="53"/>
      <c r="BB34" s="59" t="str">
        <f t="array" ref="BB34">XLOOKUP(XLOOKUP(BB28,'食譜'!$B:$B,'食譜'!$N:$N,""),'食材'!$B:$B,'食材'!$D:$D,"")</f>
        <v/>
      </c>
      <c r="BC34" s="57"/>
      <c r="BD34" s="58">
        <f t="array" ref="BD34">XLOOKUP(BB28,'食譜'!$B:$B,'食譜'!$O:$O,"")</f>
        <v>7</v>
      </c>
      <c r="BE34" s="53"/>
      <c r="BF34" s="59" t="str">
        <f t="array" ref="BF34">XLOOKUP(XLOOKUP(BF28,'食譜'!$B:$B,'食譜'!$N:$N,""),'食材'!$B:$B,'食材'!$D:$D,"")</f>
        <v/>
      </c>
      <c r="BG34" s="57"/>
      <c r="BH34" s="58">
        <f t="array" ref="BH34">XLOOKUP(BF28,'食譜'!$B:$B,'食譜'!$O:$O,"")</f>
        <v>8</v>
      </c>
      <c r="BI34" s="53"/>
      <c r="BJ34" s="59" t="str">
        <f t="array" ref="BJ34">XLOOKUP(XLOOKUP(BJ28,'食譜'!$B:$B,'食譜'!$N:$N,""),'食材'!$B:$B,'食材'!$D:$D,"")</f>
        <v/>
      </c>
      <c r="BK34" s="57"/>
      <c r="BL34" s="58">
        <f t="array" ref="BL34">XLOOKUP(BJ28,'食譜'!$B:$B,'食譜'!$O:$O,"")</f>
        <v>8</v>
      </c>
      <c r="BM34" s="53"/>
      <c r="BN34" s="59" t="str">
        <f t="array" ref="BN34">XLOOKUP(XLOOKUP(BN28,'食譜'!$B:$B,'食譜'!$N:$N,""),'食材'!$B:$B,'食材'!$D:$D,"")</f>
        <v/>
      </c>
      <c r="BO34" s="57"/>
      <c r="BP34" s="58">
        <f t="array" ref="BP34">XLOOKUP(BN28,'食譜'!$B:$B,'食譜'!$O:$O,"")</f>
        <v>10</v>
      </c>
      <c r="BQ34" s="53"/>
      <c r="BR34" s="59" t="str">
        <f t="array" ref="BR34">XLOOKUP(XLOOKUP(BR28,'食譜'!$B:$B,'食譜'!$N:$N,""),'食材'!$B:$B,'食材'!$D:$D,"")</f>
        <v/>
      </c>
      <c r="BS34" s="57"/>
      <c r="BT34" s="58">
        <f t="array" ref="BT34">XLOOKUP(BR28,'食譜'!$B:$B,'食譜'!$O:$O,"")</f>
        <v>12</v>
      </c>
      <c r="BU34" s="53"/>
      <c r="BV34" s="59" t="str">
        <f t="array" ref="BV34">XLOOKUP(XLOOKUP(BV28,'食譜'!$B:$B,'食譜'!$N:$N,""),'食材'!$B:$B,'食材'!$D:$D,"")</f>
        <v/>
      </c>
      <c r="BW34" s="57"/>
      <c r="BX34" s="58">
        <f t="array" ref="BX34">XLOOKUP(BV28,'食譜'!$B:$B,'食譜'!$O:$O,"")</f>
        <v>10</v>
      </c>
      <c r="BY34" s="53"/>
      <c r="BZ34" s="59" t="str">
        <f t="array" ref="BZ34">XLOOKUP(XLOOKUP(BZ28,'食譜'!$B:$B,'食譜'!$N:$N,""),'食材'!$B:$B,'食材'!$D:$D,"")</f>
        <v/>
      </c>
      <c r="CA34" s="57"/>
      <c r="CB34" s="58">
        <f t="array" ref="CB34">XLOOKUP(BZ28,'食譜'!$B:$B,'食譜'!$O:$O,"")</f>
        <v>11</v>
      </c>
      <c r="CC34" s="53"/>
      <c r="CD34" s="59" t="str">
        <f t="array" ref="CD34">XLOOKUP(XLOOKUP(CD28,'食譜'!$B:$B,'食譜'!$N:$N,""),'食材'!$B:$B,'食材'!$D:$D,"")</f>
        <v/>
      </c>
      <c r="CE34" s="57"/>
      <c r="CF34" s="58">
        <f t="array" ref="CF34">XLOOKUP(CD28,'食譜'!$B:$B,'食譜'!$O:$O,"")</f>
        <v>14</v>
      </c>
      <c r="CG34" s="53"/>
      <c r="CH34" s="59" t="str">
        <f t="array" ref="CH34">XLOOKUP(XLOOKUP(CH28,'食譜'!$B:$B,'食譜'!$N:$N,""),'食材'!$B:$B,'食材'!$D:$D,"")</f>
        <v/>
      </c>
      <c r="CI34" s="57"/>
      <c r="CJ34" s="58">
        <f t="array" ref="CJ34">XLOOKUP(CH28,'食譜'!$B:$B,'食譜'!$O:$O,"")</f>
        <v>12</v>
      </c>
      <c r="CK34" s="53"/>
      <c r="CL34" s="59" t="str">
        <f t="array" ref="CL34">XLOOKUP(XLOOKUP(CL28,'食譜'!$B:$B,'食譜'!$N:$N,""),'食材'!$B:$B,'食材'!$D:$D,"")</f>
        <v/>
      </c>
      <c r="CM34" s="57"/>
      <c r="CN34" s="58">
        <f t="array" ref="CN34">XLOOKUP(CL28,'食譜'!$B:$B,'食譜'!$O:$O,"")</f>
        <v>15</v>
      </c>
      <c r="CO34" s="53"/>
      <c r="CP34" s="59" t="str">
        <f t="array" ref="CP34">XLOOKUP(XLOOKUP(CP28,'食譜'!$B:$B,'食譜'!$N:$N,""),'食材'!$B:$B,'食材'!$D:$D,"")</f>
        <v/>
      </c>
      <c r="CQ34" s="57"/>
      <c r="CR34" s="58">
        <f t="array" ref="CR34">XLOOKUP(CP28,'食譜'!$B:$B,'食譜'!$O:$O,"")</f>
        <v>23</v>
      </c>
      <c r="CS34" s="53"/>
      <c r="CT34" s="59" t="str">
        <f t="array" ref="CT34">XLOOKUP(XLOOKUP(CT28,'食譜'!$B:$B,'食譜'!$N:$N,""),'食材'!$B:$B,'食材'!$D:$D,"")</f>
        <v/>
      </c>
      <c r="CU34" s="57"/>
      <c r="CV34" s="58">
        <f t="array" ref="CV34">XLOOKUP(CT28,'食譜'!$B:$B,'食譜'!$O:$O,"")</f>
        <v>22</v>
      </c>
      <c r="CW34" s="53"/>
      <c r="CX34" s="59" t="str">
        <f t="array" ref="CX34">XLOOKUP(XLOOKUP(CX28,'食譜'!$B:$B,'食譜'!$N:$N,""),'食材'!$B:$B,'食材'!$D:$D,"")</f>
        <v/>
      </c>
      <c r="CY34" s="57"/>
      <c r="CZ34" s="58">
        <f t="array" ref="CZ34">XLOOKUP(CX28,'食譜'!$B:$B,'食譜'!$O:$O,"")</f>
        <v>30</v>
      </c>
      <c r="DA34" s="53"/>
      <c r="DB34" s="59" t="str">
        <f t="array" ref="DB34">XLOOKUP(XLOOKUP(DB28,'食譜'!$B:$B,'食譜'!$N:$N,""),'食材'!$B:$B,'食材'!$D:$D,"")</f>
        <v/>
      </c>
      <c r="DC34" s="57"/>
      <c r="DD34" s="58">
        <f t="array" ref="DD34">XLOOKUP(DB28,'食譜'!$B:$B,'食譜'!$O:$O,"")</f>
        <v>18</v>
      </c>
      <c r="DE34" s="53"/>
      <c r="DF34" s="1"/>
      <c r="DG34" s="7" t="str">
        <f t="array" ref="DG34">XLOOKUP(DK34,'食材'!$B:$B,'食材'!$D:$D,"")</f>
        <v/>
      </c>
      <c r="DH34" s="8"/>
      <c r="DI34" s="9">
        <f t="array" ref="DI34">XLOOKUP(DK34,'食材'!$B:$B,'食材'!$F:$F,"")</f>
        <v>185</v>
      </c>
      <c r="DJ34" s="8"/>
      <c r="DK34" s="10" t="s">
        <v>16</v>
      </c>
      <c r="DL34" s="11"/>
      <c r="DM34" s="11"/>
      <c r="DN34" s="11"/>
      <c r="DO34" s="11"/>
      <c r="DP34" s="11"/>
      <c r="DQ34" s="12"/>
      <c r="DR34" s="13"/>
    </row>
    <row r="35" ht="15.0" customHeight="1">
      <c r="A35" s="1"/>
      <c r="B35" s="14"/>
      <c r="E35" s="15"/>
      <c r="F35" s="45"/>
      <c r="G35" s="60"/>
      <c r="H35" s="61"/>
      <c r="I35" s="47"/>
      <c r="J35" s="45"/>
      <c r="K35" s="60"/>
      <c r="L35" s="61"/>
      <c r="M35" s="47"/>
      <c r="N35" s="45"/>
      <c r="O35" s="60"/>
      <c r="P35" s="61"/>
      <c r="Q35" s="47"/>
      <c r="R35" s="45"/>
      <c r="S35" s="60"/>
      <c r="T35" s="61"/>
      <c r="U35" s="47"/>
      <c r="V35" s="45"/>
      <c r="W35" s="60"/>
      <c r="X35" s="61"/>
      <c r="Y35" s="47"/>
      <c r="Z35" s="45"/>
      <c r="AA35" s="60"/>
      <c r="AB35" s="61"/>
      <c r="AC35" s="47"/>
      <c r="AD35" s="45"/>
      <c r="AE35" s="60"/>
      <c r="AF35" s="61"/>
      <c r="AG35" s="47"/>
      <c r="AH35" s="45"/>
      <c r="AI35" s="60"/>
      <c r="AJ35" s="61"/>
      <c r="AK35" s="47"/>
      <c r="AL35" s="45"/>
      <c r="AM35" s="60"/>
      <c r="AN35" s="61"/>
      <c r="AO35" s="47"/>
      <c r="AP35" s="45"/>
      <c r="AQ35" s="60"/>
      <c r="AR35" s="61"/>
      <c r="AS35" s="47"/>
      <c r="AT35" s="45"/>
      <c r="AU35" s="60"/>
      <c r="AV35" s="61"/>
      <c r="AW35" s="47"/>
      <c r="AX35" s="45"/>
      <c r="AY35" s="60"/>
      <c r="AZ35" s="61"/>
      <c r="BA35" s="47"/>
      <c r="BB35" s="45"/>
      <c r="BC35" s="60"/>
      <c r="BD35" s="61"/>
      <c r="BE35" s="47"/>
      <c r="BF35" s="45"/>
      <c r="BG35" s="60"/>
      <c r="BH35" s="61"/>
      <c r="BI35" s="47"/>
      <c r="BJ35" s="45"/>
      <c r="BK35" s="60"/>
      <c r="BL35" s="61"/>
      <c r="BM35" s="47"/>
      <c r="BN35" s="45"/>
      <c r="BO35" s="60"/>
      <c r="BP35" s="61"/>
      <c r="BQ35" s="47"/>
      <c r="BR35" s="45"/>
      <c r="BS35" s="60"/>
      <c r="BT35" s="61"/>
      <c r="BU35" s="47"/>
      <c r="BV35" s="45"/>
      <c r="BW35" s="60"/>
      <c r="BX35" s="61"/>
      <c r="BY35" s="47"/>
      <c r="BZ35" s="45"/>
      <c r="CA35" s="60"/>
      <c r="CB35" s="61"/>
      <c r="CC35" s="47"/>
      <c r="CD35" s="45"/>
      <c r="CE35" s="60"/>
      <c r="CF35" s="61"/>
      <c r="CG35" s="47"/>
      <c r="CH35" s="45"/>
      <c r="CI35" s="60"/>
      <c r="CJ35" s="61"/>
      <c r="CK35" s="47"/>
      <c r="CL35" s="45"/>
      <c r="CM35" s="60"/>
      <c r="CN35" s="61"/>
      <c r="CO35" s="47"/>
      <c r="CP35" s="45"/>
      <c r="CQ35" s="60"/>
      <c r="CR35" s="61"/>
      <c r="CS35" s="47"/>
      <c r="CT35" s="45"/>
      <c r="CU35" s="60"/>
      <c r="CV35" s="61"/>
      <c r="CW35" s="47"/>
      <c r="CX35" s="45"/>
      <c r="CY35" s="60"/>
      <c r="CZ35" s="61"/>
      <c r="DA35" s="47"/>
      <c r="DB35" s="45"/>
      <c r="DC35" s="60"/>
      <c r="DD35" s="61"/>
      <c r="DE35" s="47"/>
      <c r="DF35" s="1"/>
      <c r="DG35" s="19"/>
      <c r="DH35" s="20"/>
      <c r="DI35" s="21"/>
      <c r="DJ35" s="20"/>
      <c r="DK35" s="21"/>
      <c r="DL35" s="22"/>
      <c r="DM35" s="22"/>
      <c r="DN35" s="22"/>
      <c r="DO35" s="22"/>
      <c r="DP35" s="22"/>
      <c r="DQ35" s="23"/>
      <c r="DR35" s="13"/>
    </row>
    <row r="36" ht="15.0" customHeight="1">
      <c r="A36" s="1"/>
      <c r="B36" s="14"/>
      <c r="E36" s="15"/>
      <c r="F36" s="56" t="str">
        <f t="array" ref="F36">XLOOKUP(XLOOKUP(F28,'食譜'!$B:$B,'食譜'!$P:$P,""),'食材'!$B:$B,'食材'!$D:$D,"")</f>
        <v/>
      </c>
      <c r="G36" s="57"/>
      <c r="H36" s="58" t="str">
        <f t="array" ref="H36">XLOOKUP(F28,'食譜'!$B:$B,'食譜'!$Q:$Q,"")</f>
        <v/>
      </c>
      <c r="I36" s="53"/>
      <c r="J36" s="59" t="str">
        <f t="array" ref="J36">XLOOKUP(XLOOKUP(J28,'食譜'!$B:$B,'食譜'!$P:$P,""),'食材'!$B:$B,'食材'!$D:$D,"")</f>
        <v/>
      </c>
      <c r="K36" s="57"/>
      <c r="L36" s="58" t="str">
        <f t="array" ref="L36">XLOOKUP(J28,'食譜'!$B:$B,'食譜'!$Q:$Q,"")</f>
        <v/>
      </c>
      <c r="M36" s="53"/>
      <c r="N36" s="59" t="str">
        <f t="array" ref="N36">XLOOKUP(XLOOKUP(N28,'食譜'!$B:$B,'食譜'!$P:$P,""),'食材'!$B:$B,'食材'!$D:$D,"")</f>
        <v/>
      </c>
      <c r="O36" s="57"/>
      <c r="P36" s="58" t="str">
        <f t="array" ref="P36">XLOOKUP(N28,'食譜'!$B:$B,'食譜'!$Q:$Q,"")</f>
        <v/>
      </c>
      <c r="Q36" s="53"/>
      <c r="R36" s="59" t="str">
        <f t="array" ref="R36">XLOOKUP(XLOOKUP(R28,'食譜'!$B:$B,'食譜'!$P:$P,""),'食材'!$B:$B,'食材'!$D:$D,"")</f>
        <v/>
      </c>
      <c r="S36" s="57"/>
      <c r="T36" s="58" t="str">
        <f t="array" ref="T36">XLOOKUP(R28,'食譜'!$B:$B,'食譜'!$Q:$Q,"")</f>
        <v/>
      </c>
      <c r="U36" s="53"/>
      <c r="V36" s="59" t="str">
        <f t="array" ref="V36">XLOOKUP(XLOOKUP(V28,'食譜'!$B:$B,'食譜'!$P:$P,""),'食材'!$B:$B,'食材'!$D:$D,"")</f>
        <v/>
      </c>
      <c r="W36" s="57"/>
      <c r="X36" s="58" t="str">
        <f t="array" ref="X36">XLOOKUP(V28,'食譜'!$B:$B,'食譜'!$Q:$Q,"")</f>
        <v/>
      </c>
      <c r="Y36" s="53"/>
      <c r="Z36" s="59" t="str">
        <f t="array" ref="Z36">XLOOKUP(XLOOKUP(Z28,'食譜'!$B:$B,'食譜'!$P:$P,""),'食材'!$B:$B,'食材'!$D:$D,"")</f>
        <v/>
      </c>
      <c r="AA36" s="57"/>
      <c r="AB36" s="58" t="str">
        <f t="array" ref="AB36">XLOOKUP(Z28,'食譜'!$B:$B,'食譜'!$Q:$Q,"")</f>
        <v/>
      </c>
      <c r="AC36" s="53"/>
      <c r="AD36" s="59" t="str">
        <f t="array" ref="AD36">XLOOKUP(XLOOKUP(AD28,'食譜'!$B:$B,'食譜'!$P:$P,""),'食材'!$B:$B,'食材'!$D:$D,"")</f>
        <v/>
      </c>
      <c r="AE36" s="57"/>
      <c r="AF36" s="58" t="str">
        <f t="array" ref="AF36">XLOOKUP(AD28,'食譜'!$B:$B,'食譜'!$Q:$Q,"")</f>
        <v/>
      </c>
      <c r="AG36" s="53"/>
      <c r="AH36" s="59" t="str">
        <f t="array" ref="AH36">XLOOKUP(XLOOKUP(AH28,'食譜'!$B:$B,'食譜'!$P:$P,""),'食材'!$B:$B,'食材'!$D:$D,"")</f>
        <v/>
      </c>
      <c r="AI36" s="57"/>
      <c r="AJ36" s="58" t="str">
        <f t="array" ref="AJ36">XLOOKUP(AH28,'食譜'!$B:$B,'食譜'!$Q:$Q,"")</f>
        <v/>
      </c>
      <c r="AK36" s="53"/>
      <c r="AL36" s="59" t="str">
        <f t="array" ref="AL36">XLOOKUP(XLOOKUP(AL28,'食譜'!$B:$B,'食譜'!$P:$P,""),'食材'!$B:$B,'食材'!$D:$D,"")</f>
        <v/>
      </c>
      <c r="AM36" s="57"/>
      <c r="AN36" s="58" t="str">
        <f t="array" ref="AN36">XLOOKUP(AL28,'食譜'!$B:$B,'食譜'!$Q:$Q,"")</f>
        <v/>
      </c>
      <c r="AO36" s="53"/>
      <c r="AP36" s="59" t="str">
        <f t="array" ref="AP36">XLOOKUP(XLOOKUP(AP28,'食譜'!$B:$B,'食譜'!$P:$P,""),'食材'!$B:$B,'食材'!$D:$D,"")</f>
        <v/>
      </c>
      <c r="AQ36" s="57"/>
      <c r="AR36" s="58">
        <f t="array" ref="AR36">XLOOKUP(AP28,'食譜'!$B:$B,'食譜'!$Q:$Q,"")</f>
        <v>3</v>
      </c>
      <c r="AS36" s="53"/>
      <c r="AT36" s="59" t="str">
        <f t="array" ref="AT36">XLOOKUP(XLOOKUP(AT28,'食譜'!$B:$B,'食譜'!$P:$P,""),'食材'!$B:$B,'食材'!$D:$D,"")</f>
        <v/>
      </c>
      <c r="AU36" s="57"/>
      <c r="AV36" s="58" t="str">
        <f t="array" ref="AV36">XLOOKUP(AT28,'食譜'!$B:$B,'食譜'!$Q:$Q,"")</f>
        <v/>
      </c>
      <c r="AW36" s="53"/>
      <c r="AX36" s="59" t="str">
        <f t="array" ref="AX36">XLOOKUP(XLOOKUP(AX28,'食譜'!$B:$B,'食譜'!$P:$P,""),'食材'!$B:$B,'食材'!$D:$D,"")</f>
        <v/>
      </c>
      <c r="AY36" s="57"/>
      <c r="AZ36" s="58" t="str">
        <f t="array" ref="AZ36">XLOOKUP(AX28,'食譜'!$B:$B,'食譜'!$Q:$Q,"")</f>
        <v/>
      </c>
      <c r="BA36" s="53"/>
      <c r="BB36" s="59" t="str">
        <f t="array" ref="BB36">XLOOKUP(XLOOKUP(BB28,'食譜'!$B:$B,'食譜'!$P:$P,""),'食材'!$B:$B,'食材'!$D:$D,"")</f>
        <v/>
      </c>
      <c r="BC36" s="57"/>
      <c r="BD36" s="58">
        <f t="array" ref="BD36">XLOOKUP(BB28,'食譜'!$B:$B,'食譜'!$Q:$Q,"")</f>
        <v>6</v>
      </c>
      <c r="BE36" s="53"/>
      <c r="BF36" s="59" t="str">
        <f t="array" ref="BF36">XLOOKUP(XLOOKUP(BF28,'食譜'!$B:$B,'食譜'!$P:$P,""),'食材'!$B:$B,'食材'!$D:$D,"")</f>
        <v/>
      </c>
      <c r="BG36" s="57"/>
      <c r="BH36" s="58" t="str">
        <f t="array" ref="BH36">XLOOKUP(BF28,'食譜'!$B:$B,'食譜'!$Q:$Q,"")</f>
        <v/>
      </c>
      <c r="BI36" s="53"/>
      <c r="BJ36" s="59" t="str">
        <f t="array" ref="BJ36">XLOOKUP(XLOOKUP(BJ28,'食譜'!$B:$B,'食譜'!$P:$P,""),'食材'!$B:$B,'食材'!$D:$D,"")</f>
        <v/>
      </c>
      <c r="BK36" s="57"/>
      <c r="BL36" s="58" t="str">
        <f t="array" ref="BL36">XLOOKUP(BJ28,'食譜'!$B:$B,'食譜'!$Q:$Q,"")</f>
        <v/>
      </c>
      <c r="BM36" s="53"/>
      <c r="BN36" s="59" t="str">
        <f t="array" ref="BN36">XLOOKUP(XLOOKUP(BN28,'食譜'!$B:$B,'食譜'!$P:$P,""),'食材'!$B:$B,'食材'!$D:$D,"")</f>
        <v/>
      </c>
      <c r="BO36" s="57"/>
      <c r="BP36" s="58" t="str">
        <f t="array" ref="BP36">XLOOKUP(BN28,'食譜'!$B:$B,'食譜'!$Q:$Q,"")</f>
        <v/>
      </c>
      <c r="BQ36" s="53"/>
      <c r="BR36" s="59" t="str">
        <f t="array" ref="BR36">XLOOKUP(XLOOKUP(BR28,'食譜'!$B:$B,'食譜'!$P:$P,""),'食材'!$B:$B,'食材'!$D:$D,"")</f>
        <v/>
      </c>
      <c r="BS36" s="57"/>
      <c r="BT36" s="58" t="str">
        <f t="array" ref="BT36">XLOOKUP(BR28,'食譜'!$B:$B,'食譜'!$Q:$Q,"")</f>
        <v/>
      </c>
      <c r="BU36" s="53"/>
      <c r="BV36" s="59" t="str">
        <f t="array" ref="BV36">XLOOKUP(XLOOKUP(BV28,'食譜'!$B:$B,'食譜'!$P:$P,""),'食材'!$B:$B,'食材'!$D:$D,"")</f>
        <v/>
      </c>
      <c r="BW36" s="57"/>
      <c r="BX36" s="58" t="str">
        <f t="array" ref="BX36">XLOOKUP(BV28,'食譜'!$B:$B,'食譜'!$Q:$Q,"")</f>
        <v/>
      </c>
      <c r="BY36" s="53"/>
      <c r="BZ36" s="59" t="str">
        <f t="array" ref="BZ36">XLOOKUP(XLOOKUP(BZ28,'食譜'!$B:$B,'食譜'!$P:$P,""),'食材'!$B:$B,'食材'!$D:$D,"")</f>
        <v/>
      </c>
      <c r="CA36" s="57"/>
      <c r="CB36" s="58">
        <f t="array" ref="CB36">XLOOKUP(BZ28,'食譜'!$B:$B,'食譜'!$Q:$Q,"")</f>
        <v>10</v>
      </c>
      <c r="CC36" s="53"/>
      <c r="CD36" s="59" t="str">
        <f t="array" ref="CD36">XLOOKUP(XLOOKUP(CD28,'食譜'!$B:$B,'食譜'!$P:$P,""),'食材'!$B:$B,'食材'!$D:$D,"")</f>
        <v/>
      </c>
      <c r="CE36" s="57"/>
      <c r="CF36" s="58">
        <f t="array" ref="CF36">XLOOKUP(CD28,'食譜'!$B:$B,'食譜'!$Q:$Q,"")</f>
        <v>9</v>
      </c>
      <c r="CG36" s="53"/>
      <c r="CH36" s="59" t="str">
        <f t="array" ref="CH36">XLOOKUP(XLOOKUP(CH28,'食譜'!$B:$B,'食譜'!$P:$P,""),'食材'!$B:$B,'食材'!$D:$D,"")</f>
        <v/>
      </c>
      <c r="CI36" s="57"/>
      <c r="CJ36" s="58">
        <f t="array" ref="CJ36">XLOOKUP(CH28,'食譜'!$B:$B,'食譜'!$Q:$Q,"")</f>
        <v>11</v>
      </c>
      <c r="CK36" s="53"/>
      <c r="CL36" s="59" t="str">
        <f t="array" ref="CL36">XLOOKUP(XLOOKUP(CL28,'食譜'!$B:$B,'食譜'!$P:$P,""),'食材'!$B:$B,'食材'!$D:$D,"")</f>
        <v/>
      </c>
      <c r="CM36" s="57"/>
      <c r="CN36" s="58">
        <f t="array" ref="CN36">XLOOKUP(CL28,'食譜'!$B:$B,'食譜'!$Q:$Q,"")</f>
        <v>12</v>
      </c>
      <c r="CO36" s="53"/>
      <c r="CP36" s="59" t="str">
        <f t="array" ref="CP36">XLOOKUP(XLOOKUP(CP28,'食譜'!$B:$B,'食譜'!$P:$P,""),'食材'!$B:$B,'食材'!$D:$D,"")</f>
        <v/>
      </c>
      <c r="CQ36" s="57"/>
      <c r="CR36" s="58">
        <f t="array" ref="CR36">XLOOKUP(CP28,'食譜'!$B:$B,'食譜'!$Q:$Q,"")</f>
        <v>18</v>
      </c>
      <c r="CS36" s="53"/>
      <c r="CT36" s="59" t="str">
        <f t="array" ref="CT36">XLOOKUP(XLOOKUP(CT28,'食譜'!$B:$B,'食譜'!$P:$P,""),'食材'!$B:$B,'食材'!$D:$D,"")</f>
        <v/>
      </c>
      <c r="CU36" s="57"/>
      <c r="CV36" s="58">
        <f t="array" ref="CV36">XLOOKUP(CT28,'食譜'!$B:$B,'食譜'!$Q:$Q,"")</f>
        <v>22</v>
      </c>
      <c r="CW36" s="53"/>
      <c r="CX36" s="59" t="str">
        <f t="array" ref="CX36">XLOOKUP(XLOOKUP(CX28,'食譜'!$B:$B,'食譜'!$P:$P,""),'食材'!$B:$B,'食材'!$D:$D,"")</f>
        <v/>
      </c>
      <c r="CY36" s="57"/>
      <c r="CZ36" s="58">
        <f t="array" ref="CZ36">XLOOKUP(CX28,'食譜'!$B:$B,'食譜'!$Q:$Q,"")</f>
        <v>22</v>
      </c>
      <c r="DA36" s="53"/>
      <c r="DB36" s="59" t="str">
        <f t="array" ref="DB36">XLOOKUP(XLOOKUP(DB28,'食譜'!$B:$B,'食譜'!$P:$P,""),'食材'!$B:$B,'食材'!$D:$D,"")</f>
        <v/>
      </c>
      <c r="DC36" s="57"/>
      <c r="DD36" s="58">
        <f t="array" ref="DD36">XLOOKUP(DB28,'食譜'!$B:$B,'食譜'!$Q:$Q,"")</f>
        <v>27</v>
      </c>
      <c r="DE36" s="53"/>
      <c r="DF36" s="1"/>
      <c r="DG36" s="7" t="str">
        <f t="array" ref="DG36">XLOOKUP(DK36,'食材'!$B:$B,'食材'!$D:$D,"")</f>
        <v/>
      </c>
      <c r="DH36" s="8"/>
      <c r="DI36" s="9">
        <f t="array" ref="DI36">XLOOKUP(DK36,'食材'!$B:$B,'食材'!$F:$F,"")</f>
        <v>250</v>
      </c>
      <c r="DJ36" s="8"/>
      <c r="DK36" s="10" t="s">
        <v>17</v>
      </c>
      <c r="DL36" s="11"/>
      <c r="DM36" s="11"/>
      <c r="DN36" s="11"/>
      <c r="DO36" s="11"/>
      <c r="DP36" s="11"/>
      <c r="DQ36" s="12"/>
      <c r="DR36" s="13"/>
    </row>
    <row r="37" ht="15.0" customHeight="1">
      <c r="A37" s="1"/>
      <c r="B37" s="14"/>
      <c r="E37" s="15"/>
      <c r="F37" s="45"/>
      <c r="G37" s="60"/>
      <c r="H37" s="61"/>
      <c r="I37" s="47"/>
      <c r="J37" s="45"/>
      <c r="K37" s="60"/>
      <c r="L37" s="61"/>
      <c r="M37" s="47"/>
      <c r="N37" s="45"/>
      <c r="O37" s="60"/>
      <c r="P37" s="61"/>
      <c r="Q37" s="47"/>
      <c r="R37" s="45"/>
      <c r="S37" s="60"/>
      <c r="T37" s="61"/>
      <c r="U37" s="47"/>
      <c r="V37" s="45"/>
      <c r="W37" s="60"/>
      <c r="X37" s="61"/>
      <c r="Y37" s="47"/>
      <c r="Z37" s="45"/>
      <c r="AA37" s="60"/>
      <c r="AB37" s="61"/>
      <c r="AC37" s="47"/>
      <c r="AD37" s="45"/>
      <c r="AE37" s="60"/>
      <c r="AF37" s="61"/>
      <c r="AG37" s="47"/>
      <c r="AH37" s="45"/>
      <c r="AI37" s="60"/>
      <c r="AJ37" s="61"/>
      <c r="AK37" s="47"/>
      <c r="AL37" s="45"/>
      <c r="AM37" s="60"/>
      <c r="AN37" s="61"/>
      <c r="AO37" s="47"/>
      <c r="AP37" s="45"/>
      <c r="AQ37" s="60"/>
      <c r="AR37" s="61"/>
      <c r="AS37" s="47"/>
      <c r="AT37" s="45"/>
      <c r="AU37" s="60"/>
      <c r="AV37" s="61"/>
      <c r="AW37" s="47"/>
      <c r="AX37" s="45"/>
      <c r="AY37" s="60"/>
      <c r="AZ37" s="61"/>
      <c r="BA37" s="47"/>
      <c r="BB37" s="45"/>
      <c r="BC37" s="60"/>
      <c r="BD37" s="61"/>
      <c r="BE37" s="47"/>
      <c r="BF37" s="45"/>
      <c r="BG37" s="60"/>
      <c r="BH37" s="61"/>
      <c r="BI37" s="47"/>
      <c r="BJ37" s="45"/>
      <c r="BK37" s="60"/>
      <c r="BL37" s="61"/>
      <c r="BM37" s="47"/>
      <c r="BN37" s="45"/>
      <c r="BO37" s="60"/>
      <c r="BP37" s="61"/>
      <c r="BQ37" s="47"/>
      <c r="BR37" s="45"/>
      <c r="BS37" s="60"/>
      <c r="BT37" s="61"/>
      <c r="BU37" s="47"/>
      <c r="BV37" s="45"/>
      <c r="BW37" s="60"/>
      <c r="BX37" s="61"/>
      <c r="BY37" s="47"/>
      <c r="BZ37" s="45"/>
      <c r="CA37" s="60"/>
      <c r="CB37" s="61"/>
      <c r="CC37" s="47"/>
      <c r="CD37" s="45"/>
      <c r="CE37" s="60"/>
      <c r="CF37" s="61"/>
      <c r="CG37" s="47"/>
      <c r="CH37" s="45"/>
      <c r="CI37" s="60"/>
      <c r="CJ37" s="61"/>
      <c r="CK37" s="47"/>
      <c r="CL37" s="45"/>
      <c r="CM37" s="60"/>
      <c r="CN37" s="61"/>
      <c r="CO37" s="47"/>
      <c r="CP37" s="45"/>
      <c r="CQ37" s="60"/>
      <c r="CR37" s="61"/>
      <c r="CS37" s="47"/>
      <c r="CT37" s="45"/>
      <c r="CU37" s="60"/>
      <c r="CV37" s="61"/>
      <c r="CW37" s="47"/>
      <c r="CX37" s="45"/>
      <c r="CY37" s="60"/>
      <c r="CZ37" s="61"/>
      <c r="DA37" s="47"/>
      <c r="DB37" s="45"/>
      <c r="DC37" s="60"/>
      <c r="DD37" s="61"/>
      <c r="DE37" s="47"/>
      <c r="DF37" s="1"/>
      <c r="DG37" s="19"/>
      <c r="DH37" s="20"/>
      <c r="DI37" s="21"/>
      <c r="DJ37" s="20"/>
      <c r="DK37" s="21"/>
      <c r="DL37" s="22"/>
      <c r="DM37" s="22"/>
      <c r="DN37" s="22"/>
      <c r="DO37" s="22"/>
      <c r="DP37" s="22"/>
      <c r="DQ37" s="23"/>
      <c r="DR37" s="13"/>
    </row>
    <row r="38" ht="15.0" customHeight="1">
      <c r="A38" s="1"/>
      <c r="B38" s="14"/>
      <c r="E38" s="15"/>
      <c r="F38" s="62">
        <f t="array" ref="F38">XLOOKUP(F28,'食譜'!$B:$B,'食譜'!$D:$D,"")</f>
        <v>8</v>
      </c>
      <c r="G38" s="52"/>
      <c r="H38" s="52"/>
      <c r="I38" s="53"/>
      <c r="J38" s="62">
        <f t="array" ref="J38">XLOOKUP(J28,'食譜'!$B:$B,'食譜'!$D:$D,"")</f>
        <v>8</v>
      </c>
      <c r="K38" s="52"/>
      <c r="L38" s="52"/>
      <c r="M38" s="53"/>
      <c r="N38" s="62">
        <f t="array" ref="N38">XLOOKUP(N28,'食譜'!$B:$B,'食譜'!$D:$D,"")</f>
        <v>8</v>
      </c>
      <c r="O38" s="52"/>
      <c r="P38" s="52"/>
      <c r="Q38" s="53"/>
      <c r="R38" s="62">
        <f t="array" ref="R38">XLOOKUP(R28,'食譜'!$B:$B,'食譜'!$D:$D,"")</f>
        <v>16</v>
      </c>
      <c r="S38" s="52"/>
      <c r="T38" s="52"/>
      <c r="U38" s="53"/>
      <c r="V38" s="62">
        <f t="array" ref="V38">XLOOKUP(V28,'食譜'!$B:$B,'食譜'!$D:$D,"")</f>
        <v>16</v>
      </c>
      <c r="W38" s="52"/>
      <c r="X38" s="52"/>
      <c r="Y38" s="53"/>
      <c r="Z38" s="62">
        <f t="array" ref="Z38">XLOOKUP(Z28,'食譜'!$B:$B,'食譜'!$D:$D,"")</f>
        <v>23</v>
      </c>
      <c r="AA38" s="52"/>
      <c r="AB38" s="52"/>
      <c r="AC38" s="53"/>
      <c r="AD38" s="62">
        <f t="array" ref="AD38">XLOOKUP(AD28,'食譜'!$B:$B,'食譜'!$D:$D,"")</f>
        <v>17</v>
      </c>
      <c r="AE38" s="52"/>
      <c r="AF38" s="52"/>
      <c r="AG38" s="53"/>
      <c r="AH38" s="62">
        <f t="array" ref="AH38">XLOOKUP(AH28,'食譜'!$B:$B,'食譜'!$D:$D,"")</f>
        <v>15</v>
      </c>
      <c r="AI38" s="52"/>
      <c r="AJ38" s="52"/>
      <c r="AK38" s="53"/>
      <c r="AL38" s="62">
        <f t="array" ref="AL38">XLOOKUP(AL28,'食譜'!$B:$B,'食譜'!$D:$D,"")</f>
        <v>23</v>
      </c>
      <c r="AM38" s="52"/>
      <c r="AN38" s="52"/>
      <c r="AO38" s="53"/>
      <c r="AP38" s="62">
        <f t="array" ref="AP38">XLOOKUP(AP28,'食譜'!$B:$B,'食譜'!$D:$D,"")</f>
        <v>23</v>
      </c>
      <c r="AQ38" s="52"/>
      <c r="AR38" s="52"/>
      <c r="AS38" s="53"/>
      <c r="AT38" s="62">
        <f t="array" ref="AT38">XLOOKUP(AT28,'食譜'!$B:$B,'食譜'!$D:$D,"")</f>
        <v>24</v>
      </c>
      <c r="AU38" s="52"/>
      <c r="AV38" s="52"/>
      <c r="AW38" s="53"/>
      <c r="AX38" s="62">
        <f t="array" ref="AX38">XLOOKUP(AX28,'食譜'!$B:$B,'食譜'!$D:$D,"")</f>
        <v>23</v>
      </c>
      <c r="AY38" s="52"/>
      <c r="AZ38" s="52"/>
      <c r="BA38" s="53"/>
      <c r="BB38" s="62">
        <f t="array" ref="BB38">XLOOKUP(BB28,'食譜'!$B:$B,'食譜'!$D:$D,"")</f>
        <v>36</v>
      </c>
      <c r="BC38" s="52"/>
      <c r="BD38" s="52"/>
      <c r="BE38" s="53"/>
      <c r="BF38" s="62">
        <f t="array" ref="BF38">XLOOKUP(BF28,'食譜'!$B:$B,'食譜'!$D:$D,"")</f>
        <v>35</v>
      </c>
      <c r="BG38" s="52"/>
      <c r="BH38" s="52"/>
      <c r="BI38" s="53"/>
      <c r="BJ38" s="62">
        <f t="array" ref="BJ38">XLOOKUP(BJ28,'食譜'!$B:$B,'食譜'!$D:$D,"")</f>
        <v>33</v>
      </c>
      <c r="BK38" s="52"/>
      <c r="BL38" s="52"/>
      <c r="BM38" s="53"/>
      <c r="BN38" s="62">
        <f t="array" ref="BN38">XLOOKUP(BN28,'食譜'!$B:$B,'食譜'!$D:$D,"")</f>
        <v>42</v>
      </c>
      <c r="BO38" s="52"/>
      <c r="BP38" s="52"/>
      <c r="BQ38" s="53"/>
      <c r="BR38" s="62">
        <f t="array" ref="BR38">XLOOKUP(BR28,'食譜'!$B:$B,'食譜'!$D:$D,"")</f>
        <v>49</v>
      </c>
      <c r="BS38" s="52"/>
      <c r="BT38" s="52"/>
      <c r="BU38" s="53"/>
      <c r="BV38" s="62">
        <f t="array" ref="BV38">XLOOKUP(BV28,'食譜'!$B:$B,'食譜'!$D:$D,"")</f>
        <v>35</v>
      </c>
      <c r="BW38" s="52"/>
      <c r="BX38" s="52"/>
      <c r="BY38" s="53"/>
      <c r="BZ38" s="62">
        <f t="array" ref="BZ38">XLOOKUP(BZ28,'食譜'!$B:$B,'食譜'!$D:$D,"")</f>
        <v>56</v>
      </c>
      <c r="CA38" s="52"/>
      <c r="CB38" s="52"/>
      <c r="CC38" s="53"/>
      <c r="CD38" s="62">
        <f t="array" ref="CD38">XLOOKUP(CD28,'食譜'!$B:$B,'食譜'!$D:$D,"")</f>
        <v>62</v>
      </c>
      <c r="CE38" s="52"/>
      <c r="CF38" s="52"/>
      <c r="CG38" s="53"/>
      <c r="CH38" s="62">
        <f t="array" ref="CH38">XLOOKUP(CH28,'食譜'!$B:$B,'食譜'!$D:$D,"")</f>
        <v>57</v>
      </c>
      <c r="CI38" s="52"/>
      <c r="CJ38" s="52"/>
      <c r="CK38" s="53"/>
      <c r="CL38" s="62">
        <f t="array" ref="CL38">XLOOKUP(CL28,'食譜'!$B:$B,'食譜'!$D:$D,"")</f>
        <v>69</v>
      </c>
      <c r="CM38" s="52"/>
      <c r="CN38" s="52"/>
      <c r="CO38" s="53"/>
      <c r="CP38" s="62">
        <f t="array" ref="CP38">XLOOKUP(CP28,'食譜'!$B:$B,'食譜'!$D:$D,"")</f>
        <v>104</v>
      </c>
      <c r="CQ38" s="52"/>
      <c r="CR38" s="52"/>
      <c r="CS38" s="53"/>
      <c r="CT38" s="62">
        <f t="array" ref="CT38">XLOOKUP(CT28,'食譜'!$B:$B,'食譜'!$D:$D,"")</f>
        <v>100</v>
      </c>
      <c r="CU38" s="52"/>
      <c r="CV38" s="52"/>
      <c r="CW38" s="53"/>
      <c r="CX38" s="62">
        <f t="array" ref="CX38">XLOOKUP(CX28,'食譜'!$B:$B,'食譜'!$D:$D,"")</f>
        <v>105</v>
      </c>
      <c r="CY38" s="52"/>
      <c r="CZ38" s="52"/>
      <c r="DA38" s="53"/>
      <c r="DB38" s="62">
        <f t="array" ref="DB38">XLOOKUP(DB28,'食譜'!$B:$B,'食譜'!$D:$D,"")</f>
        <v>95</v>
      </c>
      <c r="DC38" s="52"/>
      <c r="DD38" s="52"/>
      <c r="DE38" s="53"/>
      <c r="DF38" s="1"/>
      <c r="DG38" s="7" t="str">
        <f t="array" ref="DG38">XLOOKUP(DK38,'食材'!$B:$B,'食材'!$D:$D,"")</f>
        <v/>
      </c>
      <c r="DH38" s="8"/>
      <c r="DI38" s="9">
        <f t="array" ref="DI38">XLOOKUP(DK38,'食材'!$B:$B,'食材'!$F:$F,"")</f>
        <v>342</v>
      </c>
      <c r="DJ38" s="8"/>
      <c r="DK38" s="10" t="s">
        <v>18</v>
      </c>
      <c r="DL38" s="11"/>
      <c r="DM38" s="11"/>
      <c r="DN38" s="11"/>
      <c r="DO38" s="11"/>
      <c r="DP38" s="11"/>
      <c r="DQ38" s="12"/>
      <c r="DR38" s="13"/>
    </row>
    <row r="39" ht="15.0" customHeight="1">
      <c r="A39" s="1"/>
      <c r="B39" s="45"/>
      <c r="C39" s="46"/>
      <c r="D39" s="46"/>
      <c r="E39" s="47"/>
      <c r="F39" s="38"/>
      <c r="G39" s="39"/>
      <c r="H39" s="39"/>
      <c r="I39" s="40"/>
      <c r="J39" s="38"/>
      <c r="K39" s="39"/>
      <c r="L39" s="39"/>
      <c r="M39" s="40"/>
      <c r="N39" s="38"/>
      <c r="O39" s="39"/>
      <c r="P39" s="39"/>
      <c r="Q39" s="40"/>
      <c r="R39" s="38"/>
      <c r="S39" s="39"/>
      <c r="T39" s="39"/>
      <c r="U39" s="40"/>
      <c r="V39" s="38"/>
      <c r="W39" s="39"/>
      <c r="X39" s="39"/>
      <c r="Y39" s="40"/>
      <c r="Z39" s="38"/>
      <c r="AA39" s="39"/>
      <c r="AB39" s="39"/>
      <c r="AC39" s="40"/>
      <c r="AD39" s="38"/>
      <c r="AE39" s="39"/>
      <c r="AF39" s="39"/>
      <c r="AG39" s="40"/>
      <c r="AH39" s="38"/>
      <c r="AI39" s="39"/>
      <c r="AJ39" s="39"/>
      <c r="AK39" s="40"/>
      <c r="AL39" s="38"/>
      <c r="AM39" s="39"/>
      <c r="AN39" s="39"/>
      <c r="AO39" s="40"/>
      <c r="AP39" s="38"/>
      <c r="AQ39" s="39"/>
      <c r="AR39" s="39"/>
      <c r="AS39" s="40"/>
      <c r="AT39" s="38"/>
      <c r="AU39" s="39"/>
      <c r="AV39" s="39"/>
      <c r="AW39" s="40"/>
      <c r="AX39" s="38"/>
      <c r="AY39" s="39"/>
      <c r="AZ39" s="39"/>
      <c r="BA39" s="40"/>
      <c r="BB39" s="38"/>
      <c r="BC39" s="39"/>
      <c r="BD39" s="39"/>
      <c r="BE39" s="40"/>
      <c r="BF39" s="38"/>
      <c r="BG39" s="39"/>
      <c r="BH39" s="39"/>
      <c r="BI39" s="40"/>
      <c r="BJ39" s="38"/>
      <c r="BK39" s="39"/>
      <c r="BL39" s="39"/>
      <c r="BM39" s="40"/>
      <c r="BN39" s="38"/>
      <c r="BO39" s="39"/>
      <c r="BP39" s="39"/>
      <c r="BQ39" s="40"/>
      <c r="BR39" s="38"/>
      <c r="BS39" s="39"/>
      <c r="BT39" s="39"/>
      <c r="BU39" s="40"/>
      <c r="BV39" s="38"/>
      <c r="BW39" s="39"/>
      <c r="BX39" s="39"/>
      <c r="BY39" s="40"/>
      <c r="BZ39" s="38"/>
      <c r="CA39" s="39"/>
      <c r="CB39" s="39"/>
      <c r="CC39" s="40"/>
      <c r="CD39" s="38"/>
      <c r="CE39" s="39"/>
      <c r="CF39" s="39"/>
      <c r="CG39" s="40"/>
      <c r="CH39" s="38"/>
      <c r="CI39" s="39"/>
      <c r="CJ39" s="39"/>
      <c r="CK39" s="40"/>
      <c r="CL39" s="38"/>
      <c r="CM39" s="39"/>
      <c r="CN39" s="39"/>
      <c r="CO39" s="40"/>
      <c r="CP39" s="38"/>
      <c r="CQ39" s="39"/>
      <c r="CR39" s="39"/>
      <c r="CS39" s="40"/>
      <c r="CT39" s="38"/>
      <c r="CU39" s="39"/>
      <c r="CV39" s="39"/>
      <c r="CW39" s="40"/>
      <c r="CX39" s="38"/>
      <c r="CY39" s="39"/>
      <c r="CZ39" s="39"/>
      <c r="DA39" s="40"/>
      <c r="DB39" s="38"/>
      <c r="DC39" s="39"/>
      <c r="DD39" s="39"/>
      <c r="DE39" s="40"/>
      <c r="DF39" s="1"/>
      <c r="DG39" s="19"/>
      <c r="DH39" s="20"/>
      <c r="DI39" s="21"/>
      <c r="DJ39" s="20"/>
      <c r="DK39" s="21"/>
      <c r="DL39" s="22"/>
      <c r="DM39" s="22"/>
      <c r="DN39" s="22"/>
      <c r="DO39" s="22"/>
      <c r="DP39" s="22"/>
      <c r="DQ39" s="23"/>
      <c r="DR39" s="13"/>
    </row>
    <row r="40" ht="15.0" customHeight="1">
      <c r="A40" s="1"/>
      <c r="B40" s="41"/>
      <c r="C40" s="41"/>
      <c r="D40" s="41"/>
      <c r="E40" s="41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3"/>
      <c r="CY40" s="43"/>
      <c r="CZ40" s="43"/>
      <c r="DA40" s="43"/>
      <c r="DB40" s="1"/>
      <c r="DC40" s="1"/>
      <c r="DD40" s="1"/>
      <c r="DE40" s="1"/>
      <c r="DF40" s="1"/>
      <c r="DG40" s="1"/>
      <c r="DH40" s="1"/>
      <c r="DI40" s="1"/>
      <c r="DJ40" s="1"/>
      <c r="DK40" s="43"/>
      <c r="DL40" s="43"/>
      <c r="DM40" s="43"/>
      <c r="DN40" s="43"/>
      <c r="DO40" s="43"/>
      <c r="DP40" s="43"/>
      <c r="DQ40" s="43"/>
      <c r="DR40" s="43"/>
    </row>
    <row r="41" ht="15.0" customHeight="1">
      <c r="A41" s="1"/>
      <c r="B41" s="41"/>
      <c r="C41" s="41"/>
      <c r="D41" s="41"/>
      <c r="E41" s="41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3"/>
      <c r="CY41" s="43"/>
      <c r="CZ41" s="43"/>
      <c r="DA41" s="43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</row>
    <row r="42" ht="15.0" customHeight="1">
      <c r="A42" s="1"/>
      <c r="B42" s="63" t="str">
        <f t="array" ref="B42">XLOOKUP("拌拌果汁",'食譜'!B:B,'食譜'!A:A,"")</f>
        <v/>
      </c>
      <c r="C42" s="5"/>
      <c r="D42" s="5"/>
      <c r="E42" s="6"/>
      <c r="F42" s="63">
        <f t="array" ref="F42">XLOOKUP(F48,'食譜'!$B:$B,'食譜'!$F:$F,"")</f>
        <v>0.19</v>
      </c>
      <c r="G42" s="5"/>
      <c r="H42" s="5"/>
      <c r="I42" s="6"/>
      <c r="J42" s="63">
        <f t="array" ref="J42">XLOOKUP(J48,'食譜'!$B:$B,'食譜'!$F:$F,"")</f>
        <v>0.19</v>
      </c>
      <c r="K42" s="5"/>
      <c r="L42" s="5"/>
      <c r="M42" s="6"/>
      <c r="N42" s="63">
        <f t="array" ref="N42">XLOOKUP(N48,'食譜'!$B:$B,'食譜'!$F:$F,"")</f>
        <v>0.19</v>
      </c>
      <c r="O42" s="5"/>
      <c r="P42" s="5"/>
      <c r="Q42" s="6"/>
      <c r="R42" s="63">
        <f t="array" ref="R42">XLOOKUP(R48,'食譜'!$B:$B,'食譜'!$F:$F,"")</f>
        <v>0.19</v>
      </c>
      <c r="S42" s="5"/>
      <c r="T42" s="5"/>
      <c r="U42" s="6"/>
      <c r="V42" s="63">
        <f t="array" ref="V42">XLOOKUP(V48,'食譜'!$B:$B,'食譜'!$F:$F,"")</f>
        <v>0.19</v>
      </c>
      <c r="W42" s="5"/>
      <c r="X42" s="5"/>
      <c r="Y42" s="6"/>
      <c r="Z42" s="63">
        <f t="array" ref="Z42">XLOOKUP(Z48,'食譜'!$B:$B,'食譜'!$F:$F,"")</f>
        <v>0.19</v>
      </c>
      <c r="AA42" s="5"/>
      <c r="AB42" s="5"/>
      <c r="AC42" s="6"/>
      <c r="AD42" s="63">
        <f t="array" ref="AD42">XLOOKUP(AD48,'食譜'!$B:$B,'食譜'!$F:$F,"")</f>
        <v>0.19</v>
      </c>
      <c r="AE42" s="5"/>
      <c r="AF42" s="5"/>
      <c r="AG42" s="6"/>
      <c r="AH42" s="63">
        <f t="array" ref="AH42">XLOOKUP(AH48,'食譜'!$B:$B,'食譜'!$F:$F,"")</f>
        <v>0.19</v>
      </c>
      <c r="AI42" s="5"/>
      <c r="AJ42" s="5"/>
      <c r="AK42" s="6"/>
      <c r="AL42" s="63">
        <f t="array" ref="AL42">XLOOKUP(AL48,'食譜'!$B:$B,'食譜'!$F:$F,"")</f>
        <v>0.21</v>
      </c>
      <c r="AM42" s="5"/>
      <c r="AN42" s="5"/>
      <c r="AO42" s="6"/>
      <c r="AP42" s="63">
        <f t="array" ref="AP42">XLOOKUP(AP48,'食譜'!$B:$B,'食譜'!$F:$F,"")</f>
        <v>0.2</v>
      </c>
      <c r="AQ42" s="5"/>
      <c r="AR42" s="5"/>
      <c r="AS42" s="6"/>
      <c r="AT42" s="63">
        <f t="array" ref="AT42">XLOOKUP(AT48,'食譜'!$B:$B,'食譜'!$F:$F,"")</f>
        <v>0.25</v>
      </c>
      <c r="AU42" s="5"/>
      <c r="AV42" s="5"/>
      <c r="AW42" s="6"/>
      <c r="AX42" s="63">
        <f t="array" ref="AX42">XLOOKUP(AX48,'食譜'!$B:$B,'食譜'!$F:$F,"")</f>
        <v>0.21</v>
      </c>
      <c r="AY42" s="5"/>
      <c r="AZ42" s="5"/>
      <c r="BA42" s="6"/>
      <c r="BB42" s="63">
        <f t="array" ref="BB42">XLOOKUP(BB48,'食譜'!$B:$B,'食譜'!$F:$F,"")</f>
        <v>0.25</v>
      </c>
      <c r="BC42" s="5"/>
      <c r="BD42" s="5"/>
      <c r="BE42" s="6"/>
      <c r="BF42" s="63">
        <f t="array" ref="BF42">XLOOKUP(BF48,'食譜'!$B:$B,'食譜'!$F:$F,"")</f>
        <v>0.25</v>
      </c>
      <c r="BG42" s="5"/>
      <c r="BH42" s="5"/>
      <c r="BI42" s="6"/>
      <c r="BJ42" s="63">
        <f t="array" ref="BJ42">XLOOKUP(BJ48,'食譜'!$B:$B,'食譜'!$F:$F,"")</f>
        <v>0.25</v>
      </c>
      <c r="BK42" s="5"/>
      <c r="BL42" s="5"/>
      <c r="BM42" s="6"/>
      <c r="BN42" s="63">
        <f t="array" ref="BN42">XLOOKUP(BN48,'食譜'!$B:$B,'食譜'!$F:$F,"")</f>
        <v>0.35</v>
      </c>
      <c r="BO42" s="5"/>
      <c r="BP42" s="5"/>
      <c r="BQ42" s="6"/>
      <c r="BR42" s="63">
        <f t="array" ref="BR42">XLOOKUP(BR48,'食譜'!$B:$B,'食譜'!$F:$F,"")</f>
        <v>0.35</v>
      </c>
      <c r="BS42" s="5"/>
      <c r="BT42" s="5"/>
      <c r="BU42" s="6"/>
      <c r="BV42" s="63">
        <f t="array" ref="BV42">XLOOKUP(BV48,'食譜'!$B:$B,'食譜'!$F:$F,"")</f>
        <v>0.35</v>
      </c>
      <c r="BW42" s="5"/>
      <c r="BX42" s="5"/>
      <c r="BY42" s="6"/>
      <c r="BZ42" s="63">
        <f t="array" ref="BZ42">XLOOKUP(BZ48,'食譜'!$B:$B,'食譜'!$F:$F,"")</f>
        <v>0.35</v>
      </c>
      <c r="CA42" s="5"/>
      <c r="CB42" s="5"/>
      <c r="CC42" s="6"/>
      <c r="CD42" s="63">
        <f t="array" ref="CD42">XLOOKUP(CD48,'食譜'!$B:$B,'食譜'!$F:$F,"")</f>
        <v>0.35</v>
      </c>
      <c r="CE42" s="5"/>
      <c r="CF42" s="5"/>
      <c r="CG42" s="6"/>
      <c r="CH42" s="63">
        <f t="array" ref="CH42">XLOOKUP(CH48,'食譜'!$B:$B,'食譜'!$F:$F,"")</f>
        <v>0.35</v>
      </c>
      <c r="CI42" s="5"/>
      <c r="CJ42" s="5"/>
      <c r="CK42" s="6"/>
      <c r="CL42" s="63">
        <f t="array" ref="CL42">XLOOKUP(CL48,'食譜'!$B:$B,'食譜'!$F:$F,"")</f>
        <v>0.48</v>
      </c>
      <c r="CM42" s="5"/>
      <c r="CN42" s="5"/>
      <c r="CO42" s="6"/>
      <c r="CP42" s="63">
        <f t="array" ref="CP42">XLOOKUP(CP48,'食譜'!$B:$B,'食譜'!$F:$F,"")</f>
        <v>0.48</v>
      </c>
      <c r="CQ42" s="5"/>
      <c r="CR42" s="5"/>
      <c r="CS42" s="6"/>
      <c r="CT42" s="63">
        <f t="array" ref="CT42">XLOOKUP(CT48,'食譜'!$B:$B,'食譜'!$F:$F,"")</f>
        <v>0.61</v>
      </c>
      <c r="CU42" s="5"/>
      <c r="CV42" s="5"/>
      <c r="CW42" s="6"/>
      <c r="CX42" s="63">
        <f t="array" ref="CX42">XLOOKUP(CX48,'食譜'!$B:$B,'食譜'!$F:$F,"")</f>
        <v>0.61</v>
      </c>
      <c r="CY42" s="5"/>
      <c r="CZ42" s="5"/>
      <c r="DA42" s="6"/>
      <c r="DB42" s="64">
        <f t="array" ref="DB42">XLOOKUP(DB48,'食譜'!$B:$B,'食譜'!$F:$F,"")</f>
        <v>0.78</v>
      </c>
      <c r="DE42" s="15"/>
      <c r="DF42" s="64">
        <f t="array" ref="DF42">XLOOKUP(DF48,'食譜'!$B:$B,'食譜'!$F:$F,"")</f>
        <v>0.78</v>
      </c>
      <c r="DI42" s="15"/>
      <c r="DJ42" s="1"/>
      <c r="DK42" s="1"/>
      <c r="DL42" s="1"/>
      <c r="DM42" s="1"/>
      <c r="DN42" s="65"/>
      <c r="DO42" s="43"/>
      <c r="DP42" s="43"/>
      <c r="DQ42" s="43"/>
      <c r="DR42" s="43"/>
    </row>
    <row r="43" ht="15.0" customHeight="1">
      <c r="A43" s="1"/>
      <c r="B43" s="14"/>
      <c r="E43" s="15"/>
      <c r="F43" s="66"/>
      <c r="G43" s="67"/>
      <c r="H43" s="67"/>
      <c r="I43" s="68"/>
      <c r="J43" s="66"/>
      <c r="K43" s="67"/>
      <c r="L43" s="67"/>
      <c r="M43" s="68"/>
      <c r="N43" s="66"/>
      <c r="O43" s="67"/>
      <c r="P43" s="67"/>
      <c r="Q43" s="68"/>
      <c r="R43" s="66"/>
      <c r="S43" s="67"/>
      <c r="T43" s="67"/>
      <c r="U43" s="68"/>
      <c r="V43" s="66"/>
      <c r="W43" s="67"/>
      <c r="X43" s="67"/>
      <c r="Y43" s="68"/>
      <c r="Z43" s="66"/>
      <c r="AA43" s="67"/>
      <c r="AB43" s="67"/>
      <c r="AC43" s="68"/>
      <c r="AD43" s="66"/>
      <c r="AE43" s="67"/>
      <c r="AF43" s="67"/>
      <c r="AG43" s="68"/>
      <c r="AH43" s="66"/>
      <c r="AI43" s="67"/>
      <c r="AJ43" s="67"/>
      <c r="AK43" s="68"/>
      <c r="AL43" s="66"/>
      <c r="AM43" s="67"/>
      <c r="AN43" s="67"/>
      <c r="AO43" s="68"/>
      <c r="AP43" s="66"/>
      <c r="AQ43" s="67"/>
      <c r="AR43" s="67"/>
      <c r="AS43" s="68"/>
      <c r="AT43" s="66"/>
      <c r="AU43" s="67"/>
      <c r="AV43" s="67"/>
      <c r="AW43" s="68"/>
      <c r="AX43" s="66"/>
      <c r="AY43" s="67"/>
      <c r="AZ43" s="67"/>
      <c r="BA43" s="68"/>
      <c r="BB43" s="66"/>
      <c r="BC43" s="67"/>
      <c r="BD43" s="67"/>
      <c r="BE43" s="68"/>
      <c r="BF43" s="66"/>
      <c r="BG43" s="67"/>
      <c r="BH43" s="67"/>
      <c r="BI43" s="68"/>
      <c r="BJ43" s="66"/>
      <c r="BK43" s="67"/>
      <c r="BL43" s="67"/>
      <c r="BM43" s="68"/>
      <c r="BN43" s="66"/>
      <c r="BO43" s="67"/>
      <c r="BP43" s="67"/>
      <c r="BQ43" s="68"/>
      <c r="BR43" s="66"/>
      <c r="BS43" s="67"/>
      <c r="BT43" s="67"/>
      <c r="BU43" s="68"/>
      <c r="BV43" s="66"/>
      <c r="BW43" s="67"/>
      <c r="BX43" s="67"/>
      <c r="BY43" s="68"/>
      <c r="BZ43" s="66"/>
      <c r="CA43" s="67"/>
      <c r="CB43" s="67"/>
      <c r="CC43" s="68"/>
      <c r="CD43" s="66"/>
      <c r="CE43" s="67"/>
      <c r="CF43" s="67"/>
      <c r="CG43" s="68"/>
      <c r="CH43" s="66"/>
      <c r="CI43" s="67"/>
      <c r="CJ43" s="67"/>
      <c r="CK43" s="68"/>
      <c r="CL43" s="66"/>
      <c r="CM43" s="67"/>
      <c r="CN43" s="67"/>
      <c r="CO43" s="68"/>
      <c r="CP43" s="66"/>
      <c r="CQ43" s="67"/>
      <c r="CR43" s="67"/>
      <c r="CS43" s="68"/>
      <c r="CT43" s="66"/>
      <c r="CU43" s="67"/>
      <c r="CV43" s="67"/>
      <c r="CW43" s="68"/>
      <c r="CX43" s="66"/>
      <c r="CY43" s="67"/>
      <c r="CZ43" s="67"/>
      <c r="DA43" s="68"/>
      <c r="DB43" s="66"/>
      <c r="DC43" s="67"/>
      <c r="DD43" s="67"/>
      <c r="DE43" s="68"/>
      <c r="DF43" s="66"/>
      <c r="DG43" s="67"/>
      <c r="DH43" s="67"/>
      <c r="DI43" s="68"/>
      <c r="DJ43" s="1"/>
      <c r="DK43" s="1"/>
      <c r="DL43" s="1"/>
      <c r="DM43" s="1"/>
      <c r="DN43" s="13"/>
      <c r="DO43" s="1"/>
      <c r="DP43" s="1"/>
      <c r="DQ43" s="1"/>
      <c r="DR43" s="1"/>
    </row>
    <row r="44" ht="15.0" customHeight="1">
      <c r="A44" s="1"/>
      <c r="B44" s="14"/>
      <c r="E44" s="15"/>
      <c r="F44" s="69">
        <f t="array" ref="F44">XLOOKUP(F48,'食譜'!$B:$B,'食譜'!$H:$H,"")</f>
        <v>814</v>
      </c>
      <c r="G44" s="70"/>
      <c r="H44" s="70"/>
      <c r="I44" s="71"/>
      <c r="J44" s="69">
        <f t="array" ref="J44">XLOOKUP(J48,'食譜'!$B:$B,'食譜'!$H:$H,"")</f>
        <v>855</v>
      </c>
      <c r="K44" s="70"/>
      <c r="L44" s="70"/>
      <c r="M44" s="71"/>
      <c r="N44" s="69">
        <f t="array" ref="N44">XLOOKUP(N48,'食譜'!$B:$B,'食譜'!$H:$H,"")</f>
        <v>1079</v>
      </c>
      <c r="O44" s="70"/>
      <c r="P44" s="70"/>
      <c r="Q44" s="71"/>
      <c r="R44" s="69">
        <f t="array" ref="R44">XLOOKUP(R48,'食譜'!$B:$B,'食譜'!$H:$H,"")</f>
        <v>1748</v>
      </c>
      <c r="S44" s="70"/>
      <c r="T44" s="70"/>
      <c r="U44" s="71"/>
      <c r="V44" s="69">
        <f t="array" ref="V44">XLOOKUP(V48,'食譜'!$B:$B,'食譜'!$H:$H,"")</f>
        <v>1907</v>
      </c>
      <c r="W44" s="70"/>
      <c r="X44" s="70"/>
      <c r="Y44" s="71"/>
      <c r="Z44" s="69">
        <f t="array" ref="Z44">XLOOKUP(Z48,'食譜'!$B:$B,'食譜'!$H:$H,"")</f>
        <v>1913</v>
      </c>
      <c r="AA44" s="70"/>
      <c r="AB44" s="70"/>
      <c r="AC44" s="71"/>
      <c r="AD44" s="69">
        <f t="array" ref="AD44">XLOOKUP(AD48,'食譜'!$B:$B,'食譜'!$H:$H,"")</f>
        <v>1924</v>
      </c>
      <c r="AE44" s="70"/>
      <c r="AF44" s="70"/>
      <c r="AG44" s="71"/>
      <c r="AH44" s="69">
        <f t="array" ref="AH44">XLOOKUP(AH48,'食譜'!$B:$B,'食譜'!$H:$H,"")</f>
        <v>1924</v>
      </c>
      <c r="AI44" s="70"/>
      <c r="AJ44" s="70"/>
      <c r="AK44" s="71"/>
      <c r="AL44" s="69">
        <f t="array" ref="AL44">XLOOKUP(AL48,'食譜'!$B:$B,'食譜'!$H:$H,"")</f>
        <v>3015</v>
      </c>
      <c r="AM44" s="70"/>
      <c r="AN44" s="70"/>
      <c r="AO44" s="71"/>
      <c r="AP44" s="69">
        <f t="array" ref="AP44">XLOOKUP(AP48,'食譜'!$B:$B,'食譜'!$H:$H,"")</f>
        <v>3263</v>
      </c>
      <c r="AQ44" s="70"/>
      <c r="AR44" s="70"/>
      <c r="AS44" s="71"/>
      <c r="AT44" s="69">
        <f t="array" ref="AT44">XLOOKUP(AT48,'食譜'!$B:$B,'食譜'!$H:$H,"")</f>
        <v>3314</v>
      </c>
      <c r="AU44" s="70"/>
      <c r="AV44" s="70"/>
      <c r="AW44" s="71"/>
      <c r="AX44" s="69">
        <f t="array" ref="AX44">XLOOKUP(AX48,'食譜'!$B:$B,'食譜'!$H:$H,"")</f>
        <v>3378</v>
      </c>
      <c r="AY44" s="70"/>
      <c r="AZ44" s="70"/>
      <c r="BA44" s="71"/>
      <c r="BB44" s="69">
        <f t="array" ref="BB44">XLOOKUP(BB48,'食譜'!$B:$B,'食譜'!$H:$H,"")</f>
        <v>4734</v>
      </c>
      <c r="BC44" s="70"/>
      <c r="BD44" s="70"/>
      <c r="BE44" s="71"/>
      <c r="BF44" s="69">
        <f t="array" ref="BF44">XLOOKUP(BF48,'食譜'!$B:$B,'食譜'!$H:$H,"")</f>
        <v>4921</v>
      </c>
      <c r="BG44" s="70"/>
      <c r="BH44" s="70"/>
      <c r="BI44" s="71"/>
      <c r="BJ44" s="69">
        <f t="array" ref="BJ44">XLOOKUP(BJ48,'食譜'!$B:$B,'食譜'!$H:$H,"")</f>
        <v>5065</v>
      </c>
      <c r="BK44" s="70"/>
      <c r="BL44" s="70"/>
      <c r="BM44" s="71"/>
      <c r="BN44" s="69">
        <f t="array" ref="BN44">XLOOKUP(BN48,'食譜'!$B:$B,'食譜'!$H:$H,"")</f>
        <v>5547</v>
      </c>
      <c r="BO44" s="70"/>
      <c r="BP44" s="70"/>
      <c r="BQ44" s="71"/>
      <c r="BR44" s="69">
        <f t="array" ref="BR44">XLOOKUP(BR48,'食譜'!$B:$B,'食譜'!$H:$H,"")</f>
        <v>6048</v>
      </c>
      <c r="BS44" s="70"/>
      <c r="BT44" s="70"/>
      <c r="BU44" s="71"/>
      <c r="BV44" s="69">
        <f t="array" ref="BV44">XLOOKUP(BV48,'食譜'!$B:$B,'食譜'!$H:$H,"")</f>
        <v>6793</v>
      </c>
      <c r="BW44" s="70"/>
      <c r="BX44" s="70"/>
      <c r="BY44" s="71"/>
      <c r="BZ44" s="69">
        <f t="array" ref="BZ44">XLOOKUP(BZ48,'食譜'!$B:$B,'食譜'!$H:$H,"")</f>
        <v>7125</v>
      </c>
      <c r="CA44" s="70"/>
      <c r="CB44" s="70"/>
      <c r="CC44" s="71"/>
      <c r="CD44" s="69">
        <f t="array" ref="CD44">XLOOKUP(CD48,'食譜'!$B:$B,'食譜'!$H:$H,"")</f>
        <v>7594</v>
      </c>
      <c r="CE44" s="70"/>
      <c r="CF44" s="70"/>
      <c r="CG44" s="71"/>
      <c r="CH44" s="69">
        <f t="array" ref="CH44">XLOOKUP(CH48,'食譜'!$B:$B,'食譜'!$H:$H,"")</f>
        <v>8165</v>
      </c>
      <c r="CI44" s="70"/>
      <c r="CJ44" s="70"/>
      <c r="CK44" s="71"/>
      <c r="CL44" s="69">
        <f t="array" ref="CL44">XLOOKUP(CL48,'食譜'!$B:$B,'食譜'!$H:$H,"")</f>
        <v>10925</v>
      </c>
      <c r="CM44" s="70"/>
      <c r="CN44" s="70"/>
      <c r="CO44" s="71"/>
      <c r="CP44" s="69">
        <f t="array" ref="CP44">XLOOKUP(CP48,'食譜'!$B:$B,'食譜'!$H:$H,"")</f>
        <v>13834</v>
      </c>
      <c r="CQ44" s="70"/>
      <c r="CR44" s="70"/>
      <c r="CS44" s="71"/>
      <c r="CT44" s="69">
        <f t="array" ref="CT44">XLOOKUP(CT48,'食譜'!$B:$B,'食譜'!$H:$H,"")</f>
        <v>17494</v>
      </c>
      <c r="CU44" s="70"/>
      <c r="CV44" s="70"/>
      <c r="CW44" s="71"/>
      <c r="CX44" s="69">
        <f t="array" ref="CX44">XLOOKUP(CX48,'食譜'!$B:$B,'食譜'!$H:$H,"")</f>
        <v>20885</v>
      </c>
      <c r="CY44" s="70"/>
      <c r="CZ44" s="70"/>
      <c r="DA44" s="71"/>
      <c r="DB44" s="69">
        <f t="array" ref="DB44">XLOOKUP(DB48,'食譜'!$B:$B,'食譜'!$H:$H,"")</f>
        <v>24354</v>
      </c>
      <c r="DC44" s="70"/>
      <c r="DD44" s="70"/>
      <c r="DE44" s="71"/>
      <c r="DF44" s="69">
        <f t="array" ref="DF44">XLOOKUP(DF48,'食譜'!$B:$B,'食譜'!$H:$H,"")</f>
        <v>25484</v>
      </c>
      <c r="DG44" s="70"/>
      <c r="DH44" s="70"/>
      <c r="DI44" s="71"/>
      <c r="DJ44" s="1"/>
      <c r="DK44" s="1"/>
      <c r="DL44" s="1"/>
      <c r="DM44" s="1"/>
      <c r="DN44" s="13"/>
      <c r="DO44" s="1"/>
      <c r="DP44" s="1"/>
      <c r="DQ44" s="1"/>
      <c r="DR44" s="1"/>
    </row>
    <row r="45" ht="15.0" customHeight="1">
      <c r="A45" s="1"/>
      <c r="B45" s="14"/>
      <c r="E45" s="15"/>
      <c r="F45" s="72" t="str">
        <f t="array" ref="F45">XLOOKUP(F48,'食譜'!$B:$B,'食譜'!$A:$A,"")</f>
        <v/>
      </c>
      <c r="G45" s="73"/>
      <c r="H45" s="73"/>
      <c r="I45" s="74"/>
      <c r="J45" s="72" t="str">
        <f t="array" ref="J45">XLOOKUP(J48,'食譜'!$B:$B,'食譜'!$A:$A,"")</f>
        <v/>
      </c>
      <c r="K45" s="73"/>
      <c r="L45" s="73"/>
      <c r="M45" s="74"/>
      <c r="N45" s="72" t="str">
        <f t="array" ref="N45">XLOOKUP(N48,'食譜'!$B:$B,'食譜'!$A:$A,"")</f>
        <v/>
      </c>
      <c r="O45" s="73"/>
      <c r="P45" s="73"/>
      <c r="Q45" s="74"/>
      <c r="R45" s="72" t="str">
        <f t="array" ref="R45">XLOOKUP(R48,'食譜'!$B:$B,'食譜'!$A:$A,"")</f>
        <v/>
      </c>
      <c r="S45" s="73"/>
      <c r="T45" s="73"/>
      <c r="U45" s="74"/>
      <c r="V45" s="72" t="str">
        <f t="array" ref="V45">XLOOKUP(V48,'食譜'!$B:$B,'食譜'!$A:$A,"")</f>
        <v/>
      </c>
      <c r="W45" s="73"/>
      <c r="X45" s="73"/>
      <c r="Y45" s="74"/>
      <c r="Z45" s="72" t="str">
        <f t="array" ref="Z45">XLOOKUP(Z48,'食譜'!$B:$B,'食譜'!$A:$A,"")</f>
        <v/>
      </c>
      <c r="AA45" s="73"/>
      <c r="AB45" s="73"/>
      <c r="AC45" s="74"/>
      <c r="AD45" s="72" t="str">
        <f t="array" ref="AD45">XLOOKUP(AD48,'食譜'!$B:$B,'食譜'!$A:$A,"")</f>
        <v/>
      </c>
      <c r="AE45" s="73"/>
      <c r="AF45" s="73"/>
      <c r="AG45" s="74"/>
      <c r="AH45" s="72" t="str">
        <f t="array" ref="AH45">XLOOKUP(AH48,'食譜'!$B:$B,'食譜'!$A:$A,"")</f>
        <v/>
      </c>
      <c r="AI45" s="73"/>
      <c r="AJ45" s="73"/>
      <c r="AK45" s="74"/>
      <c r="AL45" s="72" t="str">
        <f t="array" ref="AL45">XLOOKUP(AL48,'食譜'!$B:$B,'食譜'!$A:$A,"")</f>
        <v/>
      </c>
      <c r="AM45" s="73"/>
      <c r="AN45" s="73"/>
      <c r="AO45" s="74"/>
      <c r="AP45" s="72" t="str">
        <f t="array" ref="AP45">XLOOKUP(AP48,'食譜'!$B:$B,'食譜'!$A:$A,"")</f>
        <v/>
      </c>
      <c r="AQ45" s="73"/>
      <c r="AR45" s="73"/>
      <c r="AS45" s="74"/>
      <c r="AT45" s="72" t="str">
        <f t="array" ref="AT45">XLOOKUP(AT48,'食譜'!$B:$B,'食譜'!$A:$A,"")</f>
        <v/>
      </c>
      <c r="AU45" s="73"/>
      <c r="AV45" s="73"/>
      <c r="AW45" s="74"/>
      <c r="AX45" s="72" t="str">
        <f t="array" ref="AX45">XLOOKUP(AX48,'食譜'!$B:$B,'食譜'!$A:$A,"")</f>
        <v/>
      </c>
      <c r="AY45" s="73"/>
      <c r="AZ45" s="73"/>
      <c r="BA45" s="74"/>
      <c r="BB45" s="72" t="str">
        <f t="array" ref="BB45">XLOOKUP(BB48,'食譜'!$B:$B,'食譜'!$A:$A,"")</f>
        <v/>
      </c>
      <c r="BC45" s="73"/>
      <c r="BD45" s="73"/>
      <c r="BE45" s="74"/>
      <c r="BF45" s="72" t="str">
        <f t="array" ref="BF45">XLOOKUP(BF48,'食譜'!$B:$B,'食譜'!$A:$A,"")</f>
        <v/>
      </c>
      <c r="BG45" s="73"/>
      <c r="BH45" s="73"/>
      <c r="BI45" s="74"/>
      <c r="BJ45" s="72" t="str">
        <f t="array" ref="BJ45">XLOOKUP(BJ48,'食譜'!$B:$B,'食譜'!$A:$A,"")</f>
        <v/>
      </c>
      <c r="BK45" s="73"/>
      <c r="BL45" s="73"/>
      <c r="BM45" s="74"/>
      <c r="BN45" s="72" t="str">
        <f t="array" ref="BN45">XLOOKUP(BN48,'食譜'!$B:$B,'食譜'!$A:$A,"")</f>
        <v/>
      </c>
      <c r="BO45" s="73"/>
      <c r="BP45" s="73"/>
      <c r="BQ45" s="74"/>
      <c r="BR45" s="72" t="str">
        <f t="array" ref="BR45">XLOOKUP(BR48,'食譜'!$B:$B,'食譜'!$A:$A,"")</f>
        <v/>
      </c>
      <c r="BS45" s="73"/>
      <c r="BT45" s="73"/>
      <c r="BU45" s="74"/>
      <c r="BV45" s="72" t="str">
        <f t="array" ref="BV45">XLOOKUP(BV48,'食譜'!$B:$B,'食譜'!$A:$A,"")</f>
        <v/>
      </c>
      <c r="BW45" s="73"/>
      <c r="BX45" s="73"/>
      <c r="BY45" s="74"/>
      <c r="BZ45" s="72" t="str">
        <f t="array" ref="BZ45">XLOOKUP(BZ48,'食譜'!$B:$B,'食譜'!$A:$A,"")</f>
        <v/>
      </c>
      <c r="CA45" s="73"/>
      <c r="CB45" s="73"/>
      <c r="CC45" s="74"/>
      <c r="CD45" s="72" t="str">
        <f t="array" ref="CD45">XLOOKUP(CD48,'食譜'!$B:$B,'食譜'!$A:$A,"")</f>
        <v/>
      </c>
      <c r="CE45" s="73"/>
      <c r="CF45" s="73"/>
      <c r="CG45" s="74"/>
      <c r="CH45" s="72" t="str">
        <f t="array" ref="CH45">XLOOKUP(CH48,'食譜'!$B:$B,'食譜'!$A:$A,"")</f>
        <v/>
      </c>
      <c r="CI45" s="73"/>
      <c r="CJ45" s="73"/>
      <c r="CK45" s="74"/>
      <c r="CL45" s="72" t="str">
        <f t="array" ref="CL45">XLOOKUP(CL48,'食譜'!$B:$B,'食譜'!$A:$A,"")</f>
        <v/>
      </c>
      <c r="CM45" s="73"/>
      <c r="CN45" s="73"/>
      <c r="CO45" s="74"/>
      <c r="CP45" s="72" t="str">
        <f t="array" ref="CP45">XLOOKUP(CP48,'食譜'!$B:$B,'食譜'!$A:$A,"")</f>
        <v/>
      </c>
      <c r="CQ45" s="73"/>
      <c r="CR45" s="73"/>
      <c r="CS45" s="74"/>
      <c r="CT45" s="72" t="str">
        <f t="array" ref="CT45">XLOOKUP(CT48,'食譜'!$B:$B,'食譜'!$A:$A,"")</f>
        <v/>
      </c>
      <c r="CU45" s="73"/>
      <c r="CV45" s="73"/>
      <c r="CW45" s="74"/>
      <c r="CX45" s="72" t="str">
        <f t="array" ref="CX45">XLOOKUP(CX48,'食譜'!$B:$B,'食譜'!$A:$A,"")</f>
        <v/>
      </c>
      <c r="CY45" s="73"/>
      <c r="CZ45" s="73"/>
      <c r="DA45" s="74"/>
      <c r="DB45" s="72" t="str">
        <f t="array" ref="DB45">XLOOKUP(DB48,'食譜'!$B:$B,'食譜'!$A:$A,"")</f>
        <v/>
      </c>
      <c r="DC45" s="73"/>
      <c r="DD45" s="73"/>
      <c r="DE45" s="74"/>
      <c r="DF45" s="72" t="str">
        <f t="array" ref="DF45">XLOOKUP(DF48,'食譜'!$B:$B,'食譜'!$A:$A,"")</f>
        <v/>
      </c>
      <c r="DG45" s="73"/>
      <c r="DH45" s="73"/>
      <c r="DI45" s="74"/>
      <c r="DJ45" s="1"/>
      <c r="DK45" s="1"/>
      <c r="DL45" s="1"/>
      <c r="DM45" s="1"/>
      <c r="DN45" s="13"/>
      <c r="DO45" s="1"/>
      <c r="DP45" s="1"/>
      <c r="DQ45" s="1"/>
      <c r="DR45" s="1"/>
    </row>
    <row r="46" ht="15.0" customHeight="1">
      <c r="A46" s="1"/>
      <c r="B46" s="14"/>
      <c r="E46" s="15"/>
      <c r="F46" s="14"/>
      <c r="I46" s="15"/>
      <c r="J46" s="14"/>
      <c r="M46" s="15"/>
      <c r="N46" s="14"/>
      <c r="Q46" s="15"/>
      <c r="R46" s="14"/>
      <c r="U46" s="15"/>
      <c r="V46" s="14"/>
      <c r="Y46" s="15"/>
      <c r="Z46" s="14"/>
      <c r="AC46" s="15"/>
      <c r="AD46" s="14"/>
      <c r="AG46" s="15"/>
      <c r="AH46" s="14"/>
      <c r="AK46" s="15"/>
      <c r="AL46" s="14"/>
      <c r="AO46" s="15"/>
      <c r="AP46" s="14"/>
      <c r="AS46" s="15"/>
      <c r="AT46" s="14"/>
      <c r="AW46" s="15"/>
      <c r="AX46" s="14"/>
      <c r="BA46" s="15"/>
      <c r="BB46" s="14"/>
      <c r="BE46" s="15"/>
      <c r="BF46" s="14"/>
      <c r="BI46" s="15"/>
      <c r="BJ46" s="14"/>
      <c r="BM46" s="15"/>
      <c r="BN46" s="14"/>
      <c r="BQ46" s="15"/>
      <c r="BR46" s="14"/>
      <c r="BU46" s="15"/>
      <c r="BV46" s="14"/>
      <c r="BY46" s="15"/>
      <c r="BZ46" s="14"/>
      <c r="CC46" s="15"/>
      <c r="CD46" s="14"/>
      <c r="CG46" s="15"/>
      <c r="CH46" s="14"/>
      <c r="CK46" s="15"/>
      <c r="CL46" s="14"/>
      <c r="CO46" s="15"/>
      <c r="CP46" s="14"/>
      <c r="CS46" s="15"/>
      <c r="CT46" s="14"/>
      <c r="CW46" s="15"/>
      <c r="CX46" s="14"/>
      <c r="DA46" s="15"/>
      <c r="DB46" s="14"/>
      <c r="DE46" s="15"/>
      <c r="DF46" s="14"/>
      <c r="DI46" s="15"/>
      <c r="DJ46" s="1"/>
      <c r="DK46" s="1"/>
      <c r="DL46" s="1"/>
      <c r="DM46" s="1"/>
      <c r="DN46" s="13"/>
      <c r="DO46" s="1"/>
      <c r="DP46" s="1"/>
      <c r="DQ46" s="1"/>
      <c r="DR46" s="1"/>
    </row>
    <row r="47" ht="15.0" customHeight="1">
      <c r="A47" s="1"/>
      <c r="B47" s="14"/>
      <c r="E47" s="15"/>
      <c r="F47" s="66"/>
      <c r="G47" s="67"/>
      <c r="H47" s="67"/>
      <c r="I47" s="68"/>
      <c r="J47" s="66"/>
      <c r="K47" s="67"/>
      <c r="L47" s="67"/>
      <c r="M47" s="68"/>
      <c r="N47" s="66"/>
      <c r="O47" s="67"/>
      <c r="P47" s="67"/>
      <c r="Q47" s="68"/>
      <c r="R47" s="66"/>
      <c r="S47" s="67"/>
      <c r="T47" s="67"/>
      <c r="U47" s="68"/>
      <c r="V47" s="66"/>
      <c r="W47" s="67"/>
      <c r="X47" s="67"/>
      <c r="Y47" s="68"/>
      <c r="Z47" s="66"/>
      <c r="AA47" s="67"/>
      <c r="AB47" s="67"/>
      <c r="AC47" s="68"/>
      <c r="AD47" s="66"/>
      <c r="AE47" s="67"/>
      <c r="AF47" s="67"/>
      <c r="AG47" s="68"/>
      <c r="AH47" s="66"/>
      <c r="AI47" s="67"/>
      <c r="AJ47" s="67"/>
      <c r="AK47" s="68"/>
      <c r="AL47" s="66"/>
      <c r="AM47" s="67"/>
      <c r="AN47" s="67"/>
      <c r="AO47" s="68"/>
      <c r="AP47" s="66"/>
      <c r="AQ47" s="67"/>
      <c r="AR47" s="67"/>
      <c r="AS47" s="68"/>
      <c r="AT47" s="66"/>
      <c r="AU47" s="67"/>
      <c r="AV47" s="67"/>
      <c r="AW47" s="68"/>
      <c r="AX47" s="66"/>
      <c r="AY47" s="67"/>
      <c r="AZ47" s="67"/>
      <c r="BA47" s="68"/>
      <c r="BB47" s="66"/>
      <c r="BC47" s="67"/>
      <c r="BD47" s="67"/>
      <c r="BE47" s="68"/>
      <c r="BF47" s="66"/>
      <c r="BG47" s="67"/>
      <c r="BH47" s="67"/>
      <c r="BI47" s="68"/>
      <c r="BJ47" s="66"/>
      <c r="BK47" s="67"/>
      <c r="BL47" s="67"/>
      <c r="BM47" s="68"/>
      <c r="BN47" s="66"/>
      <c r="BO47" s="67"/>
      <c r="BP47" s="67"/>
      <c r="BQ47" s="68"/>
      <c r="BR47" s="66"/>
      <c r="BS47" s="67"/>
      <c r="BT47" s="67"/>
      <c r="BU47" s="68"/>
      <c r="BV47" s="66"/>
      <c r="BW47" s="67"/>
      <c r="BX47" s="67"/>
      <c r="BY47" s="68"/>
      <c r="BZ47" s="66"/>
      <c r="CA47" s="67"/>
      <c r="CB47" s="67"/>
      <c r="CC47" s="68"/>
      <c r="CD47" s="66"/>
      <c r="CE47" s="67"/>
      <c r="CF47" s="67"/>
      <c r="CG47" s="68"/>
      <c r="CH47" s="66"/>
      <c r="CI47" s="67"/>
      <c r="CJ47" s="67"/>
      <c r="CK47" s="68"/>
      <c r="CL47" s="66"/>
      <c r="CM47" s="67"/>
      <c r="CN47" s="67"/>
      <c r="CO47" s="68"/>
      <c r="CP47" s="66"/>
      <c r="CQ47" s="67"/>
      <c r="CR47" s="67"/>
      <c r="CS47" s="68"/>
      <c r="CT47" s="66"/>
      <c r="CU47" s="67"/>
      <c r="CV47" s="67"/>
      <c r="CW47" s="68"/>
      <c r="CX47" s="66"/>
      <c r="CY47" s="67"/>
      <c r="CZ47" s="67"/>
      <c r="DA47" s="68"/>
      <c r="DB47" s="66"/>
      <c r="DC47" s="67"/>
      <c r="DD47" s="67"/>
      <c r="DE47" s="68"/>
      <c r="DF47" s="66"/>
      <c r="DG47" s="67"/>
      <c r="DH47" s="67"/>
      <c r="DI47" s="68"/>
      <c r="DJ47" s="1"/>
      <c r="DK47" s="1"/>
      <c r="DL47" s="1"/>
      <c r="DM47" s="1"/>
      <c r="DN47" s="13"/>
      <c r="DO47" s="1"/>
      <c r="DP47" s="1"/>
      <c r="DQ47" s="1"/>
      <c r="DR47" s="1"/>
    </row>
    <row r="48" ht="15.0" customHeight="1">
      <c r="A48" s="1"/>
      <c r="B48" s="14"/>
      <c r="E48" s="15"/>
      <c r="F48" s="75" t="str">
        <f>IFERROR(__xludf.DUMMYFUNCTION("SPLIT(TEXTJOIN("""",TRUE,TOROW(FILTER('食譜'!$B:$B&amp;""----"", '食譜'!$E:$E=""點心、飲料"",'食譜'!$B:$B&lt;&gt;""拌拌果汁"")),"""","""",""""),""-"",TRUE,FALSE)"),"哞哞熱鮮奶")</f>
        <v>哞哞熱鮮奶</v>
      </c>
      <c r="G48" s="73"/>
      <c r="H48" s="73"/>
      <c r="I48" s="74"/>
      <c r="J48" s="75" t="str">
        <f>IFERROR(__xludf.DUMMYFUNCTION("""COMPUTED_VALUE"""),"特選蘋果汁")</f>
        <v>特選蘋果汁</v>
      </c>
      <c r="K48" s="73"/>
      <c r="L48" s="73"/>
      <c r="M48" s="74"/>
      <c r="N48" s="75" t="str">
        <f>IFERROR(__xludf.DUMMYFUNCTION("""COMPUTED_VALUE"""),"手製勁爽汽水")</f>
        <v>手製勁爽汽水</v>
      </c>
      <c r="O48" s="73"/>
      <c r="P48" s="73"/>
      <c r="Q48" s="74"/>
      <c r="R48" s="75" t="str">
        <f>IFERROR(__xludf.DUMMYFUNCTION("""COMPUTED_VALUE"""),"祈願蘋果派")</f>
        <v>祈願蘋果派</v>
      </c>
      <c r="S48" s="73"/>
      <c r="T48" s="73"/>
      <c r="U48" s="74"/>
      <c r="V48" s="75" t="str">
        <f>IFERROR(__xludf.DUMMYFUNCTION("""COMPUTED_VALUE"""),"熟成甜薯燒")</f>
        <v>熟成甜薯燒</v>
      </c>
      <c r="W48" s="73"/>
      <c r="X48" s="73"/>
      <c r="Y48" s="74"/>
      <c r="Z48" s="75" t="str">
        <f>IFERROR(__xludf.DUMMYFUNCTION("""COMPUTED_VALUE"""),"火花薑茶")</f>
        <v>火花薑茶</v>
      </c>
      <c r="AA48" s="73"/>
      <c r="AB48" s="73"/>
      <c r="AC48" s="74"/>
      <c r="AD48" s="75" t="str">
        <f>IFERROR(__xludf.DUMMYFUNCTION("""COMPUTED_VALUE"""),"輕裝豆香蛋糕")</f>
        <v>輕裝豆香蛋糕</v>
      </c>
      <c r="AE48" s="73"/>
      <c r="AF48" s="73"/>
      <c r="AG48" s="74"/>
      <c r="AH48" s="75" t="str">
        <f>IFERROR(__xludf.DUMMYFUNCTION("""COMPUTED_VALUE"""),"我行我素蔬菜汁")</f>
        <v>我行我素蔬菜汁</v>
      </c>
      <c r="AI48" s="73"/>
      <c r="AJ48" s="73"/>
      <c r="AK48" s="74"/>
      <c r="AL48" s="75" t="str">
        <f>IFERROR(__xludf.DUMMYFUNCTION("""COMPUTED_VALUE"""),"大馬拉薩達")</f>
        <v>大馬拉薩達</v>
      </c>
      <c r="AM48" s="73"/>
      <c r="AN48" s="73"/>
      <c r="AO48" s="74"/>
      <c r="AP48" s="75" t="str">
        <f>IFERROR(__xludf.DUMMYFUNCTION("""COMPUTED_VALUE"""),"活力蛋白飲")</f>
        <v>活力蛋白飲</v>
      </c>
      <c r="AQ48" s="73"/>
      <c r="AR48" s="73"/>
      <c r="AS48" s="74"/>
      <c r="AT48" s="75" t="str">
        <f>IFERROR(__xludf.DUMMYFUNCTION("""COMPUTED_VALUE"""),"花瓣舞巧克力塔")</f>
        <v>花瓣舞巧克力塔</v>
      </c>
      <c r="AU48" s="73"/>
      <c r="AV48" s="73"/>
      <c r="AW48" s="74"/>
      <c r="AX48" s="75" t="str">
        <f>IFERROR(__xludf.DUMMYFUNCTION("""COMPUTED_VALUE"""),"甜甜香氣巧克力蛋糕")</f>
        <v>甜甜香氣巧克力蛋糕</v>
      </c>
      <c r="AY48" s="73"/>
      <c r="AZ48" s="73"/>
      <c r="BA48" s="74"/>
      <c r="BB48" s="75" t="str">
        <f>IFERROR(__xludf.DUMMYFUNCTION("""COMPUTED_VALUE"""),"惡魔之吻水果牛奶")</f>
        <v>惡魔之吻水果牛奶</v>
      </c>
      <c r="BC48" s="73"/>
      <c r="BD48" s="73"/>
      <c r="BE48" s="74"/>
      <c r="BF48" s="75" t="str">
        <f>IFERROR(__xludf.DUMMYFUNCTION("""COMPUTED_VALUE"""),"不屈薑餅")</f>
        <v>不屈薑餅</v>
      </c>
      <c r="BG48" s="73"/>
      <c r="BH48" s="73"/>
      <c r="BI48" s="74"/>
      <c r="BJ48" s="75" t="str">
        <f>IFERROR(__xludf.DUMMYFUNCTION("""COMPUTED_VALUE"""),"橙夢的排毒茶")</f>
        <v>橙夢的排毒茶</v>
      </c>
      <c r="BK48" s="73"/>
      <c r="BL48" s="73"/>
      <c r="BM48" s="74"/>
      <c r="BN48" s="75" t="str">
        <f>IFERROR(__xludf.DUMMYFUNCTION("""COMPUTED_VALUE"""),"大力士豆香甜甜圈")</f>
        <v>大力士豆香甜甜圈</v>
      </c>
      <c r="BO48" s="73"/>
      <c r="BP48" s="73"/>
      <c r="BQ48" s="74"/>
      <c r="BR48" s="75" t="str">
        <f>IFERROR(__xludf.DUMMYFUNCTION("""COMPUTED_VALUE"""),"大爆炸爆米花")</f>
        <v>大爆炸爆米花</v>
      </c>
      <c r="BS48" s="73"/>
      <c r="BT48" s="73"/>
      <c r="BU48" s="74"/>
      <c r="BV48" s="75" t="str">
        <f>IFERROR(__xludf.DUMMYFUNCTION("""COMPUTED_VALUE"""),"早起咖啡凍")</f>
        <v>早起咖啡凍</v>
      </c>
      <c r="BW48" s="73"/>
      <c r="BX48" s="73"/>
      <c r="BY48" s="74"/>
      <c r="BZ48" s="75" t="str">
        <f>IFERROR(__xludf.DUMMYFUNCTION("""COMPUTED_VALUE"""),"破格玉米香提拉米蘇")</f>
        <v>破格玉米香提拉米蘇</v>
      </c>
      <c r="CA48" s="73"/>
      <c r="CB48" s="73"/>
      <c r="CC48" s="74"/>
      <c r="CD48" s="75" t="str">
        <f>IFERROR(__xludf.DUMMYFUNCTION("""COMPUTED_VALUE"""),"胖丁百匯布丁")</f>
        <v>胖丁百匯布丁</v>
      </c>
      <c r="CE48" s="73"/>
      <c r="CF48" s="73"/>
      <c r="CG48" s="74"/>
      <c r="CH48" s="75" t="str">
        <f>IFERROR(__xludf.DUMMYFUNCTION("""COMPUTED_VALUE"""),"青草攪拌器冰沙")</f>
        <v>青草攪拌器冰沙</v>
      </c>
      <c r="CI48" s="73"/>
      <c r="CJ48" s="73"/>
      <c r="CK48" s="74"/>
      <c r="CL48" s="75" t="str">
        <f>IFERROR(__xludf.DUMMYFUNCTION("""COMPUTED_VALUE"""),"茶會玉米司康")</f>
        <v>茶會玉米司康</v>
      </c>
      <c r="CM48" s="73"/>
      <c r="CN48" s="73"/>
      <c r="CO48" s="74"/>
      <c r="CP48" s="75" t="str">
        <f>IFERROR(__xludf.DUMMYFUNCTION("""COMPUTED_VALUE"""),"花之禮馬卡龍")</f>
        <v>花之禮馬卡龍</v>
      </c>
      <c r="CQ48" s="73"/>
      <c r="CR48" s="73"/>
      <c r="CS48" s="74"/>
      <c r="CT48" s="75" t="str">
        <f>IFERROR(__xludf.DUMMYFUNCTION("""COMPUTED_VALUE"""),"電光香料可樂")</f>
        <v>電光香料可樂</v>
      </c>
      <c r="CU48" s="73"/>
      <c r="CV48" s="73"/>
      <c r="CW48" s="74"/>
      <c r="CX48" s="75" t="str">
        <f>IFERROR(__xludf.DUMMYFUNCTION("""COMPUTED_VALUE"""),"土王閃電泡芙")</f>
        <v>土王閃電泡芙</v>
      </c>
      <c r="CY48" s="73"/>
      <c r="CZ48" s="73"/>
      <c r="DA48" s="74"/>
      <c r="DB48" s="75" t="str">
        <f>IFERROR(__xludf.DUMMYFUNCTION("""COMPUTED_VALUE"""),"心跳加速鬼面鬆餅")</f>
        <v>心跳加速鬼面鬆餅</v>
      </c>
      <c r="DC48" s="73"/>
      <c r="DD48" s="73"/>
      <c r="DE48" s="74"/>
      <c r="DF48" s="75" t="str">
        <f>IFERROR(__xludf.DUMMYFUNCTION("""COMPUTED_VALUE"""),"採蜜巧克力格子鬆餅")</f>
        <v>採蜜巧克力格子鬆餅</v>
      </c>
      <c r="DG48" s="73"/>
      <c r="DH48" s="73"/>
      <c r="DI48" s="74"/>
      <c r="DJ48" s="1"/>
      <c r="DK48" s="1"/>
      <c r="DL48" s="1"/>
      <c r="DM48" s="1"/>
      <c r="DN48" s="13"/>
      <c r="DO48" s="1"/>
      <c r="DP48" s="1"/>
      <c r="DQ48" s="1"/>
      <c r="DR48" s="1"/>
    </row>
    <row r="49" ht="15.0" customHeight="1">
      <c r="A49" s="1"/>
      <c r="B49" s="14"/>
      <c r="E49" s="15"/>
      <c r="F49" s="66"/>
      <c r="G49" s="67"/>
      <c r="H49" s="67"/>
      <c r="I49" s="68"/>
      <c r="J49" s="66"/>
      <c r="K49" s="67"/>
      <c r="L49" s="67"/>
      <c r="M49" s="68"/>
      <c r="N49" s="66"/>
      <c r="O49" s="67"/>
      <c r="P49" s="67"/>
      <c r="Q49" s="68"/>
      <c r="R49" s="66"/>
      <c r="S49" s="67"/>
      <c r="T49" s="67"/>
      <c r="U49" s="68"/>
      <c r="V49" s="66"/>
      <c r="W49" s="67"/>
      <c r="X49" s="67"/>
      <c r="Y49" s="68"/>
      <c r="Z49" s="66"/>
      <c r="AA49" s="67"/>
      <c r="AB49" s="67"/>
      <c r="AC49" s="68"/>
      <c r="AD49" s="66"/>
      <c r="AE49" s="67"/>
      <c r="AF49" s="67"/>
      <c r="AG49" s="68"/>
      <c r="AH49" s="66"/>
      <c r="AI49" s="67"/>
      <c r="AJ49" s="67"/>
      <c r="AK49" s="68"/>
      <c r="AL49" s="66"/>
      <c r="AM49" s="67"/>
      <c r="AN49" s="67"/>
      <c r="AO49" s="68"/>
      <c r="AP49" s="66"/>
      <c r="AQ49" s="67"/>
      <c r="AR49" s="67"/>
      <c r="AS49" s="68"/>
      <c r="AT49" s="66"/>
      <c r="AU49" s="67"/>
      <c r="AV49" s="67"/>
      <c r="AW49" s="68"/>
      <c r="AX49" s="66"/>
      <c r="AY49" s="67"/>
      <c r="AZ49" s="67"/>
      <c r="BA49" s="68"/>
      <c r="BB49" s="66"/>
      <c r="BC49" s="67"/>
      <c r="BD49" s="67"/>
      <c r="BE49" s="68"/>
      <c r="BF49" s="66"/>
      <c r="BG49" s="67"/>
      <c r="BH49" s="67"/>
      <c r="BI49" s="68"/>
      <c r="BJ49" s="66"/>
      <c r="BK49" s="67"/>
      <c r="BL49" s="67"/>
      <c r="BM49" s="68"/>
      <c r="BN49" s="66"/>
      <c r="BO49" s="67"/>
      <c r="BP49" s="67"/>
      <c r="BQ49" s="68"/>
      <c r="BR49" s="66"/>
      <c r="BS49" s="67"/>
      <c r="BT49" s="67"/>
      <c r="BU49" s="68"/>
      <c r="BV49" s="66"/>
      <c r="BW49" s="67"/>
      <c r="BX49" s="67"/>
      <c r="BY49" s="68"/>
      <c r="BZ49" s="66"/>
      <c r="CA49" s="67"/>
      <c r="CB49" s="67"/>
      <c r="CC49" s="68"/>
      <c r="CD49" s="66"/>
      <c r="CE49" s="67"/>
      <c r="CF49" s="67"/>
      <c r="CG49" s="68"/>
      <c r="CH49" s="66"/>
      <c r="CI49" s="67"/>
      <c r="CJ49" s="67"/>
      <c r="CK49" s="68"/>
      <c r="CL49" s="66"/>
      <c r="CM49" s="67"/>
      <c r="CN49" s="67"/>
      <c r="CO49" s="68"/>
      <c r="CP49" s="66"/>
      <c r="CQ49" s="67"/>
      <c r="CR49" s="67"/>
      <c r="CS49" s="68"/>
      <c r="CT49" s="66"/>
      <c r="CU49" s="67"/>
      <c r="CV49" s="67"/>
      <c r="CW49" s="68"/>
      <c r="CX49" s="66"/>
      <c r="CY49" s="67"/>
      <c r="CZ49" s="67"/>
      <c r="DA49" s="68"/>
      <c r="DB49" s="66"/>
      <c r="DC49" s="67"/>
      <c r="DD49" s="67"/>
      <c r="DE49" s="68"/>
      <c r="DF49" s="66"/>
      <c r="DG49" s="67"/>
      <c r="DH49" s="67"/>
      <c r="DI49" s="68"/>
      <c r="DJ49" s="1"/>
      <c r="DK49" s="1"/>
      <c r="DL49" s="1"/>
      <c r="DM49" s="1"/>
      <c r="DN49" s="13"/>
      <c r="DO49" s="1"/>
      <c r="DP49" s="1"/>
      <c r="DQ49" s="1"/>
      <c r="DR49" s="1"/>
    </row>
    <row r="50" ht="15.0" customHeight="1">
      <c r="A50" s="1"/>
      <c r="B50" s="14"/>
      <c r="E50" s="15"/>
      <c r="F50" s="76" t="str">
        <f t="array" ref="F50">XLOOKUP(XLOOKUP(F48,'食譜'!$B:$B,'食譜'!$J:$J,""),'食材'!$B:$B,'食材'!$D:$D,"")</f>
        <v/>
      </c>
      <c r="G50" s="77"/>
      <c r="H50" s="78">
        <f t="array" ref="H50">XLOOKUP(F48,'食譜'!$B:$B,'食譜'!$K:$K,"")</f>
        <v>7</v>
      </c>
      <c r="I50" s="74"/>
      <c r="J50" s="76" t="str">
        <f t="array" ref="J50">XLOOKUP(XLOOKUP(J48,'食譜'!$B:$B,'食譜'!$J:$J,""),'食材'!$B:$B,'食材'!$D:$D,"")</f>
        <v/>
      </c>
      <c r="K50" s="77"/>
      <c r="L50" s="78">
        <f t="array" ref="L50">XLOOKUP(J48,'食譜'!$B:$B,'食譜'!$K:$K,"")</f>
        <v>8</v>
      </c>
      <c r="M50" s="74"/>
      <c r="N50" s="76" t="str">
        <f t="array" ref="N50">XLOOKUP(XLOOKUP(N48,'食譜'!$B:$B,'食譜'!$J:$J,""),'食材'!$B:$B,'食材'!$D:$D,"")</f>
        <v/>
      </c>
      <c r="O50" s="77"/>
      <c r="P50" s="78">
        <f t="array" ref="P50">XLOOKUP(N48,'食譜'!$B:$B,'食譜'!$K:$K,"")</f>
        <v>9</v>
      </c>
      <c r="Q50" s="74"/>
      <c r="R50" s="76" t="str">
        <f t="array" ref="R50">XLOOKUP(XLOOKUP(R48,'食譜'!$B:$B,'食譜'!$J:$J,""),'食材'!$B:$B,'食材'!$D:$D,"")</f>
        <v/>
      </c>
      <c r="S50" s="77"/>
      <c r="T50" s="78">
        <f t="array" ref="T50">XLOOKUP(R48,'食譜'!$B:$B,'食譜'!$K:$K,"")</f>
        <v>12</v>
      </c>
      <c r="U50" s="74"/>
      <c r="V50" s="76" t="str">
        <f t="array" ref="V50">XLOOKUP(XLOOKUP(V48,'食譜'!$B:$B,'食譜'!$J:$J,""),'食材'!$B:$B,'食材'!$D:$D,"")</f>
        <v/>
      </c>
      <c r="W50" s="77"/>
      <c r="X50" s="78">
        <f t="array" ref="X50">XLOOKUP(V48,'食譜'!$B:$B,'食譜'!$K:$K,"")</f>
        <v>9</v>
      </c>
      <c r="Y50" s="74"/>
      <c r="Z50" s="76" t="str">
        <f t="array" ref="Z50">XLOOKUP(XLOOKUP(Z48,'食譜'!$B:$B,'食譜'!$J:$J,""),'食材'!$B:$B,'食材'!$D:$D,"")</f>
        <v/>
      </c>
      <c r="AA50" s="77"/>
      <c r="AB50" s="78">
        <f t="array" ref="AB50">XLOOKUP(Z48,'食譜'!$B:$B,'食譜'!$K:$K,"")</f>
        <v>9</v>
      </c>
      <c r="AC50" s="74"/>
      <c r="AD50" s="76" t="str">
        <f t="array" ref="AD50">XLOOKUP(XLOOKUP(AD48,'食譜'!$B:$B,'食譜'!$J:$J,""),'食材'!$B:$B,'食材'!$D:$D,"")</f>
        <v/>
      </c>
      <c r="AE50" s="77"/>
      <c r="AF50" s="78">
        <f t="array" ref="AF50">XLOOKUP(AD48,'食譜'!$B:$B,'食譜'!$K:$K,"")</f>
        <v>8</v>
      </c>
      <c r="AG50" s="74"/>
      <c r="AH50" s="76" t="str">
        <f t="array" ref="AH50">XLOOKUP(XLOOKUP(AH48,'食譜'!$B:$B,'食譜'!$J:$J,""),'食材'!$B:$B,'食材'!$D:$D,"")</f>
        <v/>
      </c>
      <c r="AI50" s="77"/>
      <c r="AJ50" s="78">
        <f t="array" ref="AJ50">XLOOKUP(AH48,'食譜'!$B:$B,'食譜'!$K:$K,"")</f>
        <v>9</v>
      </c>
      <c r="AK50" s="74"/>
      <c r="AL50" s="76" t="str">
        <f t="array" ref="AL50">XLOOKUP(XLOOKUP(AL48,'食譜'!$B:$B,'食譜'!$J:$J,""),'食材'!$B:$B,'食材'!$D:$D,"")</f>
        <v/>
      </c>
      <c r="AM50" s="77"/>
      <c r="AN50" s="78">
        <f t="array" ref="AN50">XLOOKUP(AL48,'食譜'!$B:$B,'食譜'!$K:$K,"")</f>
        <v>10</v>
      </c>
      <c r="AO50" s="74"/>
      <c r="AP50" s="76" t="str">
        <f t="array" ref="AP50">XLOOKUP(XLOOKUP(AP48,'食譜'!$B:$B,'食譜'!$J:$J,""),'食材'!$B:$B,'食材'!$D:$D,"")</f>
        <v/>
      </c>
      <c r="AQ50" s="77"/>
      <c r="AR50" s="78">
        <f t="array" ref="AR50">XLOOKUP(AP48,'食譜'!$B:$B,'食譜'!$K:$K,"")</f>
        <v>15</v>
      </c>
      <c r="AS50" s="74"/>
      <c r="AT50" s="76" t="str">
        <f t="array" ref="AT50">XLOOKUP(XLOOKUP(AT48,'食譜'!$B:$B,'食譜'!$J:$J,""),'食材'!$B:$B,'食材'!$D:$D,"")</f>
        <v/>
      </c>
      <c r="AU50" s="77"/>
      <c r="AV50" s="78">
        <f t="array" ref="AV50">XLOOKUP(AT48,'食譜'!$B:$B,'食譜'!$K:$K,"")</f>
        <v>11</v>
      </c>
      <c r="AW50" s="74"/>
      <c r="AX50" s="76" t="str">
        <f t="array" ref="AX50">XLOOKUP(XLOOKUP(AX48,'食譜'!$B:$B,'食譜'!$J:$J,""),'食材'!$B:$B,'食材'!$D:$D,"")</f>
        <v/>
      </c>
      <c r="AY50" s="77"/>
      <c r="AZ50" s="78">
        <f t="array" ref="AZ50">XLOOKUP(AX48,'食譜'!$B:$B,'食譜'!$K:$K,"")</f>
        <v>9</v>
      </c>
      <c r="BA50" s="74"/>
      <c r="BB50" s="76" t="str">
        <f t="array" ref="BB50">XLOOKUP(XLOOKUP(BB48,'食譜'!$B:$B,'食譜'!$J:$J,""),'食材'!$B:$B,'食材'!$D:$D,"")</f>
        <v/>
      </c>
      <c r="BC50" s="77"/>
      <c r="BD50" s="78">
        <f t="array" ref="BD50">XLOOKUP(BB48,'食譜'!$B:$B,'食譜'!$K:$K,"")</f>
        <v>11</v>
      </c>
      <c r="BE50" s="74"/>
      <c r="BF50" s="76" t="str">
        <f t="array" ref="BF50">XLOOKUP(XLOOKUP(BF48,'食譜'!$B:$B,'食譜'!$J:$J,""),'食材'!$B:$B,'食材'!$D:$D,"")</f>
        <v/>
      </c>
      <c r="BG50" s="77"/>
      <c r="BH50" s="78">
        <f t="array" ref="BH50">XLOOKUP(BF48,'食譜'!$B:$B,'食譜'!$K:$K,"")</f>
        <v>14</v>
      </c>
      <c r="BI50" s="74"/>
      <c r="BJ50" s="76" t="str">
        <f t="array" ref="BJ50">XLOOKUP(XLOOKUP(BJ48,'食譜'!$B:$B,'食譜'!$J:$J,""),'食材'!$B:$B,'食材'!$D:$D,"")</f>
        <v/>
      </c>
      <c r="BK50" s="77"/>
      <c r="BL50" s="78">
        <f t="array" ref="BL50">XLOOKUP(BJ48,'食譜'!$B:$B,'食譜'!$K:$K,"")</f>
        <v>15</v>
      </c>
      <c r="BM50" s="74"/>
      <c r="BN50" s="76" t="str">
        <f t="array" ref="BN50">XLOOKUP(XLOOKUP(BN48,'食譜'!$B:$B,'食譜'!$J:$J,""),'食材'!$B:$B,'食材'!$D:$D,"")</f>
        <v/>
      </c>
      <c r="BO50" s="77"/>
      <c r="BP50" s="78">
        <f t="array" ref="BP50">XLOOKUP(BN48,'食譜'!$B:$B,'食譜'!$K:$K,"")</f>
        <v>16</v>
      </c>
      <c r="BQ50" s="74"/>
      <c r="BR50" s="76" t="str">
        <f t="array" ref="BR50">XLOOKUP(XLOOKUP(BR48,'食譜'!$B:$B,'食譜'!$J:$J,""),'食材'!$B:$B,'食材'!$D:$D,"")</f>
        <v/>
      </c>
      <c r="BS50" s="77"/>
      <c r="BT50" s="78">
        <f t="array" ref="BT50">XLOOKUP(BR48,'食譜'!$B:$B,'食譜'!$K:$K,"")</f>
        <v>15</v>
      </c>
      <c r="BU50" s="74"/>
      <c r="BV50" s="76" t="str">
        <f t="array" ref="BV50">XLOOKUP(XLOOKUP(BV48,'食譜'!$B:$B,'食譜'!$J:$J,""),'食材'!$B:$B,'食材'!$D:$D,"")</f>
        <v/>
      </c>
      <c r="BW50" s="77"/>
      <c r="BX50" s="78">
        <f t="array" ref="BX50">XLOOKUP(BV48,'食譜'!$B:$B,'食譜'!$K:$K,"")</f>
        <v>16</v>
      </c>
      <c r="BY50" s="74"/>
      <c r="BZ50" s="76" t="str">
        <f t="array" ref="BZ50">XLOOKUP(XLOOKUP(BZ48,'食譜'!$B:$B,'食譜'!$J:$J,""),'食材'!$B:$B,'食材'!$D:$D,"")</f>
        <v/>
      </c>
      <c r="CA50" s="77"/>
      <c r="CB50" s="78">
        <f t="array" ref="CB50">XLOOKUP(BZ48,'食譜'!$B:$B,'食譜'!$K:$K,"")</f>
        <v>14</v>
      </c>
      <c r="CC50" s="74"/>
      <c r="CD50" s="76" t="str">
        <f t="array" ref="CD50">XLOOKUP(XLOOKUP(CD48,'食譜'!$B:$B,'食譜'!$J:$J,""),'食材'!$B:$B,'食材'!$D:$D,"")</f>
        <v/>
      </c>
      <c r="CE50" s="77"/>
      <c r="CF50" s="78">
        <f t="array" ref="CF50">XLOOKUP(CD48,'食譜'!$B:$B,'食譜'!$K:$K,"")</f>
        <v>20</v>
      </c>
      <c r="CG50" s="74"/>
      <c r="CH50" s="76" t="str">
        <f t="array" ref="CH50">XLOOKUP(XLOOKUP(CH48,'食譜'!$B:$B,'食譜'!$J:$J,""),'食材'!$B:$B,'食材'!$D:$D,"")</f>
        <v/>
      </c>
      <c r="CI50" s="77"/>
      <c r="CJ50" s="78">
        <f t="array" ref="CJ50">XLOOKUP(CH48,'食譜'!$B:$B,'食譜'!$K:$K,"")</f>
        <v>18</v>
      </c>
      <c r="CK50" s="74"/>
      <c r="CL50" s="76" t="str">
        <f t="array" ref="CL50">XLOOKUP(XLOOKUP(CL48,'食譜'!$B:$B,'食譜'!$J:$J,""),'食材'!$B:$B,'食材'!$D:$D,"")</f>
        <v/>
      </c>
      <c r="CM50" s="77"/>
      <c r="CN50" s="78">
        <f t="array" ref="CN50">XLOOKUP(CL48,'食譜'!$B:$B,'食譜'!$K:$K,"")</f>
        <v>20</v>
      </c>
      <c r="CO50" s="74"/>
      <c r="CP50" s="76" t="str">
        <f t="array" ref="CP50">XLOOKUP(XLOOKUP(CP48,'食譜'!$B:$B,'食譜'!$J:$J,""),'食材'!$B:$B,'食材'!$D:$D,"")</f>
        <v/>
      </c>
      <c r="CQ50" s="77"/>
      <c r="CR50" s="78">
        <f t="array" ref="CR50">XLOOKUP(CP48,'食譜'!$B:$B,'食譜'!$K:$K,"")</f>
        <v>25</v>
      </c>
      <c r="CS50" s="74"/>
      <c r="CT50" s="76" t="str">
        <f t="array" ref="CT50">XLOOKUP(XLOOKUP(CT48,'食譜'!$B:$B,'食譜'!$J:$J,""),'食材'!$B:$B,'食材'!$D:$D,"")</f>
        <v/>
      </c>
      <c r="CU50" s="77"/>
      <c r="CV50" s="78">
        <f t="array" ref="CV50">XLOOKUP(CT48,'食譜'!$B:$B,'食譜'!$K:$K,"")</f>
        <v>35</v>
      </c>
      <c r="CW50" s="74"/>
      <c r="CX50" s="76" t="str">
        <f t="array" ref="CX50">XLOOKUP(XLOOKUP(CX48,'食譜'!$B:$B,'食譜'!$J:$J,""),'食材'!$B:$B,'食材'!$D:$D,"")</f>
        <v/>
      </c>
      <c r="CY50" s="77"/>
      <c r="CZ50" s="78">
        <f t="array" ref="CZ50">XLOOKUP(CX48,'食譜'!$B:$B,'食譜'!$K:$K,"")</f>
        <v>30</v>
      </c>
      <c r="DA50" s="74"/>
      <c r="DB50" s="76" t="str">
        <f t="array" ref="DB50">XLOOKUP(XLOOKUP(DB48,'食譜'!$B:$B,'食譜'!$J:$J,""),'食材'!$B:$B,'食材'!$D:$D,"")</f>
        <v/>
      </c>
      <c r="DC50" s="77"/>
      <c r="DD50" s="78">
        <f t="array" ref="DD50">XLOOKUP(DB48,'食譜'!$B:$B,'食譜'!$K:$K,"")</f>
        <v>18</v>
      </c>
      <c r="DE50" s="74"/>
      <c r="DF50" s="76" t="str">
        <f t="array" ref="DF50">XLOOKUP(XLOOKUP(DF48,'食譜'!$B:$B,'食譜'!$J:$J,""),'食材'!$B:$B,'食材'!$D:$D,"")</f>
        <v/>
      </c>
      <c r="DG50" s="77"/>
      <c r="DH50" s="78">
        <f t="array" ref="DH50">XLOOKUP(DF48,'食譜'!$B:$B,'食譜'!$K:$K,"")</f>
        <v>38</v>
      </c>
      <c r="DI50" s="74"/>
      <c r="DJ50" s="1"/>
      <c r="DK50" s="1"/>
      <c r="DL50" s="1"/>
      <c r="DM50" s="1"/>
      <c r="DN50" s="13"/>
      <c r="DO50" s="1"/>
      <c r="DP50" s="1"/>
      <c r="DQ50" s="1"/>
      <c r="DR50" s="1"/>
    </row>
    <row r="51" ht="15.0" customHeight="1">
      <c r="A51" s="1"/>
      <c r="B51" s="14"/>
      <c r="E51" s="15"/>
      <c r="F51" s="66"/>
      <c r="G51" s="79"/>
      <c r="H51" s="80"/>
      <c r="I51" s="68"/>
      <c r="J51" s="66"/>
      <c r="K51" s="79"/>
      <c r="L51" s="80"/>
      <c r="M51" s="68"/>
      <c r="N51" s="66"/>
      <c r="O51" s="79"/>
      <c r="P51" s="80"/>
      <c r="Q51" s="68"/>
      <c r="R51" s="66"/>
      <c r="S51" s="79"/>
      <c r="T51" s="80"/>
      <c r="U51" s="68"/>
      <c r="V51" s="66"/>
      <c r="W51" s="79"/>
      <c r="X51" s="80"/>
      <c r="Y51" s="68"/>
      <c r="Z51" s="66"/>
      <c r="AA51" s="79"/>
      <c r="AB51" s="80"/>
      <c r="AC51" s="68"/>
      <c r="AD51" s="66"/>
      <c r="AE51" s="79"/>
      <c r="AF51" s="80"/>
      <c r="AG51" s="68"/>
      <c r="AH51" s="66"/>
      <c r="AI51" s="79"/>
      <c r="AJ51" s="80"/>
      <c r="AK51" s="68"/>
      <c r="AL51" s="66"/>
      <c r="AM51" s="79"/>
      <c r="AN51" s="80"/>
      <c r="AO51" s="68"/>
      <c r="AP51" s="66"/>
      <c r="AQ51" s="79"/>
      <c r="AR51" s="80"/>
      <c r="AS51" s="68"/>
      <c r="AT51" s="66"/>
      <c r="AU51" s="79"/>
      <c r="AV51" s="80"/>
      <c r="AW51" s="68"/>
      <c r="AX51" s="66"/>
      <c r="AY51" s="79"/>
      <c r="AZ51" s="80"/>
      <c r="BA51" s="68"/>
      <c r="BB51" s="66"/>
      <c r="BC51" s="79"/>
      <c r="BD51" s="80"/>
      <c r="BE51" s="68"/>
      <c r="BF51" s="66"/>
      <c r="BG51" s="79"/>
      <c r="BH51" s="80"/>
      <c r="BI51" s="68"/>
      <c r="BJ51" s="66"/>
      <c r="BK51" s="79"/>
      <c r="BL51" s="80"/>
      <c r="BM51" s="68"/>
      <c r="BN51" s="66"/>
      <c r="BO51" s="79"/>
      <c r="BP51" s="80"/>
      <c r="BQ51" s="68"/>
      <c r="BR51" s="66"/>
      <c r="BS51" s="79"/>
      <c r="BT51" s="80"/>
      <c r="BU51" s="68"/>
      <c r="BV51" s="66"/>
      <c r="BW51" s="79"/>
      <c r="BX51" s="80"/>
      <c r="BY51" s="68"/>
      <c r="BZ51" s="66"/>
      <c r="CA51" s="79"/>
      <c r="CB51" s="80"/>
      <c r="CC51" s="68"/>
      <c r="CD51" s="66"/>
      <c r="CE51" s="79"/>
      <c r="CF51" s="80"/>
      <c r="CG51" s="68"/>
      <c r="CH51" s="66"/>
      <c r="CI51" s="79"/>
      <c r="CJ51" s="80"/>
      <c r="CK51" s="68"/>
      <c r="CL51" s="66"/>
      <c r="CM51" s="79"/>
      <c r="CN51" s="80"/>
      <c r="CO51" s="68"/>
      <c r="CP51" s="66"/>
      <c r="CQ51" s="79"/>
      <c r="CR51" s="80"/>
      <c r="CS51" s="68"/>
      <c r="CT51" s="66"/>
      <c r="CU51" s="79"/>
      <c r="CV51" s="80"/>
      <c r="CW51" s="68"/>
      <c r="CX51" s="66"/>
      <c r="CY51" s="79"/>
      <c r="CZ51" s="80"/>
      <c r="DA51" s="68"/>
      <c r="DB51" s="66"/>
      <c r="DC51" s="79"/>
      <c r="DD51" s="80"/>
      <c r="DE51" s="68"/>
      <c r="DF51" s="66"/>
      <c r="DG51" s="79"/>
      <c r="DH51" s="80"/>
      <c r="DI51" s="68"/>
      <c r="DJ51" s="1"/>
      <c r="DK51" s="1"/>
      <c r="DL51" s="1"/>
      <c r="DM51" s="1"/>
      <c r="DN51" s="13"/>
      <c r="DO51" s="1"/>
      <c r="DP51" s="1"/>
      <c r="DQ51" s="1"/>
      <c r="DR51" s="1"/>
    </row>
    <row r="52" ht="15.0" customHeight="1">
      <c r="A52" s="1"/>
      <c r="B52" s="14"/>
      <c r="E52" s="15"/>
      <c r="F52" s="76" t="str">
        <f t="array" ref="F52">XLOOKUP(XLOOKUP(F48,'食譜'!$B:$B,'食譜'!$L:$L,""),'食材'!$B:$B,'食材'!$D:$D,"")</f>
        <v/>
      </c>
      <c r="G52" s="77"/>
      <c r="H52" s="78" t="str">
        <f t="array" ref="H52">XLOOKUP(F48,'食譜'!$B:$B,'食譜'!$M:$M,"")</f>
        <v/>
      </c>
      <c r="I52" s="74"/>
      <c r="J52" s="76" t="str">
        <f t="array" ref="J52">XLOOKUP(XLOOKUP(J48,'食譜'!$B:$B,'食譜'!$L:$L,""),'食材'!$B:$B,'食材'!$D:$D,"")</f>
        <v/>
      </c>
      <c r="K52" s="77"/>
      <c r="L52" s="78" t="str">
        <f t="array" ref="L52">XLOOKUP(J48,'食譜'!$B:$B,'食譜'!$M:$M,"")</f>
        <v/>
      </c>
      <c r="M52" s="74"/>
      <c r="N52" s="76" t="str">
        <f t="array" ref="N52">XLOOKUP(XLOOKUP(N48,'食譜'!$B:$B,'食譜'!$L:$L,""),'食材'!$B:$B,'食材'!$D:$D,"")</f>
        <v/>
      </c>
      <c r="O52" s="77"/>
      <c r="P52" s="78" t="str">
        <f t="array" ref="P52">XLOOKUP(N48,'食譜'!$B:$B,'食譜'!$M:$M,"")</f>
        <v/>
      </c>
      <c r="Q52" s="74"/>
      <c r="R52" s="76" t="str">
        <f t="array" ref="R52">XLOOKUP(XLOOKUP(R48,'食譜'!$B:$B,'食譜'!$L:$L,""),'食材'!$B:$B,'食材'!$D:$D,"")</f>
        <v/>
      </c>
      <c r="S52" s="77"/>
      <c r="T52" s="78">
        <f t="array" ref="T52">XLOOKUP(R48,'食譜'!$B:$B,'食譜'!$M:$M,"")</f>
        <v>4</v>
      </c>
      <c r="U52" s="74"/>
      <c r="V52" s="76" t="str">
        <f t="array" ref="V52">XLOOKUP(XLOOKUP(V48,'食譜'!$B:$B,'食譜'!$L:$L,""),'食材'!$B:$B,'食材'!$D:$D,"")</f>
        <v/>
      </c>
      <c r="W52" s="77"/>
      <c r="X52" s="78">
        <f t="array" ref="X52">XLOOKUP(V48,'食譜'!$B:$B,'食譜'!$M:$M,"")</f>
        <v>5</v>
      </c>
      <c r="Y52" s="74"/>
      <c r="Z52" s="76" t="str">
        <f t="array" ref="Z52">XLOOKUP(XLOOKUP(Z48,'食譜'!$B:$B,'食譜'!$L:$L,""),'食材'!$B:$B,'食材'!$D:$D,"")</f>
        <v/>
      </c>
      <c r="AA52" s="77"/>
      <c r="AB52" s="78">
        <f t="array" ref="AB52">XLOOKUP(Z48,'食譜'!$B:$B,'食譜'!$M:$M,"")</f>
        <v>7</v>
      </c>
      <c r="AC52" s="74"/>
      <c r="AD52" s="76" t="str">
        <f t="array" ref="AD52">XLOOKUP(XLOOKUP(AD48,'食譜'!$B:$B,'食譜'!$L:$L,""),'食材'!$B:$B,'食材'!$D:$D,"")</f>
        <v/>
      </c>
      <c r="AE52" s="77"/>
      <c r="AF52" s="78">
        <f t="array" ref="AF52">XLOOKUP(AD48,'食譜'!$B:$B,'食譜'!$M:$M,"")</f>
        <v>7</v>
      </c>
      <c r="AG52" s="74"/>
      <c r="AH52" s="76" t="str">
        <f t="array" ref="AH52">XLOOKUP(XLOOKUP(AH48,'食譜'!$B:$B,'食譜'!$L:$L,""),'食材'!$B:$B,'食材'!$D:$D,"")</f>
        <v/>
      </c>
      <c r="AI52" s="77"/>
      <c r="AJ52" s="78">
        <f t="array" ref="AJ52">XLOOKUP(AH48,'食譜'!$B:$B,'食譜'!$M:$M,"")</f>
        <v>7</v>
      </c>
      <c r="AK52" s="74"/>
      <c r="AL52" s="76" t="str">
        <f t="array" ref="AL52">XLOOKUP(XLOOKUP(AL48,'食譜'!$B:$B,'食譜'!$L:$L,""),'食材'!$B:$B,'食材'!$D:$D,"")</f>
        <v/>
      </c>
      <c r="AM52" s="77"/>
      <c r="AN52" s="78">
        <f t="array" ref="AN52">XLOOKUP(AL48,'食譜'!$B:$B,'食譜'!$M:$M,"")</f>
        <v>7</v>
      </c>
      <c r="AO52" s="74"/>
      <c r="AP52" s="76" t="str">
        <f t="array" ref="AP52">XLOOKUP(XLOOKUP(AP48,'食譜'!$B:$B,'食譜'!$L:$L,""),'食材'!$B:$B,'食材'!$D:$D,"")</f>
        <v/>
      </c>
      <c r="AQ52" s="77"/>
      <c r="AR52" s="78">
        <f t="array" ref="AR52">XLOOKUP(AP48,'食譜'!$B:$B,'食譜'!$M:$M,"")</f>
        <v>8</v>
      </c>
      <c r="AS52" s="74"/>
      <c r="AT52" s="76" t="str">
        <f t="array" ref="AT52">XLOOKUP(XLOOKUP(AT48,'食譜'!$B:$B,'食譜'!$L:$L,""),'食材'!$B:$B,'食材'!$D:$D,"")</f>
        <v/>
      </c>
      <c r="AU52" s="77"/>
      <c r="AV52" s="78">
        <f t="array" ref="AV52">XLOOKUP(AT48,'食譜'!$B:$B,'食譜'!$M:$M,"")</f>
        <v>11</v>
      </c>
      <c r="AW52" s="74"/>
      <c r="AX52" s="76" t="str">
        <f t="array" ref="AX52">XLOOKUP(XLOOKUP(AX48,'食譜'!$B:$B,'食譜'!$L:$L,""),'食材'!$B:$B,'食材'!$D:$D,"")</f>
        <v/>
      </c>
      <c r="AY52" s="77"/>
      <c r="AZ52" s="78">
        <f t="array" ref="AZ52">XLOOKUP(AX48,'食譜'!$B:$B,'食譜'!$M:$M,"")</f>
        <v>8</v>
      </c>
      <c r="BA52" s="74"/>
      <c r="BB52" s="76" t="str">
        <f t="array" ref="BB52">XLOOKUP(XLOOKUP(BB48,'食譜'!$B:$B,'食譜'!$L:$L,""),'食材'!$B:$B,'食材'!$D:$D,"")</f>
        <v/>
      </c>
      <c r="BC52" s="77"/>
      <c r="BD52" s="78">
        <f t="array" ref="BD52">XLOOKUP(BB48,'食譜'!$B:$B,'食譜'!$M:$M,"")</f>
        <v>9</v>
      </c>
      <c r="BE52" s="74"/>
      <c r="BF52" s="76" t="str">
        <f t="array" ref="BF52">XLOOKUP(XLOOKUP(BF48,'食譜'!$B:$B,'食譜'!$L:$L,""),'食材'!$B:$B,'食材'!$D:$D,"")</f>
        <v/>
      </c>
      <c r="BG52" s="77"/>
      <c r="BH52" s="78">
        <f t="array" ref="BH52">XLOOKUP(BF48,'食譜'!$B:$B,'食譜'!$M:$M,"")</f>
        <v>12</v>
      </c>
      <c r="BI52" s="74"/>
      <c r="BJ52" s="76" t="str">
        <f t="array" ref="BJ52">XLOOKUP(XLOOKUP(BJ48,'食譜'!$B:$B,'食譜'!$L:$L,""),'食材'!$B:$B,'食材'!$D:$D,"")</f>
        <v/>
      </c>
      <c r="BK52" s="77"/>
      <c r="BL52" s="78">
        <f t="array" ref="BL52">XLOOKUP(BJ48,'食譜'!$B:$B,'食譜'!$M:$M,"")</f>
        <v>11</v>
      </c>
      <c r="BM52" s="74"/>
      <c r="BN52" s="76" t="str">
        <f t="array" ref="BN52">XLOOKUP(XLOOKUP(BN48,'食譜'!$B:$B,'食譜'!$L:$L,""),'食材'!$B:$B,'食材'!$D:$D,"")</f>
        <v/>
      </c>
      <c r="BO52" s="77"/>
      <c r="BP52" s="78">
        <f t="array" ref="BP52">XLOOKUP(BN48,'食譜'!$B:$B,'食譜'!$M:$M,"")</f>
        <v>12</v>
      </c>
      <c r="BQ52" s="74"/>
      <c r="BR52" s="76" t="str">
        <f t="array" ref="BR52">XLOOKUP(XLOOKUP(BR48,'食譜'!$B:$B,'食譜'!$L:$L,""),'食材'!$B:$B,'食材'!$D:$D,"")</f>
        <v/>
      </c>
      <c r="BS52" s="77"/>
      <c r="BT52" s="78">
        <f t="array" ref="BT52">XLOOKUP(BR48,'食譜'!$B:$B,'食譜'!$M:$M,"")</f>
        <v>14</v>
      </c>
      <c r="BU52" s="74"/>
      <c r="BV52" s="76" t="str">
        <f t="array" ref="BV52">XLOOKUP(XLOOKUP(BV48,'食譜'!$B:$B,'食譜'!$L:$L,""),'食材'!$B:$B,'食材'!$D:$D,"")</f>
        <v/>
      </c>
      <c r="BW52" s="77"/>
      <c r="BX52" s="78">
        <f t="array" ref="BX52">XLOOKUP(BV48,'食譜'!$B:$B,'食譜'!$M:$M,"")</f>
        <v>14</v>
      </c>
      <c r="BY52" s="74"/>
      <c r="BZ52" s="76" t="str">
        <f t="array" ref="BZ52">XLOOKUP(XLOOKUP(BZ48,'食譜'!$B:$B,'食譜'!$L:$L,""),'食材'!$B:$B,'食材'!$D:$D,"")</f>
        <v/>
      </c>
      <c r="CA52" s="77"/>
      <c r="CB52" s="78">
        <f t="array" ref="CB52">XLOOKUP(BZ48,'食譜'!$B:$B,'食譜'!$M:$M,"")</f>
        <v>14</v>
      </c>
      <c r="CC52" s="74"/>
      <c r="CD52" s="76" t="str">
        <f t="array" ref="CD52">XLOOKUP(XLOOKUP(CD48,'食譜'!$B:$B,'食譜'!$L:$L,""),'食材'!$B:$B,'食材'!$D:$D,"")</f>
        <v/>
      </c>
      <c r="CE52" s="77"/>
      <c r="CF52" s="78">
        <f t="array" ref="CF52">XLOOKUP(CD48,'食譜'!$B:$B,'食譜'!$M:$M,"")</f>
        <v>15</v>
      </c>
      <c r="CG52" s="74"/>
      <c r="CH52" s="76" t="str">
        <f t="array" ref="CH52">XLOOKUP(XLOOKUP(CH48,'食譜'!$B:$B,'食譜'!$L:$L,""),'食材'!$B:$B,'食材'!$D:$D,"")</f>
        <v/>
      </c>
      <c r="CI52" s="77"/>
      <c r="CJ52" s="78">
        <f t="array" ref="CJ52">XLOOKUP(CH48,'食譜'!$B:$B,'食譜'!$M:$M,"")</f>
        <v>16</v>
      </c>
      <c r="CK52" s="74"/>
      <c r="CL52" s="76" t="str">
        <f t="array" ref="CL52">XLOOKUP(XLOOKUP(CL48,'食譜'!$B:$B,'食譜'!$L:$L,""),'食材'!$B:$B,'食材'!$D:$D,"")</f>
        <v/>
      </c>
      <c r="CM52" s="77"/>
      <c r="CN52" s="78">
        <f t="array" ref="CN52">XLOOKUP(CL48,'食譜'!$B:$B,'食譜'!$M:$M,"")</f>
        <v>20</v>
      </c>
      <c r="CO52" s="74"/>
      <c r="CP52" s="76" t="str">
        <f t="array" ref="CP52">XLOOKUP(XLOOKUP(CP48,'食譜'!$B:$B,'食譜'!$L:$L,""),'食材'!$B:$B,'食材'!$D:$D,"")</f>
        <v/>
      </c>
      <c r="CQ52" s="77"/>
      <c r="CR52" s="78">
        <f t="array" ref="CR52">XLOOKUP(CP48,'食譜'!$B:$B,'食譜'!$M:$M,"")</f>
        <v>25</v>
      </c>
      <c r="CS52" s="74"/>
      <c r="CT52" s="76" t="str">
        <f t="array" ref="CT52">XLOOKUP(XLOOKUP(CT48,'食譜'!$B:$B,'食譜'!$L:$L,""),'食材'!$B:$B,'食材'!$D:$D,"")</f>
        <v/>
      </c>
      <c r="CU52" s="77"/>
      <c r="CV52" s="78">
        <f t="array" ref="CV52">XLOOKUP(CT48,'食譜'!$B:$B,'食譜'!$M:$M,"")</f>
        <v>20</v>
      </c>
      <c r="CW52" s="74"/>
      <c r="CX52" s="76" t="str">
        <f t="array" ref="CX52">XLOOKUP(XLOOKUP(CX48,'食譜'!$B:$B,'食譜'!$L:$L,""),'食材'!$B:$B,'食材'!$D:$D,"")</f>
        <v/>
      </c>
      <c r="CY52" s="77"/>
      <c r="CZ52" s="78">
        <f t="array" ref="CZ52">XLOOKUP(CX48,'食譜'!$B:$B,'食譜'!$M:$M,"")</f>
        <v>26</v>
      </c>
      <c r="DA52" s="74"/>
      <c r="DB52" s="76" t="str">
        <f t="array" ref="DB52">XLOOKUP(XLOOKUP(DB48,'食譜'!$B:$B,'食譜'!$L:$L,""),'食材'!$B:$B,'食材'!$D:$D,"")</f>
        <v/>
      </c>
      <c r="DC52" s="77"/>
      <c r="DD52" s="78">
        <f t="array" ref="DD52">XLOOKUP(DB48,'食譜'!$B:$B,'食譜'!$M:$M,"")</f>
        <v>24</v>
      </c>
      <c r="DE52" s="74"/>
      <c r="DF52" s="76" t="str">
        <f t="array" ref="DF52">XLOOKUP(XLOOKUP(DF48,'食譜'!$B:$B,'食譜'!$L:$L,""),'食材'!$B:$B,'食材'!$D:$D,"")</f>
        <v/>
      </c>
      <c r="DG52" s="77"/>
      <c r="DH52" s="78">
        <f t="array" ref="DH52">XLOOKUP(DF48,'食譜'!$B:$B,'食譜'!$M:$M,"")</f>
        <v>28</v>
      </c>
      <c r="DI52" s="74"/>
      <c r="DJ52" s="1"/>
      <c r="DK52" s="1"/>
      <c r="DL52" s="1"/>
      <c r="DM52" s="1"/>
      <c r="DN52" s="13"/>
      <c r="DO52" s="1"/>
      <c r="DP52" s="1"/>
      <c r="DQ52" s="1"/>
      <c r="DR52" s="1"/>
    </row>
    <row r="53" ht="15.0" customHeight="1">
      <c r="A53" s="1"/>
      <c r="B53" s="14"/>
      <c r="E53" s="15"/>
      <c r="F53" s="66"/>
      <c r="G53" s="79"/>
      <c r="H53" s="80"/>
      <c r="I53" s="68"/>
      <c r="J53" s="66"/>
      <c r="K53" s="79"/>
      <c r="L53" s="80"/>
      <c r="M53" s="68"/>
      <c r="N53" s="66"/>
      <c r="O53" s="79"/>
      <c r="P53" s="80"/>
      <c r="Q53" s="68"/>
      <c r="R53" s="66"/>
      <c r="S53" s="79"/>
      <c r="T53" s="80"/>
      <c r="U53" s="68"/>
      <c r="V53" s="66"/>
      <c r="W53" s="79"/>
      <c r="X53" s="80"/>
      <c r="Y53" s="68"/>
      <c r="Z53" s="66"/>
      <c r="AA53" s="79"/>
      <c r="AB53" s="80"/>
      <c r="AC53" s="68"/>
      <c r="AD53" s="66"/>
      <c r="AE53" s="79"/>
      <c r="AF53" s="80"/>
      <c r="AG53" s="68"/>
      <c r="AH53" s="66"/>
      <c r="AI53" s="79"/>
      <c r="AJ53" s="80"/>
      <c r="AK53" s="68"/>
      <c r="AL53" s="66"/>
      <c r="AM53" s="79"/>
      <c r="AN53" s="80"/>
      <c r="AO53" s="68"/>
      <c r="AP53" s="66"/>
      <c r="AQ53" s="79"/>
      <c r="AR53" s="80"/>
      <c r="AS53" s="68"/>
      <c r="AT53" s="66"/>
      <c r="AU53" s="79"/>
      <c r="AV53" s="80"/>
      <c r="AW53" s="68"/>
      <c r="AX53" s="66"/>
      <c r="AY53" s="79"/>
      <c r="AZ53" s="80"/>
      <c r="BA53" s="68"/>
      <c r="BB53" s="66"/>
      <c r="BC53" s="79"/>
      <c r="BD53" s="80"/>
      <c r="BE53" s="68"/>
      <c r="BF53" s="66"/>
      <c r="BG53" s="79"/>
      <c r="BH53" s="80"/>
      <c r="BI53" s="68"/>
      <c r="BJ53" s="66"/>
      <c r="BK53" s="79"/>
      <c r="BL53" s="80"/>
      <c r="BM53" s="68"/>
      <c r="BN53" s="66"/>
      <c r="BO53" s="79"/>
      <c r="BP53" s="80"/>
      <c r="BQ53" s="68"/>
      <c r="BR53" s="66"/>
      <c r="BS53" s="79"/>
      <c r="BT53" s="80"/>
      <c r="BU53" s="68"/>
      <c r="BV53" s="66"/>
      <c r="BW53" s="79"/>
      <c r="BX53" s="80"/>
      <c r="BY53" s="68"/>
      <c r="BZ53" s="66"/>
      <c r="CA53" s="79"/>
      <c r="CB53" s="80"/>
      <c r="CC53" s="68"/>
      <c r="CD53" s="66"/>
      <c r="CE53" s="79"/>
      <c r="CF53" s="80"/>
      <c r="CG53" s="68"/>
      <c r="CH53" s="66"/>
      <c r="CI53" s="79"/>
      <c r="CJ53" s="80"/>
      <c r="CK53" s="68"/>
      <c r="CL53" s="66"/>
      <c r="CM53" s="79"/>
      <c r="CN53" s="80"/>
      <c r="CO53" s="68"/>
      <c r="CP53" s="66"/>
      <c r="CQ53" s="79"/>
      <c r="CR53" s="80"/>
      <c r="CS53" s="68"/>
      <c r="CT53" s="66"/>
      <c r="CU53" s="79"/>
      <c r="CV53" s="80"/>
      <c r="CW53" s="68"/>
      <c r="CX53" s="66"/>
      <c r="CY53" s="79"/>
      <c r="CZ53" s="80"/>
      <c r="DA53" s="68"/>
      <c r="DB53" s="66"/>
      <c r="DC53" s="79"/>
      <c r="DD53" s="80"/>
      <c r="DE53" s="68"/>
      <c r="DF53" s="66"/>
      <c r="DG53" s="79"/>
      <c r="DH53" s="80"/>
      <c r="DI53" s="68"/>
      <c r="DJ53" s="1"/>
      <c r="DK53" s="1"/>
      <c r="DL53" s="1"/>
      <c r="DM53" s="1"/>
      <c r="DN53" s="13"/>
      <c r="DO53" s="1"/>
      <c r="DP53" s="1"/>
      <c r="DQ53" s="1"/>
      <c r="DR53" s="1"/>
    </row>
    <row r="54" ht="15.0" customHeight="1">
      <c r="A54" s="1"/>
      <c r="B54" s="14"/>
      <c r="E54" s="15"/>
      <c r="F54" s="76" t="str">
        <f t="array" ref="F54">XLOOKUP(XLOOKUP(F48,'食譜'!$B:$B,'食譜'!$N:$N,""),'食材'!$B:$B,'食材'!$D:$D,"")</f>
        <v/>
      </c>
      <c r="G54" s="77"/>
      <c r="H54" s="78" t="str">
        <f t="array" ref="H54">XLOOKUP(F48,'食譜'!$B:$B,'食譜'!$O:$O,"")</f>
        <v/>
      </c>
      <c r="I54" s="74"/>
      <c r="J54" s="76" t="str">
        <f t="array" ref="J54">XLOOKUP(XLOOKUP(J48,'食譜'!$B:$B,'食譜'!$N:$N,""),'食材'!$B:$B,'食材'!$D:$D,"")</f>
        <v/>
      </c>
      <c r="K54" s="77"/>
      <c r="L54" s="78" t="str">
        <f t="array" ref="L54">XLOOKUP(J48,'食譜'!$B:$B,'食譜'!$O:$O,"")</f>
        <v/>
      </c>
      <c r="M54" s="74"/>
      <c r="N54" s="76" t="str">
        <f t="array" ref="N54">XLOOKUP(XLOOKUP(N48,'食譜'!$B:$B,'食譜'!$N:$N,""),'食材'!$B:$B,'食材'!$D:$D,"")</f>
        <v/>
      </c>
      <c r="O54" s="77"/>
      <c r="P54" s="78" t="str">
        <f t="array" ref="P54">XLOOKUP(N48,'食譜'!$B:$B,'食譜'!$O:$O,"")</f>
        <v/>
      </c>
      <c r="Q54" s="74"/>
      <c r="R54" s="76" t="str">
        <f t="array" ref="R54">XLOOKUP(XLOOKUP(R48,'食譜'!$B:$B,'食譜'!$N:$N,""),'食材'!$B:$B,'食材'!$D:$D,"")</f>
        <v/>
      </c>
      <c r="S54" s="77"/>
      <c r="T54" s="78" t="str">
        <f t="array" ref="T54">XLOOKUP(R48,'食譜'!$B:$B,'食譜'!$O:$O,"")</f>
        <v/>
      </c>
      <c r="U54" s="74"/>
      <c r="V54" s="76" t="str">
        <f t="array" ref="V54">XLOOKUP(XLOOKUP(V48,'食譜'!$B:$B,'食譜'!$N:$N,""),'食材'!$B:$B,'食材'!$D:$D,"")</f>
        <v/>
      </c>
      <c r="W54" s="77"/>
      <c r="X54" s="78" t="str">
        <f t="array" ref="X54">XLOOKUP(V48,'食譜'!$B:$B,'食譜'!$O:$O,"")</f>
        <v/>
      </c>
      <c r="Y54" s="74"/>
      <c r="Z54" s="76" t="str">
        <f t="array" ref="Z54">XLOOKUP(XLOOKUP(Z48,'食譜'!$B:$B,'食譜'!$N:$N,""),'食材'!$B:$B,'食材'!$D:$D,"")</f>
        <v/>
      </c>
      <c r="AA54" s="77"/>
      <c r="AB54" s="78" t="str">
        <f t="array" ref="AB54">XLOOKUP(Z48,'食譜'!$B:$B,'食譜'!$O:$O,"")</f>
        <v/>
      </c>
      <c r="AC54" s="74"/>
      <c r="AD54" s="76" t="str">
        <f t="array" ref="AD54">XLOOKUP(XLOOKUP(AD48,'食譜'!$B:$B,'食譜'!$N:$N,""),'食材'!$B:$B,'食材'!$D:$D,"")</f>
        <v/>
      </c>
      <c r="AE54" s="77"/>
      <c r="AF54" s="78" t="str">
        <f t="array" ref="AF54">XLOOKUP(AD48,'食譜'!$B:$B,'食譜'!$O:$O,"")</f>
        <v/>
      </c>
      <c r="AG54" s="74"/>
      <c r="AH54" s="76" t="str">
        <f t="array" ref="AH54">XLOOKUP(XLOOKUP(AH48,'食譜'!$B:$B,'食譜'!$N:$N,""),'食材'!$B:$B,'食材'!$D:$D,"")</f>
        <v/>
      </c>
      <c r="AI54" s="77"/>
      <c r="AJ54" s="78" t="str">
        <f t="array" ref="AJ54">XLOOKUP(AH48,'食譜'!$B:$B,'食譜'!$O:$O,"")</f>
        <v/>
      </c>
      <c r="AK54" s="74"/>
      <c r="AL54" s="76" t="str">
        <f t="array" ref="AL54">XLOOKUP(XLOOKUP(AL48,'食譜'!$B:$B,'食譜'!$N:$N,""),'食材'!$B:$B,'食材'!$D:$D,"")</f>
        <v/>
      </c>
      <c r="AM54" s="77"/>
      <c r="AN54" s="78">
        <f t="array" ref="AN54">XLOOKUP(AL48,'食譜'!$B:$B,'食譜'!$O:$O,"")</f>
        <v>6</v>
      </c>
      <c r="AO54" s="74"/>
      <c r="AP54" s="76" t="str">
        <f t="array" ref="AP54">XLOOKUP(XLOOKUP(AP48,'食譜'!$B:$B,'食譜'!$N:$N,""),'食材'!$B:$B,'食材'!$D:$D,"")</f>
        <v/>
      </c>
      <c r="AQ54" s="77"/>
      <c r="AR54" s="78" t="str">
        <f t="array" ref="AR54">XLOOKUP(AP48,'食譜'!$B:$B,'食譜'!$O:$O,"")</f>
        <v/>
      </c>
      <c r="AS54" s="74"/>
      <c r="AT54" s="76" t="str">
        <f t="array" ref="AT54">XLOOKUP(XLOOKUP(AT48,'食譜'!$B:$B,'食譜'!$N:$N,""),'食材'!$B:$B,'食材'!$D:$D,"")</f>
        <v/>
      </c>
      <c r="AU54" s="77"/>
      <c r="AV54" s="78" t="str">
        <f t="array" ref="AV54">XLOOKUP(AT48,'食譜'!$B:$B,'食譜'!$O:$O,"")</f>
        <v/>
      </c>
      <c r="AW54" s="74"/>
      <c r="AX54" s="76" t="str">
        <f t="array" ref="AX54">XLOOKUP(XLOOKUP(AX48,'食譜'!$B:$B,'食譜'!$N:$N,""),'食材'!$B:$B,'食材'!$D:$D,"")</f>
        <v/>
      </c>
      <c r="AY54" s="77"/>
      <c r="AZ54" s="78">
        <f t="array" ref="AZ54">XLOOKUP(AX48,'食譜'!$B:$B,'食譜'!$O:$O,"")</f>
        <v>7</v>
      </c>
      <c r="BA54" s="74"/>
      <c r="BB54" s="76" t="str">
        <f t="array" ref="BB54">XLOOKUP(XLOOKUP(BB48,'食譜'!$B:$B,'食譜'!$N:$N,""),'食材'!$B:$B,'食材'!$D:$D,"")</f>
        <v/>
      </c>
      <c r="BC54" s="77"/>
      <c r="BD54" s="78">
        <f t="array" ref="BD54">XLOOKUP(BB48,'食譜'!$B:$B,'食譜'!$O:$O,"")</f>
        <v>8</v>
      </c>
      <c r="BE54" s="74"/>
      <c r="BF54" s="76" t="str">
        <f t="array" ref="BF54">XLOOKUP(XLOOKUP(BF48,'食譜'!$B:$B,'食譜'!$N:$N,""),'食材'!$B:$B,'食材'!$D:$D,"")</f>
        <v/>
      </c>
      <c r="BG54" s="77"/>
      <c r="BH54" s="78">
        <f t="array" ref="BH54">XLOOKUP(BF48,'食譜'!$B:$B,'食譜'!$O:$O,"")</f>
        <v>5</v>
      </c>
      <c r="BI54" s="74"/>
      <c r="BJ54" s="76" t="str">
        <f t="array" ref="BJ54">XLOOKUP(XLOOKUP(BJ48,'食譜'!$B:$B,'食譜'!$N:$N,""),'食材'!$B:$B,'食材'!$D:$D,"")</f>
        <v/>
      </c>
      <c r="BK54" s="77"/>
      <c r="BL54" s="78">
        <f t="array" ref="BL54">XLOOKUP(BJ48,'食譜'!$B:$B,'食譜'!$O:$O,"")</f>
        <v>9</v>
      </c>
      <c r="BM54" s="74"/>
      <c r="BN54" s="76" t="str">
        <f t="array" ref="BN54">XLOOKUP(XLOOKUP(BN48,'食譜'!$B:$B,'食譜'!$N:$N,""),'食材'!$B:$B,'食材'!$D:$D,"")</f>
        <v/>
      </c>
      <c r="BO54" s="77"/>
      <c r="BP54" s="78">
        <f t="array" ref="BP54">XLOOKUP(BN48,'食譜'!$B:$B,'食譜'!$O:$O,"")</f>
        <v>7</v>
      </c>
      <c r="BQ54" s="74"/>
      <c r="BR54" s="76" t="str">
        <f t="array" ref="BR54">XLOOKUP(XLOOKUP(BR48,'食譜'!$B:$B,'食譜'!$N:$N,""),'食材'!$B:$B,'食材'!$D:$D,"")</f>
        <v/>
      </c>
      <c r="BS54" s="77"/>
      <c r="BT54" s="78">
        <f t="array" ref="BT54">XLOOKUP(BR48,'食譜'!$B:$B,'食譜'!$O:$O,"")</f>
        <v>7</v>
      </c>
      <c r="BU54" s="74"/>
      <c r="BV54" s="76" t="str">
        <f t="array" ref="BV54">XLOOKUP(XLOOKUP(BV48,'食譜'!$B:$B,'食譜'!$N:$N,""),'食材'!$B:$B,'食材'!$D:$D,"")</f>
        <v/>
      </c>
      <c r="BW54" s="77"/>
      <c r="BX54" s="78">
        <f t="array" ref="BX54">XLOOKUP(BV48,'食譜'!$B:$B,'食譜'!$O:$O,"")</f>
        <v>12</v>
      </c>
      <c r="BY54" s="74"/>
      <c r="BZ54" s="76" t="str">
        <f t="array" ref="BZ54">XLOOKUP(XLOOKUP(BZ48,'食譜'!$B:$B,'食譜'!$N:$N,""),'食材'!$B:$B,'食材'!$D:$D,"")</f>
        <v/>
      </c>
      <c r="CA54" s="77"/>
      <c r="CB54" s="78">
        <f t="array" ref="CB54">XLOOKUP(BZ48,'食譜'!$B:$B,'食譜'!$O:$O,"")</f>
        <v>12</v>
      </c>
      <c r="CC54" s="74"/>
      <c r="CD54" s="76" t="str">
        <f t="array" ref="CD54">XLOOKUP(XLOOKUP(CD48,'食譜'!$B:$B,'食譜'!$N:$N,""),'食材'!$B:$B,'食材'!$D:$D,"")</f>
        <v/>
      </c>
      <c r="CE54" s="77"/>
      <c r="CF54" s="78">
        <f t="array" ref="CF54">XLOOKUP(CD48,'食譜'!$B:$B,'食譜'!$O:$O,"")</f>
        <v>10</v>
      </c>
      <c r="CG54" s="74"/>
      <c r="CH54" s="76" t="str">
        <f t="array" ref="CH54">XLOOKUP(XLOOKUP(CH48,'食譜'!$B:$B,'食譜'!$N:$N,""),'食材'!$B:$B,'食材'!$D:$D,"")</f>
        <v/>
      </c>
      <c r="CI54" s="77"/>
      <c r="CJ54" s="78">
        <f t="array" ref="CJ54">XLOOKUP(CH48,'食譜'!$B:$B,'食譜'!$O:$O,"")</f>
        <v>14</v>
      </c>
      <c r="CK54" s="74"/>
      <c r="CL54" s="76" t="str">
        <f t="array" ref="CL54">XLOOKUP(XLOOKUP(CL48,'食譜'!$B:$B,'食譜'!$N:$N,""),'食材'!$B:$B,'食材'!$D:$D,"")</f>
        <v/>
      </c>
      <c r="CM54" s="77"/>
      <c r="CN54" s="78">
        <f t="array" ref="CN54">XLOOKUP(CL48,'食譜'!$B:$B,'食譜'!$O:$O,"")</f>
        <v>18</v>
      </c>
      <c r="CO54" s="74"/>
      <c r="CP54" s="76" t="str">
        <f t="array" ref="CP54">XLOOKUP(XLOOKUP(CP48,'食譜'!$B:$B,'食譜'!$N:$N,""),'食材'!$B:$B,'食材'!$D:$D,"")</f>
        <v/>
      </c>
      <c r="CQ54" s="77"/>
      <c r="CR54" s="78">
        <f t="array" ref="CR54">XLOOKUP(CP48,'食譜'!$B:$B,'食譜'!$O:$O,"")</f>
        <v>17</v>
      </c>
      <c r="CS54" s="74"/>
      <c r="CT54" s="76" t="str">
        <f t="array" ref="CT54">XLOOKUP(XLOOKUP(CT48,'食譜'!$B:$B,'食譜'!$N:$N,""),'食材'!$B:$B,'食材'!$D:$D,"")</f>
        <v/>
      </c>
      <c r="CU54" s="77"/>
      <c r="CV54" s="78">
        <f t="array" ref="CV54">XLOOKUP(CT48,'食譜'!$B:$B,'食譜'!$O:$O,"")</f>
        <v>20</v>
      </c>
      <c r="CW54" s="74"/>
      <c r="CX54" s="76" t="str">
        <f t="array" ref="CX54">XLOOKUP(XLOOKUP(CX48,'食譜'!$B:$B,'食譜'!$N:$N,""),'食材'!$B:$B,'食材'!$D:$D,"")</f>
        <v/>
      </c>
      <c r="CY54" s="77"/>
      <c r="CZ54" s="78">
        <f t="array" ref="CZ54">XLOOKUP(CX48,'食譜'!$B:$B,'食譜'!$O:$O,"")</f>
        <v>24</v>
      </c>
      <c r="DA54" s="74"/>
      <c r="DB54" s="76" t="str">
        <f t="array" ref="DB54">XLOOKUP(XLOOKUP(DB48,'食譜'!$B:$B,'食譜'!$N:$N,""),'食材'!$B:$B,'食材'!$D:$D,"")</f>
        <v/>
      </c>
      <c r="DC54" s="77"/>
      <c r="DD54" s="78">
        <f t="array" ref="DD54">XLOOKUP(DB48,'食譜'!$B:$B,'食譜'!$O:$O,"")</f>
        <v>32</v>
      </c>
      <c r="DE54" s="74"/>
      <c r="DF54" s="76" t="str">
        <f t="array" ref="DF54">XLOOKUP(XLOOKUP(DF48,'食譜'!$B:$B,'食譜'!$N:$N,""),'食材'!$B:$B,'食材'!$D:$D,"")</f>
        <v/>
      </c>
      <c r="DG54" s="77"/>
      <c r="DH54" s="78">
        <f t="array" ref="DH54">XLOOKUP(DF48,'食譜'!$B:$B,'食譜'!$O:$O,"")</f>
        <v>28</v>
      </c>
      <c r="DI54" s="74"/>
      <c r="DJ54" s="1"/>
      <c r="DK54" s="1"/>
      <c r="DL54" s="1"/>
      <c r="DM54" s="1"/>
      <c r="DN54" s="13"/>
      <c r="DO54" s="1"/>
      <c r="DP54" s="1"/>
      <c r="DQ54" s="1"/>
      <c r="DR54" s="1"/>
    </row>
    <row r="55" ht="15.0" customHeight="1">
      <c r="A55" s="1"/>
      <c r="B55" s="14"/>
      <c r="E55" s="15"/>
      <c r="F55" s="66"/>
      <c r="G55" s="79"/>
      <c r="H55" s="80"/>
      <c r="I55" s="68"/>
      <c r="J55" s="66"/>
      <c r="K55" s="79"/>
      <c r="L55" s="80"/>
      <c r="M55" s="68"/>
      <c r="N55" s="66"/>
      <c r="O55" s="79"/>
      <c r="P55" s="80"/>
      <c r="Q55" s="68"/>
      <c r="R55" s="66"/>
      <c r="S55" s="79"/>
      <c r="T55" s="80"/>
      <c r="U55" s="68"/>
      <c r="V55" s="66"/>
      <c r="W55" s="79"/>
      <c r="X55" s="80"/>
      <c r="Y55" s="68"/>
      <c r="Z55" s="66"/>
      <c r="AA55" s="79"/>
      <c r="AB55" s="80"/>
      <c r="AC55" s="68"/>
      <c r="AD55" s="66"/>
      <c r="AE55" s="79"/>
      <c r="AF55" s="80"/>
      <c r="AG55" s="68"/>
      <c r="AH55" s="66"/>
      <c r="AI55" s="79"/>
      <c r="AJ55" s="80"/>
      <c r="AK55" s="68"/>
      <c r="AL55" s="66"/>
      <c r="AM55" s="79"/>
      <c r="AN55" s="80"/>
      <c r="AO55" s="68"/>
      <c r="AP55" s="66"/>
      <c r="AQ55" s="79"/>
      <c r="AR55" s="80"/>
      <c r="AS55" s="68"/>
      <c r="AT55" s="66"/>
      <c r="AU55" s="79"/>
      <c r="AV55" s="80"/>
      <c r="AW55" s="68"/>
      <c r="AX55" s="66"/>
      <c r="AY55" s="79"/>
      <c r="AZ55" s="80"/>
      <c r="BA55" s="68"/>
      <c r="BB55" s="66"/>
      <c r="BC55" s="79"/>
      <c r="BD55" s="80"/>
      <c r="BE55" s="68"/>
      <c r="BF55" s="66"/>
      <c r="BG55" s="79"/>
      <c r="BH55" s="80"/>
      <c r="BI55" s="68"/>
      <c r="BJ55" s="66"/>
      <c r="BK55" s="79"/>
      <c r="BL55" s="80"/>
      <c r="BM55" s="68"/>
      <c r="BN55" s="66"/>
      <c r="BO55" s="79"/>
      <c r="BP55" s="80"/>
      <c r="BQ55" s="68"/>
      <c r="BR55" s="66"/>
      <c r="BS55" s="79"/>
      <c r="BT55" s="80"/>
      <c r="BU55" s="68"/>
      <c r="BV55" s="66"/>
      <c r="BW55" s="79"/>
      <c r="BX55" s="80"/>
      <c r="BY55" s="68"/>
      <c r="BZ55" s="66"/>
      <c r="CA55" s="79"/>
      <c r="CB55" s="80"/>
      <c r="CC55" s="68"/>
      <c r="CD55" s="66"/>
      <c r="CE55" s="79"/>
      <c r="CF55" s="80"/>
      <c r="CG55" s="68"/>
      <c r="CH55" s="66"/>
      <c r="CI55" s="79"/>
      <c r="CJ55" s="80"/>
      <c r="CK55" s="68"/>
      <c r="CL55" s="66"/>
      <c r="CM55" s="79"/>
      <c r="CN55" s="80"/>
      <c r="CO55" s="68"/>
      <c r="CP55" s="66"/>
      <c r="CQ55" s="79"/>
      <c r="CR55" s="80"/>
      <c r="CS55" s="68"/>
      <c r="CT55" s="66"/>
      <c r="CU55" s="79"/>
      <c r="CV55" s="80"/>
      <c r="CW55" s="68"/>
      <c r="CX55" s="66"/>
      <c r="CY55" s="79"/>
      <c r="CZ55" s="80"/>
      <c r="DA55" s="68"/>
      <c r="DB55" s="66"/>
      <c r="DC55" s="79"/>
      <c r="DD55" s="80"/>
      <c r="DE55" s="68"/>
      <c r="DF55" s="66"/>
      <c r="DG55" s="79"/>
      <c r="DH55" s="80"/>
      <c r="DI55" s="68"/>
      <c r="DJ55" s="1"/>
      <c r="DK55" s="1"/>
      <c r="DL55" s="1"/>
      <c r="DM55" s="1"/>
      <c r="DN55" s="13"/>
      <c r="DO55" s="1"/>
      <c r="DP55" s="1"/>
      <c r="DQ55" s="1"/>
      <c r="DR55" s="1"/>
    </row>
    <row r="56" ht="15.0" customHeight="1">
      <c r="A56" s="1"/>
      <c r="B56" s="14"/>
      <c r="E56" s="15"/>
      <c r="F56" s="76" t="str">
        <f t="array" ref="F56">XLOOKUP(XLOOKUP(F48,'食譜'!$B:$B,'食譜'!$P:$P,""),'食材'!$B:$B,'食材'!$D:$D,"")</f>
        <v/>
      </c>
      <c r="G56" s="77"/>
      <c r="H56" s="78" t="str">
        <f t="array" ref="H56">XLOOKUP(F48,'食譜'!$B:$B,'食譜'!$Q:$Q,"")</f>
        <v/>
      </c>
      <c r="I56" s="74"/>
      <c r="J56" s="76" t="str">
        <f t="array" ref="J56">XLOOKUP(XLOOKUP(J48,'食譜'!$B:$B,'食譜'!$P:$P,""),'食材'!$B:$B,'食材'!$D:$D,"")</f>
        <v/>
      </c>
      <c r="K56" s="77"/>
      <c r="L56" s="78" t="str">
        <f t="array" ref="L56">XLOOKUP(J48,'食譜'!$B:$B,'食譜'!$Q:$Q,"")</f>
        <v/>
      </c>
      <c r="M56" s="74"/>
      <c r="N56" s="76" t="str">
        <f t="array" ref="N56">XLOOKUP(XLOOKUP(N48,'食譜'!$B:$B,'食譜'!$P:$P,""),'食材'!$B:$B,'食材'!$D:$D,"")</f>
        <v/>
      </c>
      <c r="O56" s="77"/>
      <c r="P56" s="78" t="str">
        <f t="array" ref="P56">XLOOKUP(N48,'食譜'!$B:$B,'食譜'!$Q:$Q,"")</f>
        <v/>
      </c>
      <c r="Q56" s="74"/>
      <c r="R56" s="76" t="str">
        <f t="array" ref="R56">XLOOKUP(XLOOKUP(R48,'食譜'!$B:$B,'食譜'!$P:$P,""),'食材'!$B:$B,'食材'!$D:$D,"")</f>
        <v/>
      </c>
      <c r="S56" s="77"/>
      <c r="T56" s="78" t="str">
        <f t="array" ref="T56">XLOOKUP(R48,'食譜'!$B:$B,'食譜'!$Q:$Q,"")</f>
        <v/>
      </c>
      <c r="U56" s="74"/>
      <c r="V56" s="76" t="str">
        <f t="array" ref="V56">XLOOKUP(XLOOKUP(V48,'食譜'!$B:$B,'食譜'!$P:$P,""),'食材'!$B:$B,'食材'!$D:$D,"")</f>
        <v/>
      </c>
      <c r="W56" s="77"/>
      <c r="X56" s="78" t="str">
        <f t="array" ref="X56">XLOOKUP(V48,'食譜'!$B:$B,'食譜'!$Q:$Q,"")</f>
        <v/>
      </c>
      <c r="Y56" s="74"/>
      <c r="Z56" s="76" t="str">
        <f t="array" ref="Z56">XLOOKUP(XLOOKUP(Z48,'食譜'!$B:$B,'食譜'!$P:$P,""),'食材'!$B:$B,'食材'!$D:$D,"")</f>
        <v/>
      </c>
      <c r="AA56" s="77"/>
      <c r="AB56" s="78" t="str">
        <f t="array" ref="AB56">XLOOKUP(Z48,'食譜'!$B:$B,'食譜'!$Q:$Q,"")</f>
        <v/>
      </c>
      <c r="AC56" s="74"/>
      <c r="AD56" s="76" t="str">
        <f t="array" ref="AD56">XLOOKUP(XLOOKUP(AD48,'食譜'!$B:$B,'食譜'!$P:$P,""),'食材'!$B:$B,'食材'!$D:$D,"")</f>
        <v/>
      </c>
      <c r="AE56" s="77"/>
      <c r="AF56" s="78" t="str">
        <f t="array" ref="AF56">XLOOKUP(AD48,'食譜'!$B:$B,'食譜'!$Q:$Q,"")</f>
        <v/>
      </c>
      <c r="AG56" s="74"/>
      <c r="AH56" s="76" t="str">
        <f t="array" ref="AH56">XLOOKUP(XLOOKUP(AH48,'食譜'!$B:$B,'食譜'!$P:$P,""),'食材'!$B:$B,'食材'!$D:$D,"")</f>
        <v/>
      </c>
      <c r="AI56" s="77"/>
      <c r="AJ56" s="78" t="str">
        <f t="array" ref="AJ56">XLOOKUP(AH48,'食譜'!$B:$B,'食譜'!$Q:$Q,"")</f>
        <v/>
      </c>
      <c r="AK56" s="74"/>
      <c r="AL56" s="76" t="str">
        <f t="array" ref="AL56">XLOOKUP(XLOOKUP(AL48,'食譜'!$B:$B,'食譜'!$P:$P,""),'食材'!$B:$B,'食材'!$D:$D,"")</f>
        <v/>
      </c>
      <c r="AM56" s="77"/>
      <c r="AN56" s="78" t="str">
        <f t="array" ref="AN56">XLOOKUP(AL48,'食譜'!$B:$B,'食譜'!$Q:$Q,"")</f>
        <v/>
      </c>
      <c r="AO56" s="74"/>
      <c r="AP56" s="76" t="str">
        <f t="array" ref="AP56">XLOOKUP(XLOOKUP(AP48,'食譜'!$B:$B,'食譜'!$P:$P,""),'食材'!$B:$B,'食材'!$D:$D,"")</f>
        <v/>
      </c>
      <c r="AQ56" s="77"/>
      <c r="AR56" s="78" t="str">
        <f t="array" ref="AR56">XLOOKUP(AP48,'食譜'!$B:$B,'食譜'!$Q:$Q,"")</f>
        <v/>
      </c>
      <c r="AS56" s="74"/>
      <c r="AT56" s="76" t="str">
        <f t="array" ref="AT56">XLOOKUP(XLOOKUP(AT48,'食譜'!$B:$B,'食譜'!$P:$P,""),'食材'!$B:$B,'食材'!$D:$D,"")</f>
        <v/>
      </c>
      <c r="AU56" s="77"/>
      <c r="AV56" s="78" t="str">
        <f t="array" ref="AV56">XLOOKUP(AT48,'食譜'!$B:$B,'食譜'!$Q:$Q,"")</f>
        <v/>
      </c>
      <c r="AW56" s="74"/>
      <c r="AX56" s="76" t="str">
        <f t="array" ref="AX56">XLOOKUP(XLOOKUP(AX48,'食譜'!$B:$B,'食譜'!$P:$P,""),'食材'!$B:$B,'食材'!$D:$D,"")</f>
        <v/>
      </c>
      <c r="AY56" s="77"/>
      <c r="AZ56" s="78" t="str">
        <f t="array" ref="AZ56">XLOOKUP(AX48,'食譜'!$B:$B,'食譜'!$Q:$Q,"")</f>
        <v/>
      </c>
      <c r="BA56" s="74"/>
      <c r="BB56" s="76" t="str">
        <f t="array" ref="BB56">XLOOKUP(XLOOKUP(BB48,'食譜'!$B:$B,'食譜'!$P:$P,""),'食材'!$B:$B,'食材'!$D:$D,"")</f>
        <v/>
      </c>
      <c r="BC56" s="77"/>
      <c r="BD56" s="78">
        <f t="array" ref="BD56">XLOOKUP(BB48,'食譜'!$B:$B,'食譜'!$Q:$Q,"")</f>
        <v>7</v>
      </c>
      <c r="BE56" s="74"/>
      <c r="BF56" s="76" t="str">
        <f t="array" ref="BF56">XLOOKUP(XLOOKUP(BF48,'食譜'!$B:$B,'食譜'!$P:$P,""),'食材'!$B:$B,'食材'!$D:$D,"")</f>
        <v/>
      </c>
      <c r="BG56" s="77"/>
      <c r="BH56" s="78">
        <f t="array" ref="BH56">XLOOKUP(BF48,'食譜'!$B:$B,'食譜'!$Q:$Q,"")</f>
        <v>4</v>
      </c>
      <c r="BI56" s="74"/>
      <c r="BJ56" s="76" t="str">
        <f t="array" ref="BJ56">XLOOKUP(XLOOKUP(BJ48,'食譜'!$B:$B,'食譜'!$P:$P,""),'食材'!$B:$B,'食材'!$D:$D,"")</f>
        <v/>
      </c>
      <c r="BK56" s="77"/>
      <c r="BL56" s="78" t="str">
        <f t="array" ref="BL56">XLOOKUP(BJ48,'食譜'!$B:$B,'食譜'!$Q:$Q,"")</f>
        <v/>
      </c>
      <c r="BM56" s="74"/>
      <c r="BN56" s="76" t="str">
        <f t="array" ref="BN56">XLOOKUP(XLOOKUP(BN48,'食譜'!$B:$B,'食譜'!$P:$P,""),'食材'!$B:$B,'食材'!$D:$D,"")</f>
        <v/>
      </c>
      <c r="BO56" s="77"/>
      <c r="BP56" s="78" t="str">
        <f t="array" ref="BP56">XLOOKUP(BN48,'食譜'!$B:$B,'食譜'!$Q:$Q,"")</f>
        <v/>
      </c>
      <c r="BQ56" s="74"/>
      <c r="BR56" s="76" t="str">
        <f t="array" ref="BR56">XLOOKUP(XLOOKUP(BR48,'食譜'!$B:$B,'食譜'!$P:$P,""),'食材'!$B:$B,'食材'!$D:$D,"")</f>
        <v/>
      </c>
      <c r="BS56" s="77"/>
      <c r="BT56" s="78" t="str">
        <f t="array" ref="BT56">XLOOKUP(BR48,'食譜'!$B:$B,'食譜'!$Q:$Q,"")</f>
        <v/>
      </c>
      <c r="BU56" s="74"/>
      <c r="BV56" s="76" t="str">
        <f t="array" ref="BV56">XLOOKUP(XLOOKUP(BV48,'食譜'!$B:$B,'食譜'!$P:$P,""),'食材'!$B:$B,'食材'!$D:$D,"")</f>
        <v/>
      </c>
      <c r="BW56" s="77"/>
      <c r="BX56" s="78" t="str">
        <f t="array" ref="BX56">XLOOKUP(BV48,'食譜'!$B:$B,'食譜'!$Q:$Q,"")</f>
        <v/>
      </c>
      <c r="BY56" s="74"/>
      <c r="BZ56" s="76" t="str">
        <f t="array" ref="BZ56">XLOOKUP(XLOOKUP(BZ48,'食譜'!$B:$B,'食譜'!$P:$P,""),'食材'!$B:$B,'食材'!$D:$D,"")</f>
        <v/>
      </c>
      <c r="CA56" s="77"/>
      <c r="CB56" s="78" t="str">
        <f t="array" ref="CB56">XLOOKUP(BZ48,'食譜'!$B:$B,'食譜'!$Q:$Q,"")</f>
        <v/>
      </c>
      <c r="CC56" s="74"/>
      <c r="CD56" s="76" t="str">
        <f t="array" ref="CD56">XLOOKUP(XLOOKUP(CD48,'食譜'!$B:$B,'食譜'!$P:$P,""),'食材'!$B:$B,'食材'!$D:$D,"")</f>
        <v/>
      </c>
      <c r="CE56" s="77"/>
      <c r="CF56" s="78">
        <f t="array" ref="CF56">XLOOKUP(CD48,'食譜'!$B:$B,'食譜'!$Q:$Q,"")</f>
        <v>10</v>
      </c>
      <c r="CG56" s="74"/>
      <c r="CH56" s="76" t="str">
        <f t="array" ref="CH56">XLOOKUP(XLOOKUP(CH48,'食譜'!$B:$B,'食譜'!$P:$P,""),'食材'!$B:$B,'食材'!$D:$D,"")</f>
        <v/>
      </c>
      <c r="CI56" s="77"/>
      <c r="CJ56" s="78" t="str">
        <f t="array" ref="CJ56">XLOOKUP(CH48,'食譜'!$B:$B,'食譜'!$Q:$Q,"")</f>
        <v/>
      </c>
      <c r="CK56" s="74"/>
      <c r="CL56" s="76" t="str">
        <f t="array" ref="CL56">XLOOKUP(XLOOKUP(CL48,'食譜'!$B:$B,'食譜'!$P:$P,""),'食材'!$B:$B,'食材'!$D:$D,"")</f>
        <v/>
      </c>
      <c r="CM56" s="77"/>
      <c r="CN56" s="78">
        <f t="array" ref="CN56">XLOOKUP(CL48,'食譜'!$B:$B,'食譜'!$Q:$Q,"")</f>
        <v>9</v>
      </c>
      <c r="CO56" s="74"/>
      <c r="CP56" s="76" t="str">
        <f t="array" ref="CP56">XLOOKUP(XLOOKUP(CP48,'食譜'!$B:$B,'食譜'!$P:$P,""),'食材'!$B:$B,'食材'!$D:$D,"")</f>
        <v/>
      </c>
      <c r="CQ56" s="77"/>
      <c r="CR56" s="78">
        <f t="array" ref="CR56">XLOOKUP(CP48,'食譜'!$B:$B,'食譜'!$Q:$Q,"")</f>
        <v>10</v>
      </c>
      <c r="CS56" s="74"/>
      <c r="CT56" s="76" t="str">
        <f t="array" ref="CT56">XLOOKUP(XLOOKUP(CT48,'食譜'!$B:$B,'食譜'!$P:$P,""),'食材'!$B:$B,'食材'!$D:$D,"")</f>
        <v/>
      </c>
      <c r="CU56" s="77"/>
      <c r="CV56" s="78">
        <f t="array" ref="CV56">XLOOKUP(CT48,'食譜'!$B:$B,'食譜'!$Q:$Q,"")</f>
        <v>12</v>
      </c>
      <c r="CW56" s="74"/>
      <c r="CX56" s="76" t="str">
        <f t="array" ref="CX56">XLOOKUP(XLOOKUP(CX48,'食譜'!$B:$B,'食譜'!$P:$P,""),'食材'!$B:$B,'食材'!$D:$D,"")</f>
        <v/>
      </c>
      <c r="CY56" s="77"/>
      <c r="CZ56" s="78">
        <f t="array" ref="CZ56">XLOOKUP(CX48,'食譜'!$B:$B,'食譜'!$Q:$Q,"")</f>
        <v>22</v>
      </c>
      <c r="DA56" s="74"/>
      <c r="DB56" s="76" t="str">
        <f t="array" ref="DB56">XLOOKUP(XLOOKUP(DB48,'食譜'!$B:$B,'食譜'!$P:$P,""),'食材'!$B:$B,'食材'!$D:$D,"")</f>
        <v/>
      </c>
      <c r="DC56" s="77"/>
      <c r="DD56" s="78">
        <f t="array" ref="DD56">XLOOKUP(DB48,'食譜'!$B:$B,'食譜'!$Q:$Q,"")</f>
        <v>29</v>
      </c>
      <c r="DE56" s="74"/>
      <c r="DF56" s="76" t="str">
        <f t="array" ref="DF56">XLOOKUP(XLOOKUP(DF48,'食譜'!$B:$B,'食譜'!$P:$P,""),'食材'!$B:$B,'食材'!$D:$D,"")</f>
        <v/>
      </c>
      <c r="DG56" s="77"/>
      <c r="DH56" s="78">
        <f t="array" ref="DH56">XLOOKUP(DF48,'食譜'!$B:$B,'食譜'!$Q:$Q,"")</f>
        <v>21</v>
      </c>
      <c r="DI56" s="74"/>
      <c r="DJ56" s="1"/>
      <c r="DK56" s="1"/>
      <c r="DL56" s="1"/>
      <c r="DM56" s="1"/>
      <c r="DN56" s="13"/>
      <c r="DO56" s="1"/>
      <c r="DP56" s="1"/>
      <c r="DQ56" s="1"/>
      <c r="DR56" s="1"/>
    </row>
    <row r="57" ht="15.0" customHeight="1">
      <c r="A57" s="1"/>
      <c r="B57" s="14"/>
      <c r="E57" s="15"/>
      <c r="F57" s="66"/>
      <c r="G57" s="79"/>
      <c r="H57" s="80"/>
      <c r="I57" s="68"/>
      <c r="J57" s="66"/>
      <c r="K57" s="79"/>
      <c r="L57" s="80"/>
      <c r="M57" s="68"/>
      <c r="N57" s="66"/>
      <c r="O57" s="79"/>
      <c r="P57" s="80"/>
      <c r="Q57" s="68"/>
      <c r="R57" s="66"/>
      <c r="S57" s="79"/>
      <c r="T57" s="80"/>
      <c r="U57" s="68"/>
      <c r="V57" s="66"/>
      <c r="W57" s="79"/>
      <c r="X57" s="80"/>
      <c r="Y57" s="68"/>
      <c r="Z57" s="66"/>
      <c r="AA57" s="79"/>
      <c r="AB57" s="80"/>
      <c r="AC57" s="68"/>
      <c r="AD57" s="66"/>
      <c r="AE57" s="79"/>
      <c r="AF57" s="80"/>
      <c r="AG57" s="68"/>
      <c r="AH57" s="66"/>
      <c r="AI57" s="79"/>
      <c r="AJ57" s="80"/>
      <c r="AK57" s="68"/>
      <c r="AL57" s="66"/>
      <c r="AM57" s="79"/>
      <c r="AN57" s="80"/>
      <c r="AO57" s="68"/>
      <c r="AP57" s="66"/>
      <c r="AQ57" s="79"/>
      <c r="AR57" s="80"/>
      <c r="AS57" s="68"/>
      <c r="AT57" s="66"/>
      <c r="AU57" s="79"/>
      <c r="AV57" s="80"/>
      <c r="AW57" s="68"/>
      <c r="AX57" s="66"/>
      <c r="AY57" s="79"/>
      <c r="AZ57" s="80"/>
      <c r="BA57" s="68"/>
      <c r="BB57" s="66"/>
      <c r="BC57" s="79"/>
      <c r="BD57" s="80"/>
      <c r="BE57" s="68"/>
      <c r="BF57" s="66"/>
      <c r="BG57" s="79"/>
      <c r="BH57" s="80"/>
      <c r="BI57" s="68"/>
      <c r="BJ57" s="66"/>
      <c r="BK57" s="79"/>
      <c r="BL57" s="80"/>
      <c r="BM57" s="68"/>
      <c r="BN57" s="66"/>
      <c r="BO57" s="79"/>
      <c r="BP57" s="80"/>
      <c r="BQ57" s="68"/>
      <c r="BR57" s="66"/>
      <c r="BS57" s="79"/>
      <c r="BT57" s="80"/>
      <c r="BU57" s="68"/>
      <c r="BV57" s="66"/>
      <c r="BW57" s="79"/>
      <c r="BX57" s="80"/>
      <c r="BY57" s="68"/>
      <c r="BZ57" s="66"/>
      <c r="CA57" s="79"/>
      <c r="CB57" s="80"/>
      <c r="CC57" s="68"/>
      <c r="CD57" s="66"/>
      <c r="CE57" s="79"/>
      <c r="CF57" s="80"/>
      <c r="CG57" s="68"/>
      <c r="CH57" s="66"/>
      <c r="CI57" s="79"/>
      <c r="CJ57" s="80"/>
      <c r="CK57" s="68"/>
      <c r="CL57" s="66"/>
      <c r="CM57" s="79"/>
      <c r="CN57" s="80"/>
      <c r="CO57" s="68"/>
      <c r="CP57" s="66"/>
      <c r="CQ57" s="79"/>
      <c r="CR57" s="80"/>
      <c r="CS57" s="68"/>
      <c r="CT57" s="66"/>
      <c r="CU57" s="79"/>
      <c r="CV57" s="80"/>
      <c r="CW57" s="68"/>
      <c r="CX57" s="66"/>
      <c r="CY57" s="79"/>
      <c r="CZ57" s="80"/>
      <c r="DA57" s="68"/>
      <c r="DB57" s="66"/>
      <c r="DC57" s="79"/>
      <c r="DD57" s="80"/>
      <c r="DE57" s="68"/>
      <c r="DF57" s="66"/>
      <c r="DG57" s="79"/>
      <c r="DH57" s="80"/>
      <c r="DI57" s="68"/>
      <c r="DJ57" s="1"/>
      <c r="DK57" s="1"/>
      <c r="DL57" s="1"/>
      <c r="DM57" s="1"/>
      <c r="DN57" s="13"/>
      <c r="DO57" s="1"/>
      <c r="DP57" s="1"/>
      <c r="DQ57" s="1"/>
      <c r="DR57" s="1"/>
    </row>
    <row r="58" ht="15.0" customHeight="1">
      <c r="A58" s="1"/>
      <c r="B58" s="14"/>
      <c r="E58" s="15"/>
      <c r="F58" s="81">
        <f t="array" ref="F58">XLOOKUP(F48,'食譜'!$B:$B,'食譜'!$D:$D,"")</f>
        <v>7</v>
      </c>
      <c r="G58" s="73"/>
      <c r="H58" s="73"/>
      <c r="I58" s="74"/>
      <c r="J58" s="81">
        <f t="array" ref="J58">XLOOKUP(J48,'食譜'!$B:$B,'食譜'!$D:$D,"")</f>
        <v>8</v>
      </c>
      <c r="K58" s="73"/>
      <c r="L58" s="73"/>
      <c r="M58" s="74"/>
      <c r="N58" s="81">
        <f t="array" ref="N58">XLOOKUP(N48,'食譜'!$B:$B,'食譜'!$D:$D,"")</f>
        <v>9</v>
      </c>
      <c r="O58" s="73"/>
      <c r="P58" s="73"/>
      <c r="Q58" s="74"/>
      <c r="R58" s="81">
        <f t="array" ref="R58">XLOOKUP(R48,'食譜'!$B:$B,'食譜'!$D:$D,"")</f>
        <v>16</v>
      </c>
      <c r="S58" s="73"/>
      <c r="T58" s="73"/>
      <c r="U58" s="74"/>
      <c r="V58" s="81">
        <f t="array" ref="V58">XLOOKUP(V48,'食譜'!$B:$B,'食譜'!$D:$D,"")</f>
        <v>14</v>
      </c>
      <c r="W58" s="73"/>
      <c r="X58" s="73"/>
      <c r="Y58" s="74"/>
      <c r="Z58" s="81">
        <f t="array" ref="Z58">XLOOKUP(Z48,'食譜'!$B:$B,'食譜'!$D:$D,"")</f>
        <v>16</v>
      </c>
      <c r="AA58" s="73"/>
      <c r="AB58" s="73"/>
      <c r="AC58" s="74"/>
      <c r="AD58" s="81">
        <f t="array" ref="AD58">XLOOKUP(AD48,'食譜'!$B:$B,'食譜'!$D:$D,"")</f>
        <v>15</v>
      </c>
      <c r="AE58" s="73"/>
      <c r="AF58" s="73"/>
      <c r="AG58" s="74"/>
      <c r="AH58" s="81">
        <f t="array" ref="AH58">XLOOKUP(AH48,'食譜'!$B:$B,'食譜'!$D:$D,"")</f>
        <v>16</v>
      </c>
      <c r="AI58" s="73"/>
      <c r="AJ58" s="73"/>
      <c r="AK58" s="74"/>
      <c r="AL58" s="81">
        <f t="array" ref="AL58">XLOOKUP(AL48,'食譜'!$B:$B,'食譜'!$D:$D,"")</f>
        <v>23</v>
      </c>
      <c r="AM58" s="73"/>
      <c r="AN58" s="73"/>
      <c r="AO58" s="74"/>
      <c r="AP58" s="81">
        <f t="array" ref="AP58">XLOOKUP(AP48,'食譜'!$B:$B,'食譜'!$D:$D,"")</f>
        <v>23</v>
      </c>
      <c r="AQ58" s="73"/>
      <c r="AR58" s="73"/>
      <c r="AS58" s="74"/>
      <c r="AT58" s="81">
        <f t="array" ref="AT58">XLOOKUP(AT48,'食譜'!$B:$B,'食譜'!$D:$D,"")</f>
        <v>22</v>
      </c>
      <c r="AU58" s="73"/>
      <c r="AV58" s="73"/>
      <c r="AW58" s="74"/>
      <c r="AX58" s="81">
        <f t="array" ref="AX58">XLOOKUP(AX48,'食譜'!$B:$B,'食譜'!$D:$D,"")</f>
        <v>24</v>
      </c>
      <c r="AY58" s="73"/>
      <c r="AZ58" s="73"/>
      <c r="BA58" s="74"/>
      <c r="BB58" s="81">
        <f t="array" ref="BB58">XLOOKUP(BB48,'食譜'!$B:$B,'食譜'!$D:$D,"")</f>
        <v>35</v>
      </c>
      <c r="BC58" s="73"/>
      <c r="BD58" s="73"/>
      <c r="BE58" s="74"/>
      <c r="BF58" s="81">
        <f t="array" ref="BF58">XLOOKUP(BF48,'食譜'!$B:$B,'食譜'!$D:$D,"")</f>
        <v>35</v>
      </c>
      <c r="BG58" s="73"/>
      <c r="BH58" s="73"/>
      <c r="BI58" s="74"/>
      <c r="BJ58" s="81">
        <f t="array" ref="BJ58">XLOOKUP(BJ48,'食譜'!$B:$B,'食譜'!$D:$D,"")</f>
        <v>35</v>
      </c>
      <c r="BK58" s="73"/>
      <c r="BL58" s="73"/>
      <c r="BM58" s="74"/>
      <c r="BN58" s="81">
        <f t="array" ref="BN58">XLOOKUP(BN48,'食譜'!$B:$B,'食譜'!$D:$D,"")</f>
        <v>35</v>
      </c>
      <c r="BO58" s="73"/>
      <c r="BP58" s="73"/>
      <c r="BQ58" s="74"/>
      <c r="BR58" s="81">
        <f t="array" ref="BR58">XLOOKUP(BR48,'食譜'!$B:$B,'食譜'!$D:$D,"")</f>
        <v>36</v>
      </c>
      <c r="BS58" s="73"/>
      <c r="BT58" s="73"/>
      <c r="BU58" s="74"/>
      <c r="BV58" s="81">
        <f t="array" ref="BV58">XLOOKUP(BV48,'食譜'!$B:$B,'食譜'!$D:$D,"")</f>
        <v>42</v>
      </c>
      <c r="BW58" s="73"/>
      <c r="BX58" s="73"/>
      <c r="BY58" s="74"/>
      <c r="BZ58" s="81">
        <f t="array" ref="BZ58">XLOOKUP(BZ48,'食譜'!$B:$B,'食譜'!$D:$D,"")</f>
        <v>40</v>
      </c>
      <c r="CA58" s="73"/>
      <c r="CB58" s="73"/>
      <c r="CC58" s="74"/>
      <c r="CD58" s="81">
        <f t="array" ref="CD58">XLOOKUP(CD48,'食譜'!$B:$B,'食譜'!$D:$D,"")</f>
        <v>55</v>
      </c>
      <c r="CE58" s="73"/>
      <c r="CF58" s="73"/>
      <c r="CG58" s="74"/>
      <c r="CH58" s="81">
        <f t="array" ref="CH58">XLOOKUP(CH48,'食譜'!$B:$B,'食譜'!$D:$D,"")</f>
        <v>48</v>
      </c>
      <c r="CI58" s="73"/>
      <c r="CJ58" s="73"/>
      <c r="CK58" s="74"/>
      <c r="CL58" s="81">
        <f t="array" ref="CL58">XLOOKUP(CL48,'食譜'!$B:$B,'食譜'!$D:$D,"")</f>
        <v>67</v>
      </c>
      <c r="CM58" s="73"/>
      <c r="CN58" s="73"/>
      <c r="CO58" s="74"/>
      <c r="CP58" s="81">
        <f t="array" ref="CP58">XLOOKUP(CP48,'食譜'!$B:$B,'食譜'!$D:$D,"")</f>
        <v>77</v>
      </c>
      <c r="CQ58" s="73"/>
      <c r="CR58" s="73"/>
      <c r="CS58" s="74"/>
      <c r="CT58" s="81">
        <f t="array" ref="CT58">XLOOKUP(CT48,'食譜'!$B:$B,'食譜'!$D:$D,"")</f>
        <v>87</v>
      </c>
      <c r="CU58" s="73"/>
      <c r="CV58" s="73"/>
      <c r="CW58" s="74"/>
      <c r="CX58" s="81">
        <f t="array" ref="CX58">XLOOKUP(CX48,'食譜'!$B:$B,'食譜'!$D:$D,"")</f>
        <v>102</v>
      </c>
      <c r="CY58" s="73"/>
      <c r="CZ58" s="73"/>
      <c r="DA58" s="74"/>
      <c r="DB58" s="81">
        <f t="array" ref="DB58">XLOOKUP(DB48,'食譜'!$B:$B,'食譜'!$D:$D,"")</f>
        <v>103</v>
      </c>
      <c r="DC58" s="73"/>
      <c r="DD58" s="73"/>
      <c r="DE58" s="74"/>
      <c r="DF58" s="81">
        <f t="array" ref="DF58">XLOOKUP(DF48,'食譜'!$B:$B,'食譜'!$D:$D,"")</f>
        <v>115</v>
      </c>
      <c r="DG58" s="73"/>
      <c r="DH58" s="73"/>
      <c r="DI58" s="74"/>
      <c r="DJ58" s="1"/>
      <c r="DK58" s="1"/>
      <c r="DL58" s="1"/>
      <c r="DM58" s="1"/>
      <c r="DN58" s="13"/>
      <c r="DO58" s="1"/>
      <c r="DP58" s="1"/>
      <c r="DQ58" s="1"/>
      <c r="DR58" s="1"/>
    </row>
    <row r="59" ht="15.0" customHeight="1">
      <c r="A59" s="1"/>
      <c r="B59" s="66"/>
      <c r="C59" s="67"/>
      <c r="D59" s="67"/>
      <c r="E59" s="68"/>
      <c r="F59" s="38"/>
      <c r="G59" s="39"/>
      <c r="H59" s="39"/>
      <c r="I59" s="40"/>
      <c r="J59" s="38"/>
      <c r="K59" s="39"/>
      <c r="L59" s="39"/>
      <c r="M59" s="40"/>
      <c r="N59" s="38"/>
      <c r="O59" s="39"/>
      <c r="P59" s="39"/>
      <c r="Q59" s="40"/>
      <c r="R59" s="38"/>
      <c r="S59" s="39"/>
      <c r="T59" s="39"/>
      <c r="U59" s="40"/>
      <c r="V59" s="38"/>
      <c r="W59" s="39"/>
      <c r="X59" s="39"/>
      <c r="Y59" s="40"/>
      <c r="Z59" s="38"/>
      <c r="AA59" s="39"/>
      <c r="AB59" s="39"/>
      <c r="AC59" s="40"/>
      <c r="AD59" s="38"/>
      <c r="AE59" s="39"/>
      <c r="AF59" s="39"/>
      <c r="AG59" s="40"/>
      <c r="AH59" s="38"/>
      <c r="AI59" s="39"/>
      <c r="AJ59" s="39"/>
      <c r="AK59" s="40"/>
      <c r="AL59" s="38"/>
      <c r="AM59" s="39"/>
      <c r="AN59" s="39"/>
      <c r="AO59" s="40"/>
      <c r="AP59" s="38"/>
      <c r="AQ59" s="39"/>
      <c r="AR59" s="39"/>
      <c r="AS59" s="40"/>
      <c r="AT59" s="38"/>
      <c r="AU59" s="39"/>
      <c r="AV59" s="39"/>
      <c r="AW59" s="40"/>
      <c r="AX59" s="38"/>
      <c r="AY59" s="39"/>
      <c r="AZ59" s="39"/>
      <c r="BA59" s="40"/>
      <c r="BB59" s="38"/>
      <c r="BC59" s="39"/>
      <c r="BD59" s="39"/>
      <c r="BE59" s="40"/>
      <c r="BF59" s="38"/>
      <c r="BG59" s="39"/>
      <c r="BH59" s="39"/>
      <c r="BI59" s="40"/>
      <c r="BJ59" s="38"/>
      <c r="BK59" s="39"/>
      <c r="BL59" s="39"/>
      <c r="BM59" s="40"/>
      <c r="BN59" s="38"/>
      <c r="BO59" s="39"/>
      <c r="BP59" s="39"/>
      <c r="BQ59" s="40"/>
      <c r="BR59" s="38"/>
      <c r="BS59" s="39"/>
      <c r="BT59" s="39"/>
      <c r="BU59" s="40"/>
      <c r="BV59" s="38"/>
      <c r="BW59" s="39"/>
      <c r="BX59" s="39"/>
      <c r="BY59" s="40"/>
      <c r="BZ59" s="38"/>
      <c r="CA59" s="39"/>
      <c r="CB59" s="39"/>
      <c r="CC59" s="40"/>
      <c r="CD59" s="38"/>
      <c r="CE59" s="39"/>
      <c r="CF59" s="39"/>
      <c r="CG59" s="40"/>
      <c r="CH59" s="38"/>
      <c r="CI59" s="39"/>
      <c r="CJ59" s="39"/>
      <c r="CK59" s="40"/>
      <c r="CL59" s="38"/>
      <c r="CM59" s="39"/>
      <c r="CN59" s="39"/>
      <c r="CO59" s="40"/>
      <c r="CP59" s="38"/>
      <c r="CQ59" s="39"/>
      <c r="CR59" s="39"/>
      <c r="CS59" s="40"/>
      <c r="CT59" s="38"/>
      <c r="CU59" s="39"/>
      <c r="CV59" s="39"/>
      <c r="CW59" s="40"/>
      <c r="CX59" s="38"/>
      <c r="CY59" s="39"/>
      <c r="CZ59" s="39"/>
      <c r="DA59" s="40"/>
      <c r="DB59" s="38"/>
      <c r="DC59" s="39"/>
      <c r="DD59" s="39"/>
      <c r="DE59" s="40"/>
      <c r="DF59" s="38"/>
      <c r="DG59" s="39"/>
      <c r="DH59" s="39"/>
      <c r="DI59" s="40"/>
      <c r="DJ59" s="1"/>
      <c r="DK59" s="1"/>
      <c r="DL59" s="1"/>
      <c r="DM59" s="1"/>
      <c r="DN59" s="13"/>
      <c r="DO59" s="1"/>
      <c r="DP59" s="1"/>
      <c r="DQ59" s="1"/>
      <c r="DR59" s="1"/>
    </row>
    <row r="60" ht="15.0" customHeight="1">
      <c r="A60" s="1"/>
      <c r="B60" s="41"/>
      <c r="C60" s="41"/>
      <c r="D60" s="41"/>
      <c r="E60" s="41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3"/>
      <c r="CY60" s="43"/>
      <c r="CZ60" s="43"/>
      <c r="DA60" s="43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</row>
  </sheetData>
  <mergeCells count="1048">
    <mergeCell ref="BB14:BC15"/>
    <mergeCell ref="BD14:BE15"/>
    <mergeCell ref="AN14:AO15"/>
    <mergeCell ref="AP14:AQ15"/>
    <mergeCell ref="AR14:AS15"/>
    <mergeCell ref="AT14:AU15"/>
    <mergeCell ref="AV14:AW15"/>
    <mergeCell ref="AX14:AY15"/>
    <mergeCell ref="AZ14:BA15"/>
    <mergeCell ref="V12:W13"/>
    <mergeCell ref="X12:Y13"/>
    <mergeCell ref="Z12:AA13"/>
    <mergeCell ref="AB12:AC13"/>
    <mergeCell ref="F14:G15"/>
    <mergeCell ref="H14:I15"/>
    <mergeCell ref="J14:K15"/>
    <mergeCell ref="L14:M15"/>
    <mergeCell ref="N14:O15"/>
    <mergeCell ref="P14:Q15"/>
    <mergeCell ref="R14:S15"/>
    <mergeCell ref="T14:U15"/>
    <mergeCell ref="V14:W15"/>
    <mergeCell ref="X14:Y15"/>
    <mergeCell ref="AD14:AE15"/>
    <mergeCell ref="AF14:AG15"/>
    <mergeCell ref="AH14:AI15"/>
    <mergeCell ref="AJ14:AK15"/>
    <mergeCell ref="AL14:AM15"/>
    <mergeCell ref="V5:Y7"/>
    <mergeCell ref="Z5:AC7"/>
    <mergeCell ref="F18:I19"/>
    <mergeCell ref="J18:M19"/>
    <mergeCell ref="N18:Q19"/>
    <mergeCell ref="R18:U19"/>
    <mergeCell ref="V18:Y19"/>
    <mergeCell ref="Z18:AC19"/>
    <mergeCell ref="B2:E19"/>
    <mergeCell ref="F2:I3"/>
    <mergeCell ref="J2:M3"/>
    <mergeCell ref="N2:Q3"/>
    <mergeCell ref="R2:U3"/>
    <mergeCell ref="V2:Y3"/>
    <mergeCell ref="Z2:AC3"/>
    <mergeCell ref="AN16:AO17"/>
    <mergeCell ref="AP16:AQ17"/>
    <mergeCell ref="AR16:AS17"/>
    <mergeCell ref="AT16:AU17"/>
    <mergeCell ref="AV16:AW17"/>
    <mergeCell ref="AX16:AY17"/>
    <mergeCell ref="AZ16:BA17"/>
    <mergeCell ref="BB16:BC17"/>
    <mergeCell ref="BD16:BE17"/>
    <mergeCell ref="BF16:BG17"/>
    <mergeCell ref="BH16:BI17"/>
    <mergeCell ref="BJ16:BK17"/>
    <mergeCell ref="BL16:BM17"/>
    <mergeCell ref="BN16:BO17"/>
    <mergeCell ref="CD16:CE17"/>
    <mergeCell ref="CF16:CG17"/>
    <mergeCell ref="CH16:CI17"/>
    <mergeCell ref="CJ16:CK17"/>
    <mergeCell ref="CL16:CM17"/>
    <mergeCell ref="CN16:CO17"/>
    <mergeCell ref="CP16:CQ17"/>
    <mergeCell ref="CR16:CS17"/>
    <mergeCell ref="BP16:BQ17"/>
    <mergeCell ref="BR16:BS17"/>
    <mergeCell ref="BT16:BU17"/>
    <mergeCell ref="BV16:BW17"/>
    <mergeCell ref="BX16:BY17"/>
    <mergeCell ref="BZ16:CA17"/>
    <mergeCell ref="CB16:CC17"/>
    <mergeCell ref="AD18:AG19"/>
    <mergeCell ref="AH18:AK19"/>
    <mergeCell ref="AL18:AO19"/>
    <mergeCell ref="AP18:AS19"/>
    <mergeCell ref="AT18:AW19"/>
    <mergeCell ref="AX18:BA19"/>
    <mergeCell ref="BB18:BE19"/>
    <mergeCell ref="CH18:CK19"/>
    <mergeCell ref="CL18:CO19"/>
    <mergeCell ref="CP18:CS19"/>
    <mergeCell ref="BF18:BI19"/>
    <mergeCell ref="BJ18:BM19"/>
    <mergeCell ref="BN18:BQ19"/>
    <mergeCell ref="BR18:BU19"/>
    <mergeCell ref="BV18:BY19"/>
    <mergeCell ref="BZ18:CC19"/>
    <mergeCell ref="CD18:CG19"/>
    <mergeCell ref="Z14:AA15"/>
    <mergeCell ref="AB14:AC15"/>
    <mergeCell ref="F16:G17"/>
    <mergeCell ref="H16:I17"/>
    <mergeCell ref="J16:K17"/>
    <mergeCell ref="L16:M17"/>
    <mergeCell ref="N16:O17"/>
    <mergeCell ref="P16:Q17"/>
    <mergeCell ref="R16:S17"/>
    <mergeCell ref="T16:U17"/>
    <mergeCell ref="V16:W17"/>
    <mergeCell ref="X16:Y17"/>
    <mergeCell ref="Z16:AA17"/>
    <mergeCell ref="AB16:AC17"/>
    <mergeCell ref="AD16:AE17"/>
    <mergeCell ref="AF16:AG17"/>
    <mergeCell ref="AH16:AI17"/>
    <mergeCell ref="AJ16:AK17"/>
    <mergeCell ref="AL16:AM17"/>
    <mergeCell ref="BZ4:CC4"/>
    <mergeCell ref="CD4:CG4"/>
    <mergeCell ref="AX4:BA4"/>
    <mergeCell ref="BB4:BE4"/>
    <mergeCell ref="BF4:BI4"/>
    <mergeCell ref="BJ4:BM4"/>
    <mergeCell ref="BN4:BQ4"/>
    <mergeCell ref="BR4:BU4"/>
    <mergeCell ref="BV4:BY4"/>
    <mergeCell ref="CL4:CO4"/>
    <mergeCell ref="CP4:CS4"/>
    <mergeCell ref="CH2:CK3"/>
    <mergeCell ref="CL2:CO3"/>
    <mergeCell ref="CP2:CS3"/>
    <mergeCell ref="DG2:DH3"/>
    <mergeCell ref="DI2:DJ3"/>
    <mergeCell ref="DK2:DQ3"/>
    <mergeCell ref="CH4:CK4"/>
    <mergeCell ref="DK4:DQ5"/>
    <mergeCell ref="BZ5:CC7"/>
    <mergeCell ref="CD5:CG7"/>
    <mergeCell ref="AX5:BA7"/>
    <mergeCell ref="BB5:BE7"/>
    <mergeCell ref="BF5:BI7"/>
    <mergeCell ref="BJ5:BM7"/>
    <mergeCell ref="BN5:BQ7"/>
    <mergeCell ref="BR5:BU7"/>
    <mergeCell ref="BV5:BY7"/>
    <mergeCell ref="BZ8:CC9"/>
    <mergeCell ref="CD8:CG9"/>
    <mergeCell ref="CH8:CK9"/>
    <mergeCell ref="CL8:CO9"/>
    <mergeCell ref="CP8:CS9"/>
    <mergeCell ref="DG8:DH9"/>
    <mergeCell ref="DI8:DJ9"/>
    <mergeCell ref="DK8:DQ9"/>
    <mergeCell ref="AX8:BA9"/>
    <mergeCell ref="BB8:BE9"/>
    <mergeCell ref="BF8:BI9"/>
    <mergeCell ref="BJ8:BM9"/>
    <mergeCell ref="BN8:BQ9"/>
    <mergeCell ref="BR8:BU9"/>
    <mergeCell ref="BV8:BY9"/>
    <mergeCell ref="AD2:AG3"/>
    <mergeCell ref="AH2:AK3"/>
    <mergeCell ref="AL2:AO3"/>
    <mergeCell ref="AP2:AS3"/>
    <mergeCell ref="AT2:AW3"/>
    <mergeCell ref="AX2:BA3"/>
    <mergeCell ref="BB2:BE3"/>
    <mergeCell ref="BF2:BI3"/>
    <mergeCell ref="BJ2:BM3"/>
    <mergeCell ref="BN2:BQ3"/>
    <mergeCell ref="BR2:BU3"/>
    <mergeCell ref="BV2:BY3"/>
    <mergeCell ref="BZ2:CC3"/>
    <mergeCell ref="CD2:CG3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DG4:DH5"/>
    <mergeCell ref="DI4:DJ5"/>
    <mergeCell ref="CH5:CK7"/>
    <mergeCell ref="CL5:CO7"/>
    <mergeCell ref="CP5:CS7"/>
    <mergeCell ref="DG6:DH7"/>
    <mergeCell ref="DI6:DJ7"/>
    <mergeCell ref="DK6:DQ7"/>
    <mergeCell ref="F5:I7"/>
    <mergeCell ref="J5:M7"/>
    <mergeCell ref="AD5:AG7"/>
    <mergeCell ref="AH5:AK7"/>
    <mergeCell ref="AL5:AO7"/>
    <mergeCell ref="AP5:AS7"/>
    <mergeCell ref="AT5:AW7"/>
    <mergeCell ref="AN10:AO11"/>
    <mergeCell ref="AP10:AQ11"/>
    <mergeCell ref="AR10:AS11"/>
    <mergeCell ref="AT10:AU11"/>
    <mergeCell ref="AV10:AW11"/>
    <mergeCell ref="AX10:AY11"/>
    <mergeCell ref="AZ10:BA11"/>
    <mergeCell ref="BB10:BC11"/>
    <mergeCell ref="BD10:BE11"/>
    <mergeCell ref="BF10:BG11"/>
    <mergeCell ref="BH10:BI11"/>
    <mergeCell ref="BJ10:BK11"/>
    <mergeCell ref="BL10:BM11"/>
    <mergeCell ref="BN10:BO11"/>
    <mergeCell ref="BP10:BQ11"/>
    <mergeCell ref="BR10:BS11"/>
    <mergeCell ref="BT10:BU11"/>
    <mergeCell ref="BV10:BW11"/>
    <mergeCell ref="BX10:BY11"/>
    <mergeCell ref="BZ10:CA11"/>
    <mergeCell ref="CB10:CC11"/>
    <mergeCell ref="CR10:CS11"/>
    <mergeCell ref="DG10:DH11"/>
    <mergeCell ref="DI10:DJ11"/>
    <mergeCell ref="DK10:DQ11"/>
    <mergeCell ref="CD10:CE11"/>
    <mergeCell ref="CF10:CG11"/>
    <mergeCell ref="CH10:CI11"/>
    <mergeCell ref="CJ10:CK11"/>
    <mergeCell ref="CL10:CM11"/>
    <mergeCell ref="CN10:CO11"/>
    <mergeCell ref="CP10:CQ11"/>
    <mergeCell ref="CH14:CI15"/>
    <mergeCell ref="CJ14:CK15"/>
    <mergeCell ref="CL14:CM15"/>
    <mergeCell ref="CN14:CO15"/>
    <mergeCell ref="CP14:CQ15"/>
    <mergeCell ref="CR14:CS15"/>
    <mergeCell ref="DG14:DH15"/>
    <mergeCell ref="DG18:DH19"/>
    <mergeCell ref="DG20:DH21"/>
    <mergeCell ref="DI20:DJ21"/>
    <mergeCell ref="DK20:DQ21"/>
    <mergeCell ref="DK22:DQ23"/>
    <mergeCell ref="DK24:DQ25"/>
    <mergeCell ref="DK26:DQ27"/>
    <mergeCell ref="DK28:DQ29"/>
    <mergeCell ref="DK30:DQ31"/>
    <mergeCell ref="DI14:DJ15"/>
    <mergeCell ref="DK14:DQ15"/>
    <mergeCell ref="DG16:DH17"/>
    <mergeCell ref="DI16:DJ17"/>
    <mergeCell ref="DK16:DQ17"/>
    <mergeCell ref="DI18:DJ19"/>
    <mergeCell ref="DK18:DQ19"/>
    <mergeCell ref="AN12:AO13"/>
    <mergeCell ref="AP12:AQ13"/>
    <mergeCell ref="AR12:AS13"/>
    <mergeCell ref="AT12:AU13"/>
    <mergeCell ref="AV12:AW13"/>
    <mergeCell ref="AX12:AY13"/>
    <mergeCell ref="AZ12:BA13"/>
    <mergeCell ref="BP12:BQ13"/>
    <mergeCell ref="BR12:BS13"/>
    <mergeCell ref="BT12:BU13"/>
    <mergeCell ref="BV12:BW13"/>
    <mergeCell ref="BX12:BY13"/>
    <mergeCell ref="BZ12:CA13"/>
    <mergeCell ref="CB12:CC13"/>
    <mergeCell ref="CR12:CS13"/>
    <mergeCell ref="DG12:DH13"/>
    <mergeCell ref="DI12:DJ13"/>
    <mergeCell ref="DK12:DQ13"/>
    <mergeCell ref="CD12:CE13"/>
    <mergeCell ref="CF12:CG13"/>
    <mergeCell ref="CH12:CI13"/>
    <mergeCell ref="CJ12:CK13"/>
    <mergeCell ref="CL12:CM13"/>
    <mergeCell ref="CN12:CO13"/>
    <mergeCell ref="CP12:CQ13"/>
    <mergeCell ref="BB12:BC13"/>
    <mergeCell ref="BD12:BE13"/>
    <mergeCell ref="BF12:BG13"/>
    <mergeCell ref="BH12:BI13"/>
    <mergeCell ref="BJ12:BK13"/>
    <mergeCell ref="BL12:BM13"/>
    <mergeCell ref="BN12:BO13"/>
    <mergeCell ref="BF14:BG15"/>
    <mergeCell ref="BH14:BI15"/>
    <mergeCell ref="BJ14:BK15"/>
    <mergeCell ref="BL14:BM15"/>
    <mergeCell ref="BN14:BO15"/>
    <mergeCell ref="BP14:BQ15"/>
    <mergeCell ref="BR14:BS15"/>
    <mergeCell ref="BT14:BU15"/>
    <mergeCell ref="BV14:BW15"/>
    <mergeCell ref="BX14:BY15"/>
    <mergeCell ref="BZ14:CA15"/>
    <mergeCell ref="CB14:CC15"/>
    <mergeCell ref="CD14:CE15"/>
    <mergeCell ref="CF14:CG15"/>
    <mergeCell ref="N5:Q7"/>
    <mergeCell ref="R5:U7"/>
    <mergeCell ref="F8:I9"/>
    <mergeCell ref="J8:M9"/>
    <mergeCell ref="N8:Q9"/>
    <mergeCell ref="R8:U9"/>
    <mergeCell ref="V8:Y9"/>
    <mergeCell ref="Z8:AC9"/>
    <mergeCell ref="AD8:AG9"/>
    <mergeCell ref="AH8:AK9"/>
    <mergeCell ref="AL8:AO9"/>
    <mergeCell ref="AP8:AS9"/>
    <mergeCell ref="AT8:AW9"/>
    <mergeCell ref="F10:G11"/>
    <mergeCell ref="H10:I11"/>
    <mergeCell ref="J10:K11"/>
    <mergeCell ref="L10:M11"/>
    <mergeCell ref="N10:O11"/>
    <mergeCell ref="P10:Q11"/>
    <mergeCell ref="AD10:AE11"/>
    <mergeCell ref="AF10:AG11"/>
    <mergeCell ref="AH10:AI11"/>
    <mergeCell ref="AJ10:AK11"/>
    <mergeCell ref="AL10:AM11"/>
    <mergeCell ref="CP22:CS23"/>
    <mergeCell ref="CT22:CW23"/>
    <mergeCell ref="CX22:DA23"/>
    <mergeCell ref="DB22:DE23"/>
    <mergeCell ref="DG22:DH23"/>
    <mergeCell ref="DI22:DJ23"/>
    <mergeCell ref="BN22:BQ23"/>
    <mergeCell ref="BR22:BU23"/>
    <mergeCell ref="BV22:BY23"/>
    <mergeCell ref="BZ22:CC23"/>
    <mergeCell ref="CD22:CG23"/>
    <mergeCell ref="CH22:CK23"/>
    <mergeCell ref="CL22:CO23"/>
    <mergeCell ref="AL22:AO23"/>
    <mergeCell ref="AP22:AS23"/>
    <mergeCell ref="AT22:AW23"/>
    <mergeCell ref="AX22:BA23"/>
    <mergeCell ref="BB22:BE23"/>
    <mergeCell ref="BF22:BI23"/>
    <mergeCell ref="BJ22:BM23"/>
    <mergeCell ref="AP24:AS24"/>
    <mergeCell ref="AT24:AW24"/>
    <mergeCell ref="AX24:BA24"/>
    <mergeCell ref="BB24:BE24"/>
    <mergeCell ref="BF24:BI24"/>
    <mergeCell ref="BJ24:BM24"/>
    <mergeCell ref="BN24:BQ24"/>
    <mergeCell ref="CT24:CW24"/>
    <mergeCell ref="CX24:DA24"/>
    <mergeCell ref="DB24:DE24"/>
    <mergeCell ref="DG24:DH25"/>
    <mergeCell ref="DI24:DJ25"/>
    <mergeCell ref="BR24:BU24"/>
    <mergeCell ref="BV24:BY24"/>
    <mergeCell ref="BZ24:CC24"/>
    <mergeCell ref="CD24:CG24"/>
    <mergeCell ref="CH24:CK24"/>
    <mergeCell ref="CL24:CO24"/>
    <mergeCell ref="CP24:CS24"/>
    <mergeCell ref="CH25:CK27"/>
    <mergeCell ref="CL25:CO27"/>
    <mergeCell ref="CP25:CS27"/>
    <mergeCell ref="CT25:CW27"/>
    <mergeCell ref="CX25:DA27"/>
    <mergeCell ref="DB25:DE27"/>
    <mergeCell ref="DG26:DH27"/>
    <mergeCell ref="DI26:DJ27"/>
    <mergeCell ref="BF25:BI27"/>
    <mergeCell ref="BJ25:BM27"/>
    <mergeCell ref="BN25:BQ27"/>
    <mergeCell ref="BR25:BU27"/>
    <mergeCell ref="BV25:BY27"/>
    <mergeCell ref="BZ25:CC27"/>
    <mergeCell ref="CD25:CG27"/>
    <mergeCell ref="R28:U29"/>
    <mergeCell ref="V28:Y29"/>
    <mergeCell ref="Z28:AC29"/>
    <mergeCell ref="AD28:AG29"/>
    <mergeCell ref="AH28:AK29"/>
    <mergeCell ref="AL28:AO29"/>
    <mergeCell ref="AP28:AS29"/>
    <mergeCell ref="AT28:AW29"/>
    <mergeCell ref="AX28:BA29"/>
    <mergeCell ref="BF28:BI29"/>
    <mergeCell ref="BJ28:BM29"/>
    <mergeCell ref="BN28:BQ29"/>
    <mergeCell ref="BR28:BU29"/>
    <mergeCell ref="BV28:BY29"/>
    <mergeCell ref="DB28:DE29"/>
    <mergeCell ref="DG28:DH29"/>
    <mergeCell ref="DI28:DJ29"/>
    <mergeCell ref="BZ28:CC29"/>
    <mergeCell ref="CD28:CG29"/>
    <mergeCell ref="CH28:CK29"/>
    <mergeCell ref="CL28:CO29"/>
    <mergeCell ref="CP28:CS29"/>
    <mergeCell ref="CT28:CW29"/>
    <mergeCell ref="CX28:DA29"/>
    <mergeCell ref="T30:U31"/>
    <mergeCell ref="V30:W31"/>
    <mergeCell ref="F30:G31"/>
    <mergeCell ref="H30:I31"/>
    <mergeCell ref="J30:K31"/>
    <mergeCell ref="L30:M31"/>
    <mergeCell ref="N30:O31"/>
    <mergeCell ref="P30:Q31"/>
    <mergeCell ref="R30:S31"/>
    <mergeCell ref="AD25:AG27"/>
    <mergeCell ref="AL25:AO27"/>
    <mergeCell ref="AP25:AS27"/>
    <mergeCell ref="AT25:AW27"/>
    <mergeCell ref="AX25:BA27"/>
    <mergeCell ref="BB25:BE27"/>
    <mergeCell ref="BB28:BE29"/>
    <mergeCell ref="Z25:AC27"/>
    <mergeCell ref="X30:Y31"/>
    <mergeCell ref="Z30:AA31"/>
    <mergeCell ref="AB30:AC31"/>
    <mergeCell ref="AD30:AE31"/>
    <mergeCell ref="AF30:AG31"/>
    <mergeCell ref="AH30:AI31"/>
    <mergeCell ref="AN30:AO31"/>
    <mergeCell ref="AP30:AQ31"/>
    <mergeCell ref="AR30:AS31"/>
    <mergeCell ref="AT30:AU31"/>
    <mergeCell ref="AV30:AW31"/>
    <mergeCell ref="AX30:AY31"/>
    <mergeCell ref="AZ30:BA31"/>
    <mergeCell ref="BB30:BC31"/>
    <mergeCell ref="BD30:BE31"/>
    <mergeCell ref="BF30:BG31"/>
    <mergeCell ref="BH30:BI31"/>
    <mergeCell ref="BJ30:BK31"/>
    <mergeCell ref="BL30:BM31"/>
    <mergeCell ref="BN30:BO31"/>
    <mergeCell ref="BP30:BQ31"/>
    <mergeCell ref="BR30:BS31"/>
    <mergeCell ref="BT30:BU31"/>
    <mergeCell ref="BV30:BW31"/>
    <mergeCell ref="BX30:BY31"/>
    <mergeCell ref="BZ30:CA31"/>
    <mergeCell ref="CB30:CC31"/>
    <mergeCell ref="CD30:CE31"/>
    <mergeCell ref="CF30:CG31"/>
    <mergeCell ref="CH30:CI31"/>
    <mergeCell ref="CJ30:CK31"/>
    <mergeCell ref="CL30:CM31"/>
    <mergeCell ref="CN30:CO31"/>
    <mergeCell ref="CP30:CQ31"/>
    <mergeCell ref="DG30:DH31"/>
    <mergeCell ref="DI30:DJ31"/>
    <mergeCell ref="CR30:CS31"/>
    <mergeCell ref="CT30:CU31"/>
    <mergeCell ref="CV30:CW31"/>
    <mergeCell ref="CX30:CY31"/>
    <mergeCell ref="CZ30:DA31"/>
    <mergeCell ref="DB30:DC31"/>
    <mergeCell ref="DD30:DE31"/>
    <mergeCell ref="F32:G33"/>
    <mergeCell ref="H32:I33"/>
    <mergeCell ref="J32:K33"/>
    <mergeCell ref="L32:M33"/>
    <mergeCell ref="N32:O33"/>
    <mergeCell ref="P32:Q33"/>
    <mergeCell ref="R32:S33"/>
    <mergeCell ref="T32:U33"/>
    <mergeCell ref="V32:W33"/>
    <mergeCell ref="AP32:AQ33"/>
    <mergeCell ref="AR32:AS33"/>
    <mergeCell ref="AT32:AU33"/>
    <mergeCell ref="AV32:AW33"/>
    <mergeCell ref="AX32:AY33"/>
    <mergeCell ref="AZ32:BA33"/>
    <mergeCell ref="BB32:BC33"/>
    <mergeCell ref="BD32:BE33"/>
    <mergeCell ref="BF32:BG33"/>
    <mergeCell ref="BH32:BI33"/>
    <mergeCell ref="BJ32:BK33"/>
    <mergeCell ref="BL32:BM33"/>
    <mergeCell ref="BN32:BO33"/>
    <mergeCell ref="BP32:BQ33"/>
    <mergeCell ref="BR32:BS33"/>
    <mergeCell ref="BT32:BU33"/>
    <mergeCell ref="BV32:BW33"/>
    <mergeCell ref="BX32:BY33"/>
    <mergeCell ref="BZ32:CA33"/>
    <mergeCell ref="CB32:CC33"/>
    <mergeCell ref="CD32:CE33"/>
    <mergeCell ref="CF32:CG33"/>
    <mergeCell ref="CH32:CI33"/>
    <mergeCell ref="CJ32:CK33"/>
    <mergeCell ref="CL32:CM33"/>
    <mergeCell ref="CN32:CO33"/>
    <mergeCell ref="DD32:DE33"/>
    <mergeCell ref="DG32:DH33"/>
    <mergeCell ref="DI32:DJ33"/>
    <mergeCell ref="DK32:DQ33"/>
    <mergeCell ref="CP32:CQ33"/>
    <mergeCell ref="CR32:CS33"/>
    <mergeCell ref="CT32:CU33"/>
    <mergeCell ref="CV32:CW33"/>
    <mergeCell ref="CX32:CY33"/>
    <mergeCell ref="CZ32:DA33"/>
    <mergeCell ref="DB32:DC33"/>
    <mergeCell ref="R12:S13"/>
    <mergeCell ref="T12:U13"/>
    <mergeCell ref="R22:U23"/>
    <mergeCell ref="V22:Y23"/>
    <mergeCell ref="Z22:AC23"/>
    <mergeCell ref="AD22:AG23"/>
    <mergeCell ref="AH22:AK23"/>
    <mergeCell ref="AH25:AK27"/>
    <mergeCell ref="N12:O13"/>
    <mergeCell ref="P12:Q13"/>
    <mergeCell ref="N22:Q23"/>
    <mergeCell ref="N24:Q24"/>
    <mergeCell ref="N25:Q27"/>
    <mergeCell ref="R25:U27"/>
    <mergeCell ref="V25:Y27"/>
    <mergeCell ref="AH32:AI33"/>
    <mergeCell ref="AJ32:AK33"/>
    <mergeCell ref="AJ30:AK31"/>
    <mergeCell ref="AL30:AM31"/>
    <mergeCell ref="X32:Y33"/>
    <mergeCell ref="Z32:AA33"/>
    <mergeCell ref="AB32:AC33"/>
    <mergeCell ref="AD32:AE33"/>
    <mergeCell ref="AF32:AG33"/>
    <mergeCell ref="AL32:AM33"/>
    <mergeCell ref="AN32:AO33"/>
    <mergeCell ref="X34:Y35"/>
    <mergeCell ref="Z34:AA35"/>
    <mergeCell ref="AB34:AC35"/>
    <mergeCell ref="AD34:AE35"/>
    <mergeCell ref="AF34:AG35"/>
    <mergeCell ref="AL34:AM35"/>
    <mergeCell ref="AN34:AO35"/>
    <mergeCell ref="AP34:AQ35"/>
    <mergeCell ref="AR34:AS35"/>
    <mergeCell ref="AT34:AU35"/>
    <mergeCell ref="AV34:AW35"/>
    <mergeCell ref="AX34:AY35"/>
    <mergeCell ref="AZ34:BA35"/>
    <mergeCell ref="BB34:BC35"/>
    <mergeCell ref="BD34:BE35"/>
    <mergeCell ref="BF34:BG35"/>
    <mergeCell ref="BH34:BI35"/>
    <mergeCell ref="BJ34:BK35"/>
    <mergeCell ref="BL34:BM35"/>
    <mergeCell ref="BN34:BO35"/>
    <mergeCell ref="BP34:BQ35"/>
    <mergeCell ref="BR34:BS35"/>
    <mergeCell ref="BT34:BU35"/>
    <mergeCell ref="BV34:BW35"/>
    <mergeCell ref="BX34:BY35"/>
    <mergeCell ref="BZ34:CA35"/>
    <mergeCell ref="CB34:CC35"/>
    <mergeCell ref="CD34:CE35"/>
    <mergeCell ref="CF34:CG35"/>
    <mergeCell ref="CH34:CI35"/>
    <mergeCell ref="CJ34:CK35"/>
    <mergeCell ref="CL34:CM35"/>
    <mergeCell ref="CN34:CO35"/>
    <mergeCell ref="DD34:DE35"/>
    <mergeCell ref="DG34:DH35"/>
    <mergeCell ref="DI34:DJ35"/>
    <mergeCell ref="DK34:DQ35"/>
    <mergeCell ref="CP34:CQ35"/>
    <mergeCell ref="CR34:CS35"/>
    <mergeCell ref="CT34:CU35"/>
    <mergeCell ref="CV34:CW35"/>
    <mergeCell ref="CX34:CY35"/>
    <mergeCell ref="CZ34:DA35"/>
    <mergeCell ref="DB34:DC35"/>
    <mergeCell ref="F36:G37"/>
    <mergeCell ref="H36:I37"/>
    <mergeCell ref="J36:K37"/>
    <mergeCell ref="L36:M37"/>
    <mergeCell ref="N36:O37"/>
    <mergeCell ref="P36:Q37"/>
    <mergeCell ref="R36:S37"/>
    <mergeCell ref="T36:U37"/>
    <mergeCell ref="V36:W37"/>
    <mergeCell ref="AP36:AQ37"/>
    <mergeCell ref="AR36:AS37"/>
    <mergeCell ref="AT36:AU37"/>
    <mergeCell ref="AV36:AW37"/>
    <mergeCell ref="AX36:AY37"/>
    <mergeCell ref="AZ36:BA37"/>
    <mergeCell ref="BB36:BC37"/>
    <mergeCell ref="BD36:BE37"/>
    <mergeCell ref="BF36:BG37"/>
    <mergeCell ref="BH36:BI37"/>
    <mergeCell ref="BJ36:BK37"/>
    <mergeCell ref="BL36:BM37"/>
    <mergeCell ref="BN36:BO37"/>
    <mergeCell ref="BP36:BQ37"/>
    <mergeCell ref="BR36:BS37"/>
    <mergeCell ref="BT36:BU37"/>
    <mergeCell ref="BV36:BW37"/>
    <mergeCell ref="BX36:BY37"/>
    <mergeCell ref="BZ36:CA37"/>
    <mergeCell ref="CB36:CC37"/>
    <mergeCell ref="CD36:CE37"/>
    <mergeCell ref="CF36:CG37"/>
    <mergeCell ref="CH36:CI37"/>
    <mergeCell ref="CJ36:CK37"/>
    <mergeCell ref="CL36:CM37"/>
    <mergeCell ref="CN36:CO37"/>
    <mergeCell ref="DD36:DE37"/>
    <mergeCell ref="DG36:DH37"/>
    <mergeCell ref="DI36:DJ37"/>
    <mergeCell ref="DK36:DQ37"/>
    <mergeCell ref="CP36:CQ37"/>
    <mergeCell ref="CR36:CS37"/>
    <mergeCell ref="CT36:CU37"/>
    <mergeCell ref="CV36:CW37"/>
    <mergeCell ref="CX36:CY37"/>
    <mergeCell ref="CZ36:DA37"/>
    <mergeCell ref="DB36:DC37"/>
    <mergeCell ref="J38:M39"/>
    <mergeCell ref="N38:Q39"/>
    <mergeCell ref="J12:K13"/>
    <mergeCell ref="L12:M13"/>
    <mergeCell ref="J22:M23"/>
    <mergeCell ref="J24:M24"/>
    <mergeCell ref="J25:M27"/>
    <mergeCell ref="J28:M29"/>
    <mergeCell ref="N28:Q29"/>
    <mergeCell ref="R38:U39"/>
    <mergeCell ref="V38:Y39"/>
    <mergeCell ref="Z38:AC39"/>
    <mergeCell ref="AD38:AG39"/>
    <mergeCell ref="AH38:AK39"/>
    <mergeCell ref="AL38:AO39"/>
    <mergeCell ref="AP38:AS39"/>
    <mergeCell ref="AT38:AW39"/>
    <mergeCell ref="AX38:BA39"/>
    <mergeCell ref="BB38:BE39"/>
    <mergeCell ref="BF38:BI39"/>
    <mergeCell ref="BJ38:BM39"/>
    <mergeCell ref="BN38:BQ39"/>
    <mergeCell ref="BR38:BU39"/>
    <mergeCell ref="CX38:DA39"/>
    <mergeCell ref="DB38:DE39"/>
    <mergeCell ref="DG38:DH39"/>
    <mergeCell ref="DI38:DJ39"/>
    <mergeCell ref="DK38:DQ39"/>
    <mergeCell ref="BV38:BY39"/>
    <mergeCell ref="BZ38:CC39"/>
    <mergeCell ref="CD38:CG39"/>
    <mergeCell ref="CH38:CK39"/>
    <mergeCell ref="CL38:CO39"/>
    <mergeCell ref="CP38:CS39"/>
    <mergeCell ref="CT38:CW39"/>
    <mergeCell ref="R10:S11"/>
    <mergeCell ref="T10:U11"/>
    <mergeCell ref="V10:W11"/>
    <mergeCell ref="X10:Y11"/>
    <mergeCell ref="Z10:AA11"/>
    <mergeCell ref="AB10:AC11"/>
    <mergeCell ref="AD12:AE13"/>
    <mergeCell ref="AF12:AG13"/>
    <mergeCell ref="AH12:AI13"/>
    <mergeCell ref="AJ12:AK13"/>
    <mergeCell ref="AL12:AM13"/>
    <mergeCell ref="R24:U24"/>
    <mergeCell ref="V24:Y24"/>
    <mergeCell ref="Z24:AC24"/>
    <mergeCell ref="AD24:AG24"/>
    <mergeCell ref="AH24:AK24"/>
    <mergeCell ref="AL24:AO24"/>
    <mergeCell ref="F12:G13"/>
    <mergeCell ref="H12:I13"/>
    <mergeCell ref="B22:E39"/>
    <mergeCell ref="F22:I23"/>
    <mergeCell ref="F24:I24"/>
    <mergeCell ref="F25:I27"/>
    <mergeCell ref="F28:I29"/>
    <mergeCell ref="F38:I39"/>
    <mergeCell ref="AH36:AI37"/>
    <mergeCell ref="AJ36:AK37"/>
    <mergeCell ref="AL36:AM37"/>
    <mergeCell ref="AN36:AO37"/>
    <mergeCell ref="AH34:AI35"/>
    <mergeCell ref="AJ34:AK35"/>
    <mergeCell ref="X36:Y37"/>
    <mergeCell ref="Z36:AA37"/>
    <mergeCell ref="AB36:AC37"/>
    <mergeCell ref="AD36:AE37"/>
    <mergeCell ref="AF36:AG37"/>
    <mergeCell ref="AR52:AS53"/>
    <mergeCell ref="AT52:AU53"/>
    <mergeCell ref="AD52:AE53"/>
    <mergeCell ref="AF52:AG53"/>
    <mergeCell ref="AH52:AI53"/>
    <mergeCell ref="AJ52:AK53"/>
    <mergeCell ref="AL52:AM53"/>
    <mergeCell ref="AN52:AO53"/>
    <mergeCell ref="AP52:AQ53"/>
    <mergeCell ref="H50:I51"/>
    <mergeCell ref="J50:K51"/>
    <mergeCell ref="L50:M51"/>
    <mergeCell ref="N50:O51"/>
    <mergeCell ref="P50:Q51"/>
    <mergeCell ref="R50:S51"/>
    <mergeCell ref="T50:U51"/>
    <mergeCell ref="V50:W51"/>
    <mergeCell ref="X50:Y51"/>
    <mergeCell ref="Z50:AA51"/>
    <mergeCell ref="AB50:AC51"/>
    <mergeCell ref="AD50:AE51"/>
    <mergeCell ref="AF50:AG51"/>
    <mergeCell ref="AH50:AI51"/>
    <mergeCell ref="AJ50:AK51"/>
    <mergeCell ref="AL50:AM51"/>
    <mergeCell ref="AN50:AO51"/>
    <mergeCell ref="AP50:AQ51"/>
    <mergeCell ref="F52:G53"/>
    <mergeCell ref="H52:I53"/>
    <mergeCell ref="J52:K53"/>
    <mergeCell ref="L52:M53"/>
    <mergeCell ref="T52:U53"/>
    <mergeCell ref="V52:W53"/>
    <mergeCell ref="X52:Y53"/>
    <mergeCell ref="Z52:AA53"/>
    <mergeCell ref="AB52:AC53"/>
    <mergeCell ref="AV52:AW53"/>
    <mergeCell ref="AX52:AY53"/>
    <mergeCell ref="AZ52:BA53"/>
    <mergeCell ref="BB52:BC53"/>
    <mergeCell ref="BD52:BE53"/>
    <mergeCell ref="AR50:AS51"/>
    <mergeCell ref="AT50:AU51"/>
    <mergeCell ref="AV50:AW51"/>
    <mergeCell ref="AX50:AY51"/>
    <mergeCell ref="AZ50:BA51"/>
    <mergeCell ref="BB50:BC51"/>
    <mergeCell ref="BD50:BE51"/>
    <mergeCell ref="AL44:AO44"/>
    <mergeCell ref="AP44:AS44"/>
    <mergeCell ref="F44:I44"/>
    <mergeCell ref="J44:M44"/>
    <mergeCell ref="R44:U44"/>
    <mergeCell ref="V44:Y44"/>
    <mergeCell ref="Z44:AC44"/>
    <mergeCell ref="AD44:AG44"/>
    <mergeCell ref="AH44:AK44"/>
    <mergeCell ref="AN56:AO57"/>
    <mergeCell ref="AP56:AQ57"/>
    <mergeCell ref="Z56:AA57"/>
    <mergeCell ref="AB56:AC57"/>
    <mergeCell ref="AD56:AE57"/>
    <mergeCell ref="AF56:AG57"/>
    <mergeCell ref="AH56:AI57"/>
    <mergeCell ref="AJ56:AK57"/>
    <mergeCell ref="AL56:AM57"/>
    <mergeCell ref="J58:M59"/>
    <mergeCell ref="N58:Q59"/>
    <mergeCell ref="N52:O53"/>
    <mergeCell ref="P52:Q53"/>
    <mergeCell ref="H54:I55"/>
    <mergeCell ref="J54:K55"/>
    <mergeCell ref="L54:M55"/>
    <mergeCell ref="N54:O55"/>
    <mergeCell ref="P54:Q55"/>
    <mergeCell ref="R58:U59"/>
    <mergeCell ref="V58:Y59"/>
    <mergeCell ref="Z58:AC59"/>
    <mergeCell ref="AD58:AG59"/>
    <mergeCell ref="AH58:AK59"/>
    <mergeCell ref="AL58:AO59"/>
    <mergeCell ref="AP58:AS59"/>
    <mergeCell ref="AT58:AW59"/>
    <mergeCell ref="AX58:BA59"/>
    <mergeCell ref="BF58:BI59"/>
    <mergeCell ref="BJ58:BM59"/>
    <mergeCell ref="BN58:BQ59"/>
    <mergeCell ref="BR58:BU59"/>
    <mergeCell ref="BV58:BY59"/>
    <mergeCell ref="DB58:DE59"/>
    <mergeCell ref="DF58:DI59"/>
    <mergeCell ref="BZ58:CC59"/>
    <mergeCell ref="CD58:CG59"/>
    <mergeCell ref="CH58:CK59"/>
    <mergeCell ref="CL58:CO59"/>
    <mergeCell ref="CP58:CS59"/>
    <mergeCell ref="CT58:CW59"/>
    <mergeCell ref="CX58:DA59"/>
    <mergeCell ref="F34:G35"/>
    <mergeCell ref="F50:G51"/>
    <mergeCell ref="B42:E59"/>
    <mergeCell ref="F54:G55"/>
    <mergeCell ref="F56:G57"/>
    <mergeCell ref="F58:I59"/>
    <mergeCell ref="J34:K35"/>
    <mergeCell ref="L34:M35"/>
    <mergeCell ref="N34:O35"/>
    <mergeCell ref="P34:Q35"/>
    <mergeCell ref="R34:S35"/>
    <mergeCell ref="N48:Q49"/>
    <mergeCell ref="R52:S53"/>
    <mergeCell ref="AT54:AU55"/>
    <mergeCell ref="AV54:AW55"/>
    <mergeCell ref="AX54:AY55"/>
    <mergeCell ref="AZ54:BA55"/>
    <mergeCell ref="BB54:BC55"/>
    <mergeCell ref="BD54:BE55"/>
    <mergeCell ref="BF54:BG55"/>
    <mergeCell ref="AF54:AG55"/>
    <mergeCell ref="AH54:AI55"/>
    <mergeCell ref="AJ54:AK55"/>
    <mergeCell ref="AL54:AM55"/>
    <mergeCell ref="AN54:AO55"/>
    <mergeCell ref="AP54:AQ55"/>
    <mergeCell ref="AR54:AS55"/>
    <mergeCell ref="R54:S55"/>
    <mergeCell ref="T54:U55"/>
    <mergeCell ref="V54:W55"/>
    <mergeCell ref="X54:Y55"/>
    <mergeCell ref="Z54:AA55"/>
    <mergeCell ref="AB54:AC55"/>
    <mergeCell ref="AD54:AE55"/>
    <mergeCell ref="BD56:BE57"/>
    <mergeCell ref="BB58:BE59"/>
    <mergeCell ref="AR56:AS57"/>
    <mergeCell ref="AT56:AU57"/>
    <mergeCell ref="AV56:AW57"/>
    <mergeCell ref="AX56:AY57"/>
    <mergeCell ref="AZ56:BA57"/>
    <mergeCell ref="BB56:BC57"/>
    <mergeCell ref="BF56:BG57"/>
    <mergeCell ref="BV44:BY44"/>
    <mergeCell ref="BZ44:CC44"/>
    <mergeCell ref="AT44:AW44"/>
    <mergeCell ref="AX44:BA44"/>
    <mergeCell ref="BB44:BE44"/>
    <mergeCell ref="BF44:BI44"/>
    <mergeCell ref="BJ44:BM44"/>
    <mergeCell ref="BN44:BQ44"/>
    <mergeCell ref="BR44:BU44"/>
    <mergeCell ref="T34:U35"/>
    <mergeCell ref="V34:W35"/>
    <mergeCell ref="H34:I35"/>
    <mergeCell ref="F42:I43"/>
    <mergeCell ref="J42:M43"/>
    <mergeCell ref="N42:Q43"/>
    <mergeCell ref="R42:U43"/>
    <mergeCell ref="V42:Y43"/>
    <mergeCell ref="Z42:AC43"/>
    <mergeCell ref="AD42:AG43"/>
    <mergeCell ref="AH42:AK43"/>
    <mergeCell ref="CP42:CS43"/>
    <mergeCell ref="CT42:CW43"/>
    <mergeCell ref="CX42:DA43"/>
    <mergeCell ref="DB42:DE43"/>
    <mergeCell ref="DF42:DI43"/>
    <mergeCell ref="AL42:AO43"/>
    <mergeCell ref="AP42:AS43"/>
    <mergeCell ref="AT42:AW43"/>
    <mergeCell ref="AX42:BA43"/>
    <mergeCell ref="BB42:BE43"/>
    <mergeCell ref="BF42:BI43"/>
    <mergeCell ref="BJ42:BM43"/>
    <mergeCell ref="CD44:CG44"/>
    <mergeCell ref="CH44:CK44"/>
    <mergeCell ref="CL44:CO44"/>
    <mergeCell ref="CP44:CS44"/>
    <mergeCell ref="CT44:CW44"/>
    <mergeCell ref="CX44:DA44"/>
    <mergeCell ref="DB44:DE44"/>
    <mergeCell ref="DF44:DI44"/>
    <mergeCell ref="BN42:BQ43"/>
    <mergeCell ref="BR42:BU43"/>
    <mergeCell ref="BV42:BY43"/>
    <mergeCell ref="BZ42:CC43"/>
    <mergeCell ref="CD42:CG43"/>
    <mergeCell ref="CH42:CK43"/>
    <mergeCell ref="CL42:CO43"/>
    <mergeCell ref="CP48:CS49"/>
    <mergeCell ref="CT48:CW49"/>
    <mergeCell ref="BN48:BQ49"/>
    <mergeCell ref="BR48:BU49"/>
    <mergeCell ref="BV48:BY49"/>
    <mergeCell ref="BZ48:CC49"/>
    <mergeCell ref="CD48:CG49"/>
    <mergeCell ref="CH48:CK49"/>
    <mergeCell ref="CL48:CO49"/>
    <mergeCell ref="N44:Q44"/>
    <mergeCell ref="F45:I47"/>
    <mergeCell ref="J45:M47"/>
    <mergeCell ref="N45:Q47"/>
    <mergeCell ref="R45:U47"/>
    <mergeCell ref="V45:Y47"/>
    <mergeCell ref="Z45:AC47"/>
    <mergeCell ref="AD45:AG47"/>
    <mergeCell ref="AH45:AK47"/>
    <mergeCell ref="AL45:AO47"/>
    <mergeCell ref="AP45:AS47"/>
    <mergeCell ref="AT45:AW47"/>
    <mergeCell ref="AX45:BA47"/>
    <mergeCell ref="BB45:BE47"/>
    <mergeCell ref="BF45:BI47"/>
    <mergeCell ref="BJ45:BM47"/>
    <mergeCell ref="BN45:BQ47"/>
    <mergeCell ref="BR45:BU47"/>
    <mergeCell ref="BV45:BY47"/>
    <mergeCell ref="BZ45:CC47"/>
    <mergeCell ref="CD45:CG47"/>
    <mergeCell ref="F48:I49"/>
    <mergeCell ref="J48:M49"/>
    <mergeCell ref="R48:U49"/>
    <mergeCell ref="V48:Y49"/>
    <mergeCell ref="Z48:AC49"/>
    <mergeCell ref="AD48:AG49"/>
    <mergeCell ref="AH48:AK49"/>
    <mergeCell ref="AL48:AO49"/>
    <mergeCell ref="AP48:AS49"/>
    <mergeCell ref="AT48:AW49"/>
    <mergeCell ref="AX48:BA49"/>
    <mergeCell ref="BB48:BE49"/>
    <mergeCell ref="BF48:BI49"/>
    <mergeCell ref="BJ48:BM49"/>
    <mergeCell ref="CX48:DA49"/>
    <mergeCell ref="DB48:DE49"/>
    <mergeCell ref="DF48:DI49"/>
    <mergeCell ref="CH45:CK47"/>
    <mergeCell ref="CL45:CO47"/>
    <mergeCell ref="CP45:CS47"/>
    <mergeCell ref="CT45:CW47"/>
    <mergeCell ref="CX45:DA47"/>
    <mergeCell ref="DB45:DE47"/>
    <mergeCell ref="DF45:DI47"/>
    <mergeCell ref="BT50:BU51"/>
    <mergeCell ref="BV50:BW51"/>
    <mergeCell ref="BX50:BY51"/>
    <mergeCell ref="BZ50:CA51"/>
    <mergeCell ref="CB50:CC51"/>
    <mergeCell ref="CD50:CE51"/>
    <mergeCell ref="CF50:CG51"/>
    <mergeCell ref="CV50:CW51"/>
    <mergeCell ref="CX50:CY51"/>
    <mergeCell ref="CZ50:DA51"/>
    <mergeCell ref="DB50:DC51"/>
    <mergeCell ref="DD50:DE51"/>
    <mergeCell ref="DF50:DG51"/>
    <mergeCell ref="DH50:DI51"/>
    <mergeCell ref="CH50:CI51"/>
    <mergeCell ref="CJ50:CK51"/>
    <mergeCell ref="CL50:CM51"/>
    <mergeCell ref="CN50:CO51"/>
    <mergeCell ref="CP50:CQ51"/>
    <mergeCell ref="CR50:CS51"/>
    <mergeCell ref="CT50:CU51"/>
    <mergeCell ref="BF50:BG51"/>
    <mergeCell ref="BH50:BI51"/>
    <mergeCell ref="BJ50:BK51"/>
    <mergeCell ref="BL50:BM51"/>
    <mergeCell ref="BN50:BO51"/>
    <mergeCell ref="BP50:BQ51"/>
    <mergeCell ref="BR50:BS51"/>
    <mergeCell ref="BF52:BG53"/>
    <mergeCell ref="BH52:BI53"/>
    <mergeCell ref="BJ52:BK53"/>
    <mergeCell ref="BL52:BM53"/>
    <mergeCell ref="BN52:BO53"/>
    <mergeCell ref="BP52:BQ53"/>
    <mergeCell ref="BR52:BS53"/>
    <mergeCell ref="BT52:BU53"/>
    <mergeCell ref="BV52:BW53"/>
    <mergeCell ref="BX52:BY53"/>
    <mergeCell ref="BZ52:CA53"/>
    <mergeCell ref="CB52:CC53"/>
    <mergeCell ref="CD52:CE53"/>
    <mergeCell ref="CF52:CG53"/>
    <mergeCell ref="CV52:CW53"/>
    <mergeCell ref="CX52:CY53"/>
    <mergeCell ref="CZ52:DA53"/>
    <mergeCell ref="DB52:DC53"/>
    <mergeCell ref="DD52:DE53"/>
    <mergeCell ref="DF52:DG53"/>
    <mergeCell ref="DH52:DI53"/>
    <mergeCell ref="CH52:CI53"/>
    <mergeCell ref="CJ52:CK53"/>
    <mergeCell ref="CL52:CM53"/>
    <mergeCell ref="CN52:CO53"/>
    <mergeCell ref="CP52:CQ53"/>
    <mergeCell ref="CR52:CS53"/>
    <mergeCell ref="CT52:CU53"/>
    <mergeCell ref="BH54:BI55"/>
    <mergeCell ref="BJ54:BK55"/>
    <mergeCell ref="BL54:BM55"/>
    <mergeCell ref="BN54:BO55"/>
    <mergeCell ref="BP54:BQ55"/>
    <mergeCell ref="BR54:BS55"/>
    <mergeCell ref="BT54:BU55"/>
    <mergeCell ref="BV54:BW55"/>
    <mergeCell ref="BX54:BY55"/>
    <mergeCell ref="BZ54:CA55"/>
    <mergeCell ref="CB54:CC55"/>
    <mergeCell ref="CD54:CE55"/>
    <mergeCell ref="CF54:CG55"/>
    <mergeCell ref="CH54:CI55"/>
    <mergeCell ref="CX54:CY55"/>
    <mergeCell ref="CZ54:DA55"/>
    <mergeCell ref="DB54:DC55"/>
    <mergeCell ref="DD54:DE55"/>
    <mergeCell ref="DF54:DG55"/>
    <mergeCell ref="DH54:DI55"/>
    <mergeCell ref="CJ54:CK55"/>
    <mergeCell ref="CL54:CM55"/>
    <mergeCell ref="CN54:CO55"/>
    <mergeCell ref="CP54:CQ55"/>
    <mergeCell ref="CR54:CS55"/>
    <mergeCell ref="CT54:CU55"/>
    <mergeCell ref="CV54:CW55"/>
    <mergeCell ref="H56:I57"/>
    <mergeCell ref="J56:K57"/>
    <mergeCell ref="L56:M57"/>
    <mergeCell ref="N56:O57"/>
    <mergeCell ref="P56:Q57"/>
    <mergeCell ref="R56:S57"/>
    <mergeCell ref="T56:U57"/>
    <mergeCell ref="V56:W57"/>
    <mergeCell ref="X56:Y57"/>
    <mergeCell ref="BH56:BI57"/>
    <mergeCell ref="BJ56:BK57"/>
    <mergeCell ref="BL56:BM57"/>
    <mergeCell ref="BN56:BO57"/>
    <mergeCell ref="BP56:BQ57"/>
    <mergeCell ref="BR56:BS57"/>
    <mergeCell ref="BT56:BU57"/>
    <mergeCell ref="BV56:BW57"/>
    <mergeCell ref="BX56:BY57"/>
    <mergeCell ref="BZ56:CA57"/>
    <mergeCell ref="CB56:CC57"/>
    <mergeCell ref="CD56:CE57"/>
    <mergeCell ref="CT56:CU57"/>
    <mergeCell ref="CV56:CW57"/>
    <mergeCell ref="CX56:CY57"/>
    <mergeCell ref="CZ56:DA57"/>
    <mergeCell ref="DB56:DC57"/>
    <mergeCell ref="DD56:DE57"/>
    <mergeCell ref="DF56:DG57"/>
    <mergeCell ref="DH56:DI57"/>
    <mergeCell ref="CF56:CG57"/>
    <mergeCell ref="CH56:CI57"/>
    <mergeCell ref="CJ56:CK57"/>
    <mergeCell ref="CL56:CM57"/>
    <mergeCell ref="CN56:CO57"/>
    <mergeCell ref="CP56:CQ57"/>
    <mergeCell ref="CR56:CS57"/>
  </mergeCells>
  <printOptions gridLines="1" horizontalCentered="1"/>
  <pageMargins bottom="0.0" footer="0.0" header="0.0" left="0.0" right="0.0" top="0.0"/>
  <pageSetup fitToWidth="0" cellComments="atEnd" orientation="landscape" pageOrder="overThenDown" paperHeight="6.299212598425196in" paperWidth="12.5984251968503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5.13"/>
    <col customWidth="1" min="2" max="2" width="21.0"/>
    <col customWidth="1" min="3" max="3" width="21.88"/>
    <col customWidth="1" min="4" max="4" width="10.13"/>
    <col customWidth="1" min="5" max="5" width="14.25"/>
    <col customWidth="1" min="6" max="6" width="10.13"/>
    <col customWidth="1" min="7" max="7" width="15.75"/>
    <col customWidth="1" min="8" max="8" width="8.5"/>
    <col customWidth="1" min="9" max="9" width="40.0"/>
    <col customWidth="1" min="10" max="10" width="11.88" outlineLevel="1"/>
    <col customWidth="1" min="11" max="11" width="6.13" outlineLevel="1"/>
    <col customWidth="1" min="12" max="12" width="11.88" outlineLevel="1"/>
    <col customWidth="1" min="13" max="13" width="6.13" outlineLevel="1"/>
    <col customWidth="1" min="14" max="14" width="11.88" outlineLevel="1"/>
    <col customWidth="1" min="15" max="15" width="6.13" outlineLevel="1"/>
    <col customWidth="1" min="16" max="16" width="11.88" outlineLevel="1"/>
    <col customWidth="1" min="17" max="17" width="6.13" outlineLevel="1"/>
    <col customWidth="1" min="18" max="20" width="10.13"/>
    <col customWidth="1" min="21" max="23" width="8.5"/>
    <col customWidth="1" min="24" max="24" width="10.13"/>
    <col customWidth="1" min="25" max="26" width="8.5"/>
    <col customWidth="1" min="27" max="30" width="10.13"/>
    <col customWidth="1" min="31" max="31" width="11.88"/>
    <col customWidth="1" min="32" max="34" width="10.13"/>
    <col customWidth="1" min="35" max="35" width="11.88"/>
    <col customWidth="1" min="36" max="37" width="10.13"/>
  </cols>
  <sheetData>
    <row r="1">
      <c r="A1" s="82"/>
      <c r="B1" s="82"/>
      <c r="C1" s="82"/>
      <c r="D1" s="82"/>
      <c r="E1" s="82"/>
      <c r="F1" s="82"/>
      <c r="G1" s="82"/>
      <c r="H1" s="83"/>
      <c r="I1" s="82"/>
      <c r="J1" s="82"/>
      <c r="K1" s="82"/>
      <c r="L1" s="82"/>
      <c r="M1" s="82"/>
      <c r="N1" s="82"/>
      <c r="O1" s="82"/>
      <c r="P1" s="82"/>
      <c r="Q1" s="82"/>
      <c r="R1" s="82">
        <f t="array" ref="R1">XLOOKUP(R2,'食材'!$B:$B,'食材'!$F:$F,0)</f>
        <v>90</v>
      </c>
      <c r="S1" s="82">
        <f t="array" ref="S1">XLOOKUP(S2,'食材'!$B:$B,'食材'!$F:$F,0)</f>
        <v>98</v>
      </c>
      <c r="T1" s="82">
        <f t="array" ref="T1">XLOOKUP(T2,'食材'!$B:$B,'食材'!$F:$F,0)</f>
        <v>100</v>
      </c>
      <c r="U1" s="82">
        <f t="array" ref="U1">XLOOKUP(U2,'食材'!$B:$B,'食材'!$F:$F,0)</f>
        <v>101</v>
      </c>
      <c r="V1" s="82">
        <f t="array" ref="V1">XLOOKUP(V2,'食材'!$B:$B,'食材'!$F:$F,0)</f>
        <v>103</v>
      </c>
      <c r="W1" s="82">
        <f t="array" ref="W1">XLOOKUP(W2,'食材'!$B:$B,'食材'!$F:$F,0)</f>
        <v>109</v>
      </c>
      <c r="X1" s="82">
        <f t="array" ref="X1">XLOOKUP(X2,'食材'!$B:$B,'食材'!$F:$F,0)</f>
        <v>110</v>
      </c>
      <c r="Y1" s="82">
        <f t="array" ref="Y1">XLOOKUP(Y2,'食材'!$B:$B,'食材'!$F:$F,0)</f>
        <v>115</v>
      </c>
      <c r="Z1" s="82">
        <f t="array" ref="Z1">XLOOKUP(Z2,'食材'!$B:$B,'食材'!$F:$F,0)</f>
        <v>121</v>
      </c>
      <c r="AA1" s="82">
        <f t="array" ref="AA1">XLOOKUP(AA2,'食材'!$B:$B,'食材'!$F:$F,0)</f>
        <v>124</v>
      </c>
      <c r="AB1" s="82">
        <f t="array" ref="AB1">XLOOKUP(AB2,'食材'!$B:$B,'食材'!$F:$F,0)</f>
        <v>130</v>
      </c>
      <c r="AC1" s="82">
        <f t="array" ref="AC1">XLOOKUP(AC2,'食材'!$B:$B,'食材'!$F:$F,0)</f>
        <v>140</v>
      </c>
      <c r="AD1" s="82">
        <f t="array" ref="AD1">XLOOKUP(AD2,'食材'!$B:$B,'食材'!$F:$F,0)</f>
        <v>151</v>
      </c>
      <c r="AE1" s="82">
        <f t="array" ref="AE1">XLOOKUP(AE2,'食材'!$B:$B,'食材'!$F:$F,0)</f>
        <v>153</v>
      </c>
      <c r="AF1" s="82">
        <f t="array" ref="AF1">XLOOKUP(AF2,'食材'!$B:$B,'食材'!$F:$F,0)</f>
        <v>162</v>
      </c>
      <c r="AG1" s="82">
        <f t="array" ref="AG1">XLOOKUP(AG2,'食材'!$B:$B,'食材'!$F:$F,0)</f>
        <v>167</v>
      </c>
      <c r="AH1" s="82">
        <f t="array" ref="AH1">XLOOKUP(AH2,'食材'!$B:$B,'食材'!$F:$F,0)</f>
        <v>185</v>
      </c>
      <c r="AI1" s="82">
        <f t="array" ref="AI1">XLOOKUP(AI2,'食材'!$B:$B,'食材'!$F:$F,0)</f>
        <v>250</v>
      </c>
      <c r="AJ1" s="82">
        <f t="array" ref="AJ1">XLOOKUP(AJ2,'食材'!$B:$B,'食材'!$F:$F,0)</f>
        <v>342</v>
      </c>
      <c r="AK1" s="82"/>
    </row>
    <row r="2">
      <c r="A2" s="82" t="s">
        <v>19</v>
      </c>
      <c r="B2" s="82" t="s">
        <v>20</v>
      </c>
      <c r="C2" s="82" t="s">
        <v>21</v>
      </c>
      <c r="D2" s="82" t="s">
        <v>22</v>
      </c>
      <c r="E2" s="82" t="s">
        <v>23</v>
      </c>
      <c r="F2" s="82" t="s">
        <v>24</v>
      </c>
      <c r="G2" s="83" t="s">
        <v>25</v>
      </c>
      <c r="H2" s="83" t="s">
        <v>26</v>
      </c>
      <c r="I2" s="82" t="s">
        <v>27</v>
      </c>
      <c r="J2" s="82" t="s">
        <v>28</v>
      </c>
      <c r="K2" s="82" t="s">
        <v>29</v>
      </c>
      <c r="L2" s="82" t="s">
        <v>30</v>
      </c>
      <c r="M2" s="82" t="s">
        <v>31</v>
      </c>
      <c r="N2" s="82" t="s">
        <v>32</v>
      </c>
      <c r="O2" s="82" t="s">
        <v>33</v>
      </c>
      <c r="P2" s="82" t="s">
        <v>34</v>
      </c>
      <c r="Q2" s="82" t="s">
        <v>35</v>
      </c>
      <c r="R2" s="84" t="s">
        <v>0</v>
      </c>
      <c r="S2" s="84" t="s">
        <v>1</v>
      </c>
      <c r="T2" s="84" t="s">
        <v>2</v>
      </c>
      <c r="U2" s="84" t="s">
        <v>3</v>
      </c>
      <c r="V2" s="84" t="s">
        <v>4</v>
      </c>
      <c r="W2" s="84" t="s">
        <v>5</v>
      </c>
      <c r="X2" s="84" t="s">
        <v>6</v>
      </c>
      <c r="Y2" s="84" t="s">
        <v>7</v>
      </c>
      <c r="Z2" s="84" t="s">
        <v>8</v>
      </c>
      <c r="AA2" s="84" t="s">
        <v>9</v>
      </c>
      <c r="AB2" s="84" t="s">
        <v>10</v>
      </c>
      <c r="AC2" s="84" t="s">
        <v>11</v>
      </c>
      <c r="AD2" s="84" t="s">
        <v>12</v>
      </c>
      <c r="AE2" s="84" t="s">
        <v>13</v>
      </c>
      <c r="AF2" s="84" t="s">
        <v>14</v>
      </c>
      <c r="AG2" s="84" t="s">
        <v>15</v>
      </c>
      <c r="AH2" s="84" t="s">
        <v>16</v>
      </c>
      <c r="AI2" s="84" t="s">
        <v>17</v>
      </c>
      <c r="AJ2" s="84" t="s">
        <v>18</v>
      </c>
      <c r="AK2" s="84"/>
    </row>
    <row r="3" ht="39.75" customHeight="1">
      <c r="A3" s="84" t="str">
        <f t="shared" ref="A3:A81" si="1">IMAGE("https://www.serebii.net/pokemonsleep/meals/"&amp;C3&amp;".png",4,80,80)</f>
        <v/>
      </c>
      <c r="B3" s="82" t="s">
        <v>36</v>
      </c>
      <c r="C3" s="85" t="s">
        <v>37</v>
      </c>
      <c r="D3" s="85">
        <f t="shared" ref="D3:D81" si="2">SUM(K3,M3,O3,Q3)</f>
        <v>0</v>
      </c>
      <c r="E3" s="82" t="s">
        <v>38</v>
      </c>
      <c r="F3" s="86">
        <f t="shared" ref="F3:F81" si="3">IFERROR(ROUND((H3-G3)/G3,2),0)</f>
        <v>0</v>
      </c>
      <c r="G3" s="87">
        <f t="shared" ref="G3:G81" si="4">SUMPRODUCT(R3:AK3,$R$1:$AK$1)</f>
        <v>0</v>
      </c>
      <c r="H3" s="83">
        <v>0.0</v>
      </c>
      <c r="I3" s="82" t="str">
        <f t="shared" ref="I3:I81" si="5">TEXTJOIN(",",TRUE,J3:Q3)</f>
        <v/>
      </c>
      <c r="J3" s="84"/>
      <c r="K3" s="82"/>
      <c r="L3" s="84"/>
      <c r="M3" s="85"/>
      <c r="N3" s="84"/>
      <c r="O3" s="85"/>
      <c r="P3" s="84"/>
      <c r="Q3" s="85"/>
      <c r="R3" s="88" t="str">
        <f>IFERROR(__xludf.DUMMYFUNCTION("BYCOL($R$2:$AK$2, LAMBDA(header, IFERROR(SUM(FILTER(K3:Q3, J3:P3=header)), """")))
"),"")</f>
        <v/>
      </c>
      <c r="S3" s="89" t="str">
        <f>IFERROR(__xludf.DUMMYFUNCTION("""COMPUTED_VALUE"""),"")</f>
        <v/>
      </c>
      <c r="T3" s="89" t="str">
        <f>IFERROR(__xludf.DUMMYFUNCTION("""COMPUTED_VALUE"""),"")</f>
        <v/>
      </c>
      <c r="U3" s="89" t="str">
        <f>IFERROR(__xludf.DUMMYFUNCTION("""COMPUTED_VALUE"""),"")</f>
        <v/>
      </c>
      <c r="V3" s="89" t="str">
        <f>IFERROR(__xludf.DUMMYFUNCTION("""COMPUTED_VALUE"""),"")</f>
        <v/>
      </c>
      <c r="W3" s="89" t="str">
        <f>IFERROR(__xludf.DUMMYFUNCTION("""COMPUTED_VALUE"""),"")</f>
        <v/>
      </c>
      <c r="X3" s="89" t="str">
        <f>IFERROR(__xludf.DUMMYFUNCTION("""COMPUTED_VALUE"""),"")</f>
        <v/>
      </c>
      <c r="Y3" s="89" t="str">
        <f>IFERROR(__xludf.DUMMYFUNCTION("""COMPUTED_VALUE"""),"")</f>
        <v/>
      </c>
      <c r="Z3" s="89" t="str">
        <f>IFERROR(__xludf.DUMMYFUNCTION("""COMPUTED_VALUE"""),"")</f>
        <v/>
      </c>
      <c r="AA3" s="89" t="str">
        <f>IFERROR(__xludf.DUMMYFUNCTION("""COMPUTED_VALUE"""),"")</f>
        <v/>
      </c>
      <c r="AB3" s="89" t="str">
        <f>IFERROR(__xludf.DUMMYFUNCTION("""COMPUTED_VALUE"""),"")</f>
        <v/>
      </c>
      <c r="AC3" s="89" t="str">
        <f>IFERROR(__xludf.DUMMYFUNCTION("""COMPUTED_VALUE"""),"")</f>
        <v/>
      </c>
      <c r="AD3" s="89" t="str">
        <f>IFERROR(__xludf.DUMMYFUNCTION("""COMPUTED_VALUE"""),"")</f>
        <v/>
      </c>
      <c r="AE3" s="89" t="str">
        <f>IFERROR(__xludf.DUMMYFUNCTION("""COMPUTED_VALUE"""),"")</f>
        <v/>
      </c>
      <c r="AF3" s="89" t="str">
        <f>IFERROR(__xludf.DUMMYFUNCTION("""COMPUTED_VALUE"""),"")</f>
        <v/>
      </c>
      <c r="AG3" s="89" t="str">
        <f>IFERROR(__xludf.DUMMYFUNCTION("""COMPUTED_VALUE"""),"")</f>
        <v/>
      </c>
      <c r="AH3" s="89" t="str">
        <f>IFERROR(__xludf.DUMMYFUNCTION("""COMPUTED_VALUE"""),"")</f>
        <v/>
      </c>
      <c r="AI3" s="89" t="str">
        <f>IFERROR(__xludf.DUMMYFUNCTION("""COMPUTED_VALUE"""),"")</f>
        <v/>
      </c>
      <c r="AJ3" s="89" t="str">
        <f>IFERROR(__xludf.DUMMYFUNCTION("""COMPUTED_VALUE"""),"")</f>
        <v/>
      </c>
      <c r="AK3" s="89">
        <f>IFERROR(__xludf.DUMMYFUNCTION("""COMPUTED_VALUE"""),0.0)</f>
        <v>0</v>
      </c>
    </row>
    <row r="4" ht="39.75" customHeight="1">
      <c r="A4" s="84" t="str">
        <f t="shared" si="1"/>
        <v/>
      </c>
      <c r="B4" s="82" t="s">
        <v>39</v>
      </c>
      <c r="C4" s="85" t="s">
        <v>40</v>
      </c>
      <c r="D4" s="85">
        <f t="shared" si="2"/>
        <v>8</v>
      </c>
      <c r="E4" s="82" t="s">
        <v>38</v>
      </c>
      <c r="F4" s="86">
        <f t="shared" si="3"/>
        <v>0.19</v>
      </c>
      <c r="G4" s="87">
        <f t="shared" si="4"/>
        <v>720</v>
      </c>
      <c r="H4" s="83">
        <v>855.0</v>
      </c>
      <c r="I4" s="82" t="str">
        <f t="shared" si="5"/>
        <v>特選蘋果,8</v>
      </c>
      <c r="J4" s="84" t="s">
        <v>0</v>
      </c>
      <c r="K4" s="82">
        <v>8.0</v>
      </c>
      <c r="L4" s="84"/>
      <c r="M4" s="85"/>
      <c r="N4" s="84"/>
      <c r="O4" s="85"/>
      <c r="P4" s="84"/>
      <c r="Q4" s="85"/>
      <c r="R4" s="88">
        <f>IFERROR(__xludf.DUMMYFUNCTION("BYCOL($R$2:$AK$2, LAMBDA(header, IFERROR(SUM(FILTER(K4:Q4, J4:P4=header)), """")))
"),8.0)</f>
        <v>8</v>
      </c>
      <c r="S4" s="89" t="str">
        <f>IFERROR(__xludf.DUMMYFUNCTION("""COMPUTED_VALUE"""),"")</f>
        <v/>
      </c>
      <c r="T4" s="89" t="str">
        <f>IFERROR(__xludf.DUMMYFUNCTION("""COMPUTED_VALUE"""),"")</f>
        <v/>
      </c>
      <c r="U4" s="89" t="str">
        <f>IFERROR(__xludf.DUMMYFUNCTION("""COMPUTED_VALUE"""),"")</f>
        <v/>
      </c>
      <c r="V4" s="89" t="str">
        <f>IFERROR(__xludf.DUMMYFUNCTION("""COMPUTED_VALUE"""),"")</f>
        <v/>
      </c>
      <c r="W4" s="89" t="str">
        <f>IFERROR(__xludf.DUMMYFUNCTION("""COMPUTED_VALUE"""),"")</f>
        <v/>
      </c>
      <c r="X4" s="89" t="str">
        <f>IFERROR(__xludf.DUMMYFUNCTION("""COMPUTED_VALUE"""),"")</f>
        <v/>
      </c>
      <c r="Y4" s="89" t="str">
        <f>IFERROR(__xludf.DUMMYFUNCTION("""COMPUTED_VALUE"""),"")</f>
        <v/>
      </c>
      <c r="Z4" s="89" t="str">
        <f>IFERROR(__xludf.DUMMYFUNCTION("""COMPUTED_VALUE"""),"")</f>
        <v/>
      </c>
      <c r="AA4" s="89" t="str">
        <f>IFERROR(__xludf.DUMMYFUNCTION("""COMPUTED_VALUE"""),"")</f>
        <v/>
      </c>
      <c r="AB4" s="89" t="str">
        <f>IFERROR(__xludf.DUMMYFUNCTION("""COMPUTED_VALUE"""),"")</f>
        <v/>
      </c>
      <c r="AC4" s="89" t="str">
        <f>IFERROR(__xludf.DUMMYFUNCTION("""COMPUTED_VALUE"""),"")</f>
        <v/>
      </c>
      <c r="AD4" s="89" t="str">
        <f>IFERROR(__xludf.DUMMYFUNCTION("""COMPUTED_VALUE"""),"")</f>
        <v/>
      </c>
      <c r="AE4" s="89" t="str">
        <f>IFERROR(__xludf.DUMMYFUNCTION("""COMPUTED_VALUE"""),"")</f>
        <v/>
      </c>
      <c r="AF4" s="89" t="str">
        <f>IFERROR(__xludf.DUMMYFUNCTION("""COMPUTED_VALUE"""),"")</f>
        <v/>
      </c>
      <c r="AG4" s="89" t="str">
        <f>IFERROR(__xludf.DUMMYFUNCTION("""COMPUTED_VALUE"""),"")</f>
        <v/>
      </c>
      <c r="AH4" s="89" t="str">
        <f>IFERROR(__xludf.DUMMYFUNCTION("""COMPUTED_VALUE"""),"")</f>
        <v/>
      </c>
      <c r="AI4" s="89" t="str">
        <f>IFERROR(__xludf.DUMMYFUNCTION("""COMPUTED_VALUE"""),"")</f>
        <v/>
      </c>
      <c r="AJ4" s="89" t="str">
        <f>IFERROR(__xludf.DUMMYFUNCTION("""COMPUTED_VALUE"""),"")</f>
        <v/>
      </c>
      <c r="AK4" s="89">
        <f>IFERROR(__xludf.DUMMYFUNCTION("""COMPUTED_VALUE"""),0.0)</f>
        <v>0</v>
      </c>
    </row>
    <row r="5" ht="39.75" customHeight="1">
      <c r="A5" s="84" t="str">
        <f t="shared" si="1"/>
        <v/>
      </c>
      <c r="B5" s="82" t="s">
        <v>41</v>
      </c>
      <c r="C5" s="85" t="s">
        <v>42</v>
      </c>
      <c r="D5" s="85">
        <f t="shared" si="2"/>
        <v>8</v>
      </c>
      <c r="E5" s="82" t="s">
        <v>38</v>
      </c>
      <c r="F5" s="86">
        <f t="shared" si="3"/>
        <v>0.19</v>
      </c>
      <c r="G5" s="87">
        <f t="shared" si="4"/>
        <v>824</v>
      </c>
      <c r="H5" s="83">
        <v>978.0</v>
      </c>
      <c r="I5" s="82" t="str">
        <f t="shared" si="5"/>
        <v>豆製肉,8</v>
      </c>
      <c r="J5" s="84" t="s">
        <v>4</v>
      </c>
      <c r="K5" s="82">
        <v>8.0</v>
      </c>
      <c r="L5" s="84"/>
      <c r="M5" s="85"/>
      <c r="N5" s="84"/>
      <c r="O5" s="85"/>
      <c r="P5" s="84"/>
      <c r="Q5" s="85"/>
      <c r="R5" s="88" t="str">
        <f>IFERROR(__xludf.DUMMYFUNCTION("BYCOL($R$2:$AK$2, LAMBDA(header, IFERROR(SUM(FILTER(K5:Q5, J5:P5=header)), """")))
"),"")</f>
        <v/>
      </c>
      <c r="S5" s="89" t="str">
        <f>IFERROR(__xludf.DUMMYFUNCTION("""COMPUTED_VALUE"""),"")</f>
        <v/>
      </c>
      <c r="T5" s="89" t="str">
        <f>IFERROR(__xludf.DUMMYFUNCTION("""COMPUTED_VALUE"""),"")</f>
        <v/>
      </c>
      <c r="U5" s="89" t="str">
        <f>IFERROR(__xludf.DUMMYFUNCTION("""COMPUTED_VALUE"""),"")</f>
        <v/>
      </c>
      <c r="V5" s="89">
        <f>IFERROR(__xludf.DUMMYFUNCTION("""COMPUTED_VALUE"""),8.0)</f>
        <v>8</v>
      </c>
      <c r="W5" s="89" t="str">
        <f>IFERROR(__xludf.DUMMYFUNCTION("""COMPUTED_VALUE"""),"")</f>
        <v/>
      </c>
      <c r="X5" s="89" t="str">
        <f>IFERROR(__xludf.DUMMYFUNCTION("""COMPUTED_VALUE"""),"")</f>
        <v/>
      </c>
      <c r="Y5" s="89" t="str">
        <f>IFERROR(__xludf.DUMMYFUNCTION("""COMPUTED_VALUE"""),"")</f>
        <v/>
      </c>
      <c r="Z5" s="89" t="str">
        <f>IFERROR(__xludf.DUMMYFUNCTION("""COMPUTED_VALUE"""),"")</f>
        <v/>
      </c>
      <c r="AA5" s="89" t="str">
        <f>IFERROR(__xludf.DUMMYFUNCTION("""COMPUTED_VALUE"""),"")</f>
        <v/>
      </c>
      <c r="AB5" s="89" t="str">
        <f>IFERROR(__xludf.DUMMYFUNCTION("""COMPUTED_VALUE"""),"")</f>
        <v/>
      </c>
      <c r="AC5" s="89" t="str">
        <f>IFERROR(__xludf.DUMMYFUNCTION("""COMPUTED_VALUE"""),"")</f>
        <v/>
      </c>
      <c r="AD5" s="89" t="str">
        <f>IFERROR(__xludf.DUMMYFUNCTION("""COMPUTED_VALUE"""),"")</f>
        <v/>
      </c>
      <c r="AE5" s="89" t="str">
        <f>IFERROR(__xludf.DUMMYFUNCTION("""COMPUTED_VALUE"""),"")</f>
        <v/>
      </c>
      <c r="AF5" s="89" t="str">
        <f>IFERROR(__xludf.DUMMYFUNCTION("""COMPUTED_VALUE"""),"")</f>
        <v/>
      </c>
      <c r="AG5" s="89" t="str">
        <f>IFERROR(__xludf.DUMMYFUNCTION("""COMPUTED_VALUE"""),"")</f>
        <v/>
      </c>
      <c r="AH5" s="89" t="str">
        <f>IFERROR(__xludf.DUMMYFUNCTION("""COMPUTED_VALUE"""),"")</f>
        <v/>
      </c>
      <c r="AI5" s="89" t="str">
        <f>IFERROR(__xludf.DUMMYFUNCTION("""COMPUTED_VALUE"""),"")</f>
        <v/>
      </c>
      <c r="AJ5" s="89" t="str">
        <f>IFERROR(__xludf.DUMMYFUNCTION("""COMPUTED_VALUE"""),"")</f>
        <v/>
      </c>
      <c r="AK5" s="89">
        <f>IFERROR(__xludf.DUMMYFUNCTION("""COMPUTED_VALUE"""),0.0)</f>
        <v>0</v>
      </c>
    </row>
    <row r="6" ht="39.75" customHeight="1">
      <c r="A6" s="84" t="str">
        <f t="shared" si="1"/>
        <v/>
      </c>
      <c r="B6" s="82" t="s">
        <v>43</v>
      </c>
      <c r="C6" s="85" t="s">
        <v>44</v>
      </c>
      <c r="D6" s="85">
        <f t="shared" si="2"/>
        <v>8</v>
      </c>
      <c r="E6" s="82" t="s">
        <v>38</v>
      </c>
      <c r="F6" s="86">
        <f t="shared" si="3"/>
        <v>0.19</v>
      </c>
      <c r="G6" s="87">
        <f t="shared" si="4"/>
        <v>880</v>
      </c>
      <c r="H6" s="83">
        <v>1045.0</v>
      </c>
      <c r="I6" s="82" t="str">
        <f t="shared" si="5"/>
        <v>好眠番茄,8</v>
      </c>
      <c r="J6" s="84" t="s">
        <v>6</v>
      </c>
      <c r="K6" s="82">
        <v>8.0</v>
      </c>
      <c r="L6" s="84"/>
      <c r="M6" s="85"/>
      <c r="N6" s="84"/>
      <c r="O6" s="85"/>
      <c r="P6" s="84"/>
      <c r="Q6" s="85"/>
      <c r="R6" s="88" t="str">
        <f>IFERROR(__xludf.DUMMYFUNCTION("BYCOL($R$2:$AK$2, LAMBDA(header, IFERROR(SUM(FILTER(K6:Q6, J6:P6=header)), """")))
"),"")</f>
        <v/>
      </c>
      <c r="S6" s="89" t="str">
        <f>IFERROR(__xludf.DUMMYFUNCTION("""COMPUTED_VALUE"""),"")</f>
        <v/>
      </c>
      <c r="T6" s="89" t="str">
        <f>IFERROR(__xludf.DUMMYFUNCTION("""COMPUTED_VALUE"""),"")</f>
        <v/>
      </c>
      <c r="U6" s="89" t="str">
        <f>IFERROR(__xludf.DUMMYFUNCTION("""COMPUTED_VALUE"""),"")</f>
        <v/>
      </c>
      <c r="V6" s="89" t="str">
        <f>IFERROR(__xludf.DUMMYFUNCTION("""COMPUTED_VALUE"""),"")</f>
        <v/>
      </c>
      <c r="W6" s="89" t="str">
        <f>IFERROR(__xludf.DUMMYFUNCTION("""COMPUTED_VALUE"""),"")</f>
        <v/>
      </c>
      <c r="X6" s="89">
        <f>IFERROR(__xludf.DUMMYFUNCTION("""COMPUTED_VALUE"""),8.0)</f>
        <v>8</v>
      </c>
      <c r="Y6" s="89" t="str">
        <f>IFERROR(__xludf.DUMMYFUNCTION("""COMPUTED_VALUE"""),"")</f>
        <v/>
      </c>
      <c r="Z6" s="89" t="str">
        <f>IFERROR(__xludf.DUMMYFUNCTION("""COMPUTED_VALUE"""),"")</f>
        <v/>
      </c>
      <c r="AA6" s="89" t="str">
        <f>IFERROR(__xludf.DUMMYFUNCTION("""COMPUTED_VALUE"""),"")</f>
        <v/>
      </c>
      <c r="AB6" s="89" t="str">
        <f>IFERROR(__xludf.DUMMYFUNCTION("""COMPUTED_VALUE"""),"")</f>
        <v/>
      </c>
      <c r="AC6" s="89" t="str">
        <f>IFERROR(__xludf.DUMMYFUNCTION("""COMPUTED_VALUE"""),"")</f>
        <v/>
      </c>
      <c r="AD6" s="89" t="str">
        <f>IFERROR(__xludf.DUMMYFUNCTION("""COMPUTED_VALUE"""),"")</f>
        <v/>
      </c>
      <c r="AE6" s="89" t="str">
        <f>IFERROR(__xludf.DUMMYFUNCTION("""COMPUTED_VALUE"""),"")</f>
        <v/>
      </c>
      <c r="AF6" s="89" t="str">
        <f>IFERROR(__xludf.DUMMYFUNCTION("""COMPUTED_VALUE"""),"")</f>
        <v/>
      </c>
      <c r="AG6" s="89" t="str">
        <f>IFERROR(__xludf.DUMMYFUNCTION("""COMPUTED_VALUE"""),"")</f>
        <v/>
      </c>
      <c r="AH6" s="89" t="str">
        <f>IFERROR(__xludf.DUMMYFUNCTION("""COMPUTED_VALUE"""),"")</f>
        <v/>
      </c>
      <c r="AI6" s="89" t="str">
        <f>IFERROR(__xludf.DUMMYFUNCTION("""COMPUTED_VALUE"""),"")</f>
        <v/>
      </c>
      <c r="AJ6" s="89" t="str">
        <f>IFERROR(__xludf.DUMMYFUNCTION("""COMPUTED_VALUE"""),"")</f>
        <v/>
      </c>
      <c r="AK6" s="89">
        <f>IFERROR(__xludf.DUMMYFUNCTION("""COMPUTED_VALUE"""),0.0)</f>
        <v>0</v>
      </c>
    </row>
    <row r="7" ht="39.75" customHeight="1">
      <c r="A7" s="84" t="str">
        <f t="shared" si="1"/>
        <v/>
      </c>
      <c r="B7" s="82" t="s">
        <v>45</v>
      </c>
      <c r="C7" s="85" t="s">
        <v>46</v>
      </c>
      <c r="D7" s="85">
        <f t="shared" si="2"/>
        <v>16</v>
      </c>
      <c r="E7" s="82" t="s">
        <v>38</v>
      </c>
      <c r="F7" s="86">
        <f t="shared" si="3"/>
        <v>0.19</v>
      </c>
      <c r="G7" s="87">
        <f t="shared" si="4"/>
        <v>1598</v>
      </c>
      <c r="H7" s="83">
        <v>1898.0</v>
      </c>
      <c r="I7" s="82" t="str">
        <f t="shared" si="5"/>
        <v>哞哞鮮奶,10,豆製肉,6</v>
      </c>
      <c r="J7" s="84" t="s">
        <v>1</v>
      </c>
      <c r="K7" s="82">
        <v>10.0</v>
      </c>
      <c r="L7" s="84" t="s">
        <v>4</v>
      </c>
      <c r="M7" s="82">
        <v>6.0</v>
      </c>
      <c r="N7" s="84"/>
      <c r="O7" s="85"/>
      <c r="P7" s="84"/>
      <c r="Q7" s="85"/>
      <c r="R7" s="88" t="str">
        <f>IFERROR(__xludf.DUMMYFUNCTION("BYCOL($R$2:$AK$2, LAMBDA(header, IFERROR(SUM(FILTER(K7:Q7, J7:P7=header)), """")))
"),"")</f>
        <v/>
      </c>
      <c r="S7" s="89">
        <f>IFERROR(__xludf.DUMMYFUNCTION("""COMPUTED_VALUE"""),10.0)</f>
        <v>10</v>
      </c>
      <c r="T7" s="89" t="str">
        <f>IFERROR(__xludf.DUMMYFUNCTION("""COMPUTED_VALUE"""),"")</f>
        <v/>
      </c>
      <c r="U7" s="89" t="str">
        <f>IFERROR(__xludf.DUMMYFUNCTION("""COMPUTED_VALUE"""),"")</f>
        <v/>
      </c>
      <c r="V7" s="89">
        <f>IFERROR(__xludf.DUMMYFUNCTION("""COMPUTED_VALUE"""),6.0)</f>
        <v>6</v>
      </c>
      <c r="W7" s="89" t="str">
        <f>IFERROR(__xludf.DUMMYFUNCTION("""COMPUTED_VALUE"""),"")</f>
        <v/>
      </c>
      <c r="X7" s="89" t="str">
        <f>IFERROR(__xludf.DUMMYFUNCTION("""COMPUTED_VALUE"""),"")</f>
        <v/>
      </c>
      <c r="Y7" s="89" t="str">
        <f>IFERROR(__xludf.DUMMYFUNCTION("""COMPUTED_VALUE"""),"")</f>
        <v/>
      </c>
      <c r="Z7" s="89" t="str">
        <f>IFERROR(__xludf.DUMMYFUNCTION("""COMPUTED_VALUE"""),"")</f>
        <v/>
      </c>
      <c r="AA7" s="89" t="str">
        <f>IFERROR(__xludf.DUMMYFUNCTION("""COMPUTED_VALUE"""),"")</f>
        <v/>
      </c>
      <c r="AB7" s="89" t="str">
        <f>IFERROR(__xludf.DUMMYFUNCTION("""COMPUTED_VALUE"""),"")</f>
        <v/>
      </c>
      <c r="AC7" s="89" t="str">
        <f>IFERROR(__xludf.DUMMYFUNCTION("""COMPUTED_VALUE"""),"")</f>
        <v/>
      </c>
      <c r="AD7" s="89" t="str">
        <f>IFERROR(__xludf.DUMMYFUNCTION("""COMPUTED_VALUE"""),"")</f>
        <v/>
      </c>
      <c r="AE7" s="89" t="str">
        <f>IFERROR(__xludf.DUMMYFUNCTION("""COMPUTED_VALUE"""),"")</f>
        <v/>
      </c>
      <c r="AF7" s="89" t="str">
        <f>IFERROR(__xludf.DUMMYFUNCTION("""COMPUTED_VALUE"""),"")</f>
        <v/>
      </c>
      <c r="AG7" s="89" t="str">
        <f>IFERROR(__xludf.DUMMYFUNCTION("""COMPUTED_VALUE"""),"")</f>
        <v/>
      </c>
      <c r="AH7" s="89" t="str">
        <f>IFERROR(__xludf.DUMMYFUNCTION("""COMPUTED_VALUE"""),"")</f>
        <v/>
      </c>
      <c r="AI7" s="89" t="str">
        <f>IFERROR(__xludf.DUMMYFUNCTION("""COMPUTED_VALUE"""),"")</f>
        <v/>
      </c>
      <c r="AJ7" s="89" t="str">
        <f>IFERROR(__xludf.DUMMYFUNCTION("""COMPUTED_VALUE"""),"")</f>
        <v/>
      </c>
      <c r="AK7" s="89">
        <f>IFERROR(__xludf.DUMMYFUNCTION("""COMPUTED_VALUE"""),0.0)</f>
        <v>0</v>
      </c>
    </row>
    <row r="8" ht="39.75" customHeight="1">
      <c r="A8" s="84" t="str">
        <f t="shared" si="1"/>
        <v/>
      </c>
      <c r="B8" s="82" t="s">
        <v>47</v>
      </c>
      <c r="C8" s="85" t="s">
        <v>48</v>
      </c>
      <c r="D8" s="85">
        <f t="shared" si="2"/>
        <v>16</v>
      </c>
      <c r="E8" s="82" t="s">
        <v>38</v>
      </c>
      <c r="F8" s="86">
        <f t="shared" si="3"/>
        <v>0.19</v>
      </c>
      <c r="G8" s="87">
        <f t="shared" si="4"/>
        <v>1780</v>
      </c>
      <c r="H8" s="83">
        <v>2114.0</v>
      </c>
      <c r="I8" s="82" t="str">
        <f t="shared" si="5"/>
        <v>萌綠大豆,10,火辣香草,6</v>
      </c>
      <c r="J8" s="84" t="s">
        <v>2</v>
      </c>
      <c r="K8" s="82">
        <v>10.0</v>
      </c>
      <c r="L8" s="84" t="s">
        <v>10</v>
      </c>
      <c r="M8" s="82">
        <v>6.0</v>
      </c>
      <c r="N8" s="84"/>
      <c r="O8" s="85"/>
      <c r="P8" s="84"/>
      <c r="Q8" s="85"/>
      <c r="R8" s="88" t="str">
        <f>IFERROR(__xludf.DUMMYFUNCTION("BYCOL($R$2:$AK$2, LAMBDA(header, IFERROR(SUM(FILTER(K8:Q8, J8:P8=header)), """")))
"),"")</f>
        <v/>
      </c>
      <c r="S8" s="89" t="str">
        <f>IFERROR(__xludf.DUMMYFUNCTION("""COMPUTED_VALUE"""),"")</f>
        <v/>
      </c>
      <c r="T8" s="89">
        <f>IFERROR(__xludf.DUMMYFUNCTION("""COMPUTED_VALUE"""),10.0)</f>
        <v>10</v>
      </c>
      <c r="U8" s="89" t="str">
        <f>IFERROR(__xludf.DUMMYFUNCTION("""COMPUTED_VALUE"""),"")</f>
        <v/>
      </c>
      <c r="V8" s="89" t="str">
        <f>IFERROR(__xludf.DUMMYFUNCTION("""COMPUTED_VALUE"""),"")</f>
        <v/>
      </c>
      <c r="W8" s="89" t="str">
        <f>IFERROR(__xludf.DUMMYFUNCTION("""COMPUTED_VALUE"""),"")</f>
        <v/>
      </c>
      <c r="X8" s="89" t="str">
        <f>IFERROR(__xludf.DUMMYFUNCTION("""COMPUTED_VALUE"""),"")</f>
        <v/>
      </c>
      <c r="Y8" s="89" t="str">
        <f>IFERROR(__xludf.DUMMYFUNCTION("""COMPUTED_VALUE"""),"")</f>
        <v/>
      </c>
      <c r="Z8" s="89" t="str">
        <f>IFERROR(__xludf.DUMMYFUNCTION("""COMPUTED_VALUE"""),"")</f>
        <v/>
      </c>
      <c r="AA8" s="89" t="str">
        <f>IFERROR(__xludf.DUMMYFUNCTION("""COMPUTED_VALUE"""),"")</f>
        <v/>
      </c>
      <c r="AB8" s="89">
        <f>IFERROR(__xludf.DUMMYFUNCTION("""COMPUTED_VALUE"""),6.0)</f>
        <v>6</v>
      </c>
      <c r="AC8" s="89" t="str">
        <f>IFERROR(__xludf.DUMMYFUNCTION("""COMPUTED_VALUE"""),"")</f>
        <v/>
      </c>
      <c r="AD8" s="89" t="str">
        <f>IFERROR(__xludf.DUMMYFUNCTION("""COMPUTED_VALUE"""),"")</f>
        <v/>
      </c>
      <c r="AE8" s="89" t="str">
        <f>IFERROR(__xludf.DUMMYFUNCTION("""COMPUTED_VALUE"""),"")</f>
        <v/>
      </c>
      <c r="AF8" s="89" t="str">
        <f>IFERROR(__xludf.DUMMYFUNCTION("""COMPUTED_VALUE"""),"")</f>
        <v/>
      </c>
      <c r="AG8" s="89" t="str">
        <f>IFERROR(__xludf.DUMMYFUNCTION("""COMPUTED_VALUE"""),"")</f>
        <v/>
      </c>
      <c r="AH8" s="89" t="str">
        <f>IFERROR(__xludf.DUMMYFUNCTION("""COMPUTED_VALUE"""),"")</f>
        <v/>
      </c>
      <c r="AI8" s="89" t="str">
        <f>IFERROR(__xludf.DUMMYFUNCTION("""COMPUTED_VALUE"""),"")</f>
        <v/>
      </c>
      <c r="AJ8" s="89" t="str">
        <f>IFERROR(__xludf.DUMMYFUNCTION("""COMPUTED_VALUE"""),"")</f>
        <v/>
      </c>
      <c r="AK8" s="89">
        <f>IFERROR(__xludf.DUMMYFUNCTION("""COMPUTED_VALUE"""),0.0)</f>
        <v>0</v>
      </c>
    </row>
    <row r="9" ht="39.75" customHeight="1">
      <c r="A9" s="84" t="str">
        <f t="shared" si="1"/>
        <v/>
      </c>
      <c r="B9" s="82" t="s">
        <v>49</v>
      </c>
      <c r="C9" s="85" t="s">
        <v>50</v>
      </c>
      <c r="D9" s="85">
        <f t="shared" si="2"/>
        <v>23</v>
      </c>
      <c r="E9" s="82" t="s">
        <v>38</v>
      </c>
      <c r="F9" s="86">
        <f t="shared" si="3"/>
        <v>0.21</v>
      </c>
      <c r="G9" s="87">
        <f t="shared" si="4"/>
        <v>2203</v>
      </c>
      <c r="H9" s="83">
        <v>2655.0</v>
      </c>
      <c r="I9" s="82" t="str">
        <f t="shared" si="5"/>
        <v>特選蘋果,15,哞哞鮮奶,5,純粹油,3</v>
      </c>
      <c r="J9" s="84" t="s">
        <v>0</v>
      </c>
      <c r="K9" s="82">
        <v>15.0</v>
      </c>
      <c r="L9" s="84" t="s">
        <v>1</v>
      </c>
      <c r="M9" s="82">
        <v>5.0</v>
      </c>
      <c r="N9" s="84" t="s">
        <v>8</v>
      </c>
      <c r="O9" s="82">
        <v>3.0</v>
      </c>
      <c r="P9" s="84"/>
      <c r="Q9" s="85"/>
      <c r="R9" s="88">
        <f>IFERROR(__xludf.DUMMYFUNCTION("BYCOL($R$2:$AK$2, LAMBDA(header, IFERROR(SUM(FILTER(K9:Q9, J9:P9=header)), """")))
"),15.0)</f>
        <v>15</v>
      </c>
      <c r="S9" s="89">
        <f>IFERROR(__xludf.DUMMYFUNCTION("""COMPUTED_VALUE"""),5.0)</f>
        <v>5</v>
      </c>
      <c r="T9" s="89" t="str">
        <f>IFERROR(__xludf.DUMMYFUNCTION("""COMPUTED_VALUE"""),"")</f>
        <v/>
      </c>
      <c r="U9" s="89" t="str">
        <f>IFERROR(__xludf.DUMMYFUNCTION("""COMPUTED_VALUE"""),"")</f>
        <v/>
      </c>
      <c r="V9" s="89" t="str">
        <f>IFERROR(__xludf.DUMMYFUNCTION("""COMPUTED_VALUE"""),"")</f>
        <v/>
      </c>
      <c r="W9" s="89" t="str">
        <f>IFERROR(__xludf.DUMMYFUNCTION("""COMPUTED_VALUE"""),"")</f>
        <v/>
      </c>
      <c r="X9" s="89" t="str">
        <f>IFERROR(__xludf.DUMMYFUNCTION("""COMPUTED_VALUE"""),"")</f>
        <v/>
      </c>
      <c r="Y9" s="89" t="str">
        <f>IFERROR(__xludf.DUMMYFUNCTION("""COMPUTED_VALUE"""),"")</f>
        <v/>
      </c>
      <c r="Z9" s="89">
        <f>IFERROR(__xludf.DUMMYFUNCTION("""COMPUTED_VALUE"""),3.0)</f>
        <v>3</v>
      </c>
      <c r="AA9" s="89" t="str">
        <f>IFERROR(__xludf.DUMMYFUNCTION("""COMPUTED_VALUE"""),"")</f>
        <v/>
      </c>
      <c r="AB9" s="89" t="str">
        <f>IFERROR(__xludf.DUMMYFUNCTION("""COMPUTED_VALUE"""),"")</f>
        <v/>
      </c>
      <c r="AC9" s="89" t="str">
        <f>IFERROR(__xludf.DUMMYFUNCTION("""COMPUTED_VALUE"""),"")</f>
        <v/>
      </c>
      <c r="AD9" s="89" t="str">
        <f>IFERROR(__xludf.DUMMYFUNCTION("""COMPUTED_VALUE"""),"")</f>
        <v/>
      </c>
      <c r="AE9" s="89" t="str">
        <f>IFERROR(__xludf.DUMMYFUNCTION("""COMPUTED_VALUE"""),"")</f>
        <v/>
      </c>
      <c r="AF9" s="89" t="str">
        <f>IFERROR(__xludf.DUMMYFUNCTION("""COMPUTED_VALUE"""),"")</f>
        <v/>
      </c>
      <c r="AG9" s="89" t="str">
        <f>IFERROR(__xludf.DUMMYFUNCTION("""COMPUTED_VALUE"""),"")</f>
        <v/>
      </c>
      <c r="AH9" s="89" t="str">
        <f>IFERROR(__xludf.DUMMYFUNCTION("""COMPUTED_VALUE"""),"")</f>
        <v/>
      </c>
      <c r="AI9" s="89" t="str">
        <f>IFERROR(__xludf.DUMMYFUNCTION("""COMPUTED_VALUE"""),"")</f>
        <v/>
      </c>
      <c r="AJ9" s="89" t="str">
        <f>IFERROR(__xludf.DUMMYFUNCTION("""COMPUTED_VALUE"""),"")</f>
        <v/>
      </c>
      <c r="AK9" s="89">
        <f>IFERROR(__xludf.DUMMYFUNCTION("""COMPUTED_VALUE"""),0.0)</f>
        <v>0</v>
      </c>
    </row>
    <row r="10" ht="39.75" customHeight="1">
      <c r="A10" s="84" t="str">
        <f t="shared" si="1"/>
        <v/>
      </c>
      <c r="B10" s="82" t="s">
        <v>51</v>
      </c>
      <c r="C10" s="85" t="s">
        <v>52</v>
      </c>
      <c r="D10" s="85">
        <f t="shared" si="2"/>
        <v>17</v>
      </c>
      <c r="E10" s="82" t="s">
        <v>38</v>
      </c>
      <c r="F10" s="86">
        <f t="shared" si="3"/>
        <v>0.25</v>
      </c>
      <c r="G10" s="87">
        <f t="shared" si="4"/>
        <v>2228</v>
      </c>
      <c r="H10" s="83">
        <v>2785.0</v>
      </c>
      <c r="I10" s="82" t="str">
        <f t="shared" si="5"/>
        <v>萌綠玉米,9,純粹油,8</v>
      </c>
      <c r="J10" s="84" t="s">
        <v>11</v>
      </c>
      <c r="K10" s="82">
        <v>9.0</v>
      </c>
      <c r="L10" s="84" t="s">
        <v>8</v>
      </c>
      <c r="M10" s="82">
        <v>8.0</v>
      </c>
      <c r="N10" s="84"/>
      <c r="O10" s="85"/>
      <c r="P10" s="84"/>
      <c r="Q10" s="85"/>
      <c r="R10" s="88" t="str">
        <f>IFERROR(__xludf.DUMMYFUNCTION("BYCOL($R$2:$AK$2, LAMBDA(header, IFERROR(SUM(FILTER(K10:Q10, J10:P10=header)), """")))
"),"")</f>
        <v/>
      </c>
      <c r="S10" s="89" t="str">
        <f>IFERROR(__xludf.DUMMYFUNCTION("""COMPUTED_VALUE"""),"")</f>
        <v/>
      </c>
      <c r="T10" s="89" t="str">
        <f>IFERROR(__xludf.DUMMYFUNCTION("""COMPUTED_VALUE"""),"")</f>
        <v/>
      </c>
      <c r="U10" s="89" t="str">
        <f>IFERROR(__xludf.DUMMYFUNCTION("""COMPUTED_VALUE"""),"")</f>
        <v/>
      </c>
      <c r="V10" s="89" t="str">
        <f>IFERROR(__xludf.DUMMYFUNCTION("""COMPUTED_VALUE"""),"")</f>
        <v/>
      </c>
      <c r="W10" s="89" t="str">
        <f>IFERROR(__xludf.DUMMYFUNCTION("""COMPUTED_VALUE"""),"")</f>
        <v/>
      </c>
      <c r="X10" s="89" t="str">
        <f>IFERROR(__xludf.DUMMYFUNCTION("""COMPUTED_VALUE"""),"")</f>
        <v/>
      </c>
      <c r="Y10" s="89" t="str">
        <f>IFERROR(__xludf.DUMMYFUNCTION("""COMPUTED_VALUE"""),"")</f>
        <v/>
      </c>
      <c r="Z10" s="84">
        <f>IFERROR(__xludf.DUMMYFUNCTION("""COMPUTED_VALUE"""),8.0)</f>
        <v>8</v>
      </c>
      <c r="AA10" s="89" t="str">
        <f>IFERROR(__xludf.DUMMYFUNCTION("""COMPUTED_VALUE"""),"")</f>
        <v/>
      </c>
      <c r="AB10" s="89" t="str">
        <f>IFERROR(__xludf.DUMMYFUNCTION("""COMPUTED_VALUE"""),"")</f>
        <v/>
      </c>
      <c r="AC10" s="84">
        <f>IFERROR(__xludf.DUMMYFUNCTION("""COMPUTED_VALUE"""),9.0)</f>
        <v>9</v>
      </c>
      <c r="AD10" s="89" t="str">
        <f>IFERROR(__xludf.DUMMYFUNCTION("""COMPUTED_VALUE"""),"")</f>
        <v/>
      </c>
      <c r="AE10" s="89" t="str">
        <f>IFERROR(__xludf.DUMMYFUNCTION("""COMPUTED_VALUE"""),"")</f>
        <v/>
      </c>
      <c r="AF10" s="84" t="str">
        <f>IFERROR(__xludf.DUMMYFUNCTION("""COMPUTED_VALUE"""),"")</f>
        <v/>
      </c>
      <c r="AG10" s="89" t="str">
        <f>IFERROR(__xludf.DUMMYFUNCTION("""COMPUTED_VALUE"""),"")</f>
        <v/>
      </c>
      <c r="AH10" s="89" t="str">
        <f>IFERROR(__xludf.DUMMYFUNCTION("""COMPUTED_VALUE"""),"")</f>
        <v/>
      </c>
      <c r="AI10" s="84" t="str">
        <f>IFERROR(__xludf.DUMMYFUNCTION("""COMPUTED_VALUE"""),"")</f>
        <v/>
      </c>
      <c r="AJ10" s="89" t="str">
        <f>IFERROR(__xludf.DUMMYFUNCTION("""COMPUTED_VALUE"""),"")</f>
        <v/>
      </c>
      <c r="AK10" s="84">
        <f>IFERROR(__xludf.DUMMYFUNCTION("""COMPUTED_VALUE"""),0.0)</f>
        <v>0</v>
      </c>
    </row>
    <row r="11" ht="39.75" customHeight="1">
      <c r="A11" s="84" t="str">
        <f t="shared" si="1"/>
        <v/>
      </c>
      <c r="B11" s="82" t="s">
        <v>53</v>
      </c>
      <c r="C11" s="85" t="s">
        <v>54</v>
      </c>
      <c r="D11" s="85">
        <f t="shared" si="2"/>
        <v>15</v>
      </c>
      <c r="E11" s="82" t="s">
        <v>38</v>
      </c>
      <c r="F11" s="86">
        <f t="shared" si="3"/>
        <v>0.19</v>
      </c>
      <c r="G11" s="87">
        <f t="shared" si="4"/>
        <v>2395</v>
      </c>
      <c r="H11" s="83">
        <v>2845.0</v>
      </c>
      <c r="I11" s="82" t="str">
        <f t="shared" si="5"/>
        <v>粗枝大蔥,10,暖暖薑,5</v>
      </c>
      <c r="J11" s="84" t="s">
        <v>16</v>
      </c>
      <c r="K11" s="82">
        <v>10.0</v>
      </c>
      <c r="L11" s="84" t="s">
        <v>5</v>
      </c>
      <c r="M11" s="82">
        <v>5.0</v>
      </c>
      <c r="N11" s="84"/>
      <c r="O11" s="85"/>
      <c r="P11" s="84"/>
      <c r="Q11" s="85"/>
      <c r="R11" s="88" t="str">
        <f>IFERROR(__xludf.DUMMYFUNCTION("BYCOL($R$2:$AK$2, LAMBDA(header, IFERROR(SUM(FILTER(K11:Q11, J11:P11=header)), """")))
"),"")</f>
        <v/>
      </c>
      <c r="S11" s="89" t="str">
        <f>IFERROR(__xludf.DUMMYFUNCTION("""COMPUTED_VALUE"""),"")</f>
        <v/>
      </c>
      <c r="T11" s="89" t="str">
        <f>IFERROR(__xludf.DUMMYFUNCTION("""COMPUTED_VALUE"""),"")</f>
        <v/>
      </c>
      <c r="U11" s="89" t="str">
        <f>IFERROR(__xludf.DUMMYFUNCTION("""COMPUTED_VALUE"""),"")</f>
        <v/>
      </c>
      <c r="V11" s="89" t="str">
        <f>IFERROR(__xludf.DUMMYFUNCTION("""COMPUTED_VALUE"""),"")</f>
        <v/>
      </c>
      <c r="W11" s="89">
        <f>IFERROR(__xludf.DUMMYFUNCTION("""COMPUTED_VALUE"""),5.0)</f>
        <v>5</v>
      </c>
      <c r="X11" s="89" t="str">
        <f>IFERROR(__xludf.DUMMYFUNCTION("""COMPUTED_VALUE"""),"")</f>
        <v/>
      </c>
      <c r="Y11" s="89" t="str">
        <f>IFERROR(__xludf.DUMMYFUNCTION("""COMPUTED_VALUE"""),"")</f>
        <v/>
      </c>
      <c r="Z11" s="89" t="str">
        <f>IFERROR(__xludf.DUMMYFUNCTION("""COMPUTED_VALUE"""),"")</f>
        <v/>
      </c>
      <c r="AA11" s="89" t="str">
        <f>IFERROR(__xludf.DUMMYFUNCTION("""COMPUTED_VALUE"""),"")</f>
        <v/>
      </c>
      <c r="AB11" s="89" t="str">
        <f>IFERROR(__xludf.DUMMYFUNCTION("""COMPUTED_VALUE"""),"")</f>
        <v/>
      </c>
      <c r="AC11" s="89" t="str">
        <f>IFERROR(__xludf.DUMMYFUNCTION("""COMPUTED_VALUE"""),"")</f>
        <v/>
      </c>
      <c r="AD11" s="89" t="str">
        <f>IFERROR(__xludf.DUMMYFUNCTION("""COMPUTED_VALUE"""),"")</f>
        <v/>
      </c>
      <c r="AE11" s="89" t="str">
        <f>IFERROR(__xludf.DUMMYFUNCTION("""COMPUTED_VALUE"""),"")</f>
        <v/>
      </c>
      <c r="AF11" s="89" t="str">
        <f>IFERROR(__xludf.DUMMYFUNCTION("""COMPUTED_VALUE"""),"")</f>
        <v/>
      </c>
      <c r="AG11" s="89" t="str">
        <f>IFERROR(__xludf.DUMMYFUNCTION("""COMPUTED_VALUE"""),"")</f>
        <v/>
      </c>
      <c r="AH11" s="89">
        <f>IFERROR(__xludf.DUMMYFUNCTION("""COMPUTED_VALUE"""),10.0)</f>
        <v>10</v>
      </c>
      <c r="AI11" s="89" t="str">
        <f>IFERROR(__xludf.DUMMYFUNCTION("""COMPUTED_VALUE"""),"")</f>
        <v/>
      </c>
      <c r="AJ11" s="89" t="str">
        <f>IFERROR(__xludf.DUMMYFUNCTION("""COMPUTED_VALUE"""),"")</f>
        <v/>
      </c>
      <c r="AK11" s="89">
        <f>IFERROR(__xludf.DUMMYFUNCTION("""COMPUTED_VALUE"""),0.0)</f>
        <v>0</v>
      </c>
    </row>
    <row r="12" ht="39.75" customHeight="1">
      <c r="A12" s="84" t="str">
        <f t="shared" si="1"/>
        <v/>
      </c>
      <c r="B12" s="82" t="s">
        <v>55</v>
      </c>
      <c r="C12" s="85" t="s">
        <v>56</v>
      </c>
      <c r="D12" s="85">
        <f t="shared" si="2"/>
        <v>23</v>
      </c>
      <c r="E12" s="82" t="s">
        <v>38</v>
      </c>
      <c r="F12" s="86">
        <f t="shared" si="3"/>
        <v>0.21</v>
      </c>
      <c r="G12" s="87">
        <f t="shared" si="4"/>
        <v>2441</v>
      </c>
      <c r="H12" s="83">
        <v>2942.0</v>
      </c>
      <c r="I12" s="82" t="str">
        <f t="shared" si="5"/>
        <v>哞哞鮮奶,12,好眠番茄,6,純粹油,5</v>
      </c>
      <c r="J12" s="84" t="s">
        <v>1</v>
      </c>
      <c r="K12" s="82">
        <v>12.0</v>
      </c>
      <c r="L12" s="84" t="s">
        <v>6</v>
      </c>
      <c r="M12" s="82">
        <v>6.0</v>
      </c>
      <c r="N12" s="84" t="s">
        <v>8</v>
      </c>
      <c r="O12" s="82">
        <v>5.0</v>
      </c>
      <c r="P12" s="84"/>
      <c r="Q12" s="85"/>
      <c r="R12" s="88" t="str">
        <f>IFERROR(__xludf.DUMMYFUNCTION("BYCOL($R$2:$AK$2, LAMBDA(header, IFERROR(SUM(FILTER(K12:Q12, J12:P12=header)), """")))
"),"")</f>
        <v/>
      </c>
      <c r="S12" s="89">
        <f>IFERROR(__xludf.DUMMYFUNCTION("""COMPUTED_VALUE"""),12.0)</f>
        <v>12</v>
      </c>
      <c r="T12" s="89" t="str">
        <f>IFERROR(__xludf.DUMMYFUNCTION("""COMPUTED_VALUE"""),"")</f>
        <v/>
      </c>
      <c r="U12" s="89" t="str">
        <f>IFERROR(__xludf.DUMMYFUNCTION("""COMPUTED_VALUE"""),"")</f>
        <v/>
      </c>
      <c r="V12" s="89" t="str">
        <f>IFERROR(__xludf.DUMMYFUNCTION("""COMPUTED_VALUE"""),"")</f>
        <v/>
      </c>
      <c r="W12" s="89" t="str">
        <f>IFERROR(__xludf.DUMMYFUNCTION("""COMPUTED_VALUE"""),"")</f>
        <v/>
      </c>
      <c r="X12" s="89">
        <f>IFERROR(__xludf.DUMMYFUNCTION("""COMPUTED_VALUE"""),6.0)</f>
        <v>6</v>
      </c>
      <c r="Y12" s="89" t="str">
        <f>IFERROR(__xludf.DUMMYFUNCTION("""COMPUTED_VALUE"""),"")</f>
        <v/>
      </c>
      <c r="Z12" s="89">
        <f>IFERROR(__xludf.DUMMYFUNCTION("""COMPUTED_VALUE"""),5.0)</f>
        <v>5</v>
      </c>
      <c r="AA12" s="89" t="str">
        <f>IFERROR(__xludf.DUMMYFUNCTION("""COMPUTED_VALUE"""),"")</f>
        <v/>
      </c>
      <c r="AB12" s="89" t="str">
        <f>IFERROR(__xludf.DUMMYFUNCTION("""COMPUTED_VALUE"""),"")</f>
        <v/>
      </c>
      <c r="AC12" s="89" t="str">
        <f>IFERROR(__xludf.DUMMYFUNCTION("""COMPUTED_VALUE"""),"")</f>
        <v/>
      </c>
      <c r="AD12" s="89" t="str">
        <f>IFERROR(__xludf.DUMMYFUNCTION("""COMPUTED_VALUE"""),"")</f>
        <v/>
      </c>
      <c r="AE12" s="89" t="str">
        <f>IFERROR(__xludf.DUMMYFUNCTION("""COMPUTED_VALUE"""),"")</f>
        <v/>
      </c>
      <c r="AF12" s="89" t="str">
        <f>IFERROR(__xludf.DUMMYFUNCTION("""COMPUTED_VALUE"""),"")</f>
        <v/>
      </c>
      <c r="AG12" s="89" t="str">
        <f>IFERROR(__xludf.DUMMYFUNCTION("""COMPUTED_VALUE"""),"")</f>
        <v/>
      </c>
      <c r="AH12" s="89" t="str">
        <f>IFERROR(__xludf.DUMMYFUNCTION("""COMPUTED_VALUE"""),"")</f>
        <v/>
      </c>
      <c r="AI12" s="89" t="str">
        <f>IFERROR(__xludf.DUMMYFUNCTION("""COMPUTED_VALUE"""),"")</f>
        <v/>
      </c>
      <c r="AJ12" s="89" t="str">
        <f>IFERROR(__xludf.DUMMYFUNCTION("""COMPUTED_VALUE"""),"")</f>
        <v/>
      </c>
      <c r="AK12" s="89">
        <f>IFERROR(__xludf.DUMMYFUNCTION("""COMPUTED_VALUE"""),0.0)</f>
        <v>0</v>
      </c>
    </row>
    <row r="13" ht="39.75" customHeight="1">
      <c r="A13" s="84" t="str">
        <f t="shared" si="1"/>
        <v/>
      </c>
      <c r="B13" s="82" t="s">
        <v>57</v>
      </c>
      <c r="C13" s="85" t="s">
        <v>58</v>
      </c>
      <c r="D13" s="85">
        <f t="shared" si="2"/>
        <v>23</v>
      </c>
      <c r="E13" s="82" t="s">
        <v>38</v>
      </c>
      <c r="F13" s="86">
        <f t="shared" si="3"/>
        <v>0.2</v>
      </c>
      <c r="G13" s="87">
        <f t="shared" si="4"/>
        <v>2528</v>
      </c>
      <c r="H13" s="83">
        <v>3046.0</v>
      </c>
      <c r="I13" s="82" t="str">
        <f t="shared" si="5"/>
        <v>豆製肉,9,暖暖薑,6,特選蛋,5,窩心洋芋,3</v>
      </c>
      <c r="J13" s="84" t="s">
        <v>4</v>
      </c>
      <c r="K13" s="82">
        <v>9.0</v>
      </c>
      <c r="L13" s="84" t="s">
        <v>5</v>
      </c>
      <c r="M13" s="82">
        <v>6.0</v>
      </c>
      <c r="N13" s="84" t="s">
        <v>7</v>
      </c>
      <c r="O13" s="82">
        <v>5.0</v>
      </c>
      <c r="P13" s="84" t="s">
        <v>9</v>
      </c>
      <c r="Q13" s="82">
        <v>3.0</v>
      </c>
      <c r="R13" s="88" t="str">
        <f>IFERROR(__xludf.DUMMYFUNCTION("BYCOL($R$2:$AK$2, LAMBDA(header, IFERROR(SUM(FILTER(K13:Q13, J13:P13=header)), """")))
"),"")</f>
        <v/>
      </c>
      <c r="S13" s="89" t="str">
        <f>IFERROR(__xludf.DUMMYFUNCTION("""COMPUTED_VALUE"""),"")</f>
        <v/>
      </c>
      <c r="T13" s="89" t="str">
        <f>IFERROR(__xludf.DUMMYFUNCTION("""COMPUTED_VALUE"""),"")</f>
        <v/>
      </c>
      <c r="U13" s="89" t="str">
        <f>IFERROR(__xludf.DUMMYFUNCTION("""COMPUTED_VALUE"""),"")</f>
        <v/>
      </c>
      <c r="V13" s="89">
        <f>IFERROR(__xludf.DUMMYFUNCTION("""COMPUTED_VALUE"""),9.0)</f>
        <v>9</v>
      </c>
      <c r="W13" s="89">
        <f>IFERROR(__xludf.DUMMYFUNCTION("""COMPUTED_VALUE"""),6.0)</f>
        <v>6</v>
      </c>
      <c r="X13" s="89" t="str">
        <f>IFERROR(__xludf.DUMMYFUNCTION("""COMPUTED_VALUE"""),"")</f>
        <v/>
      </c>
      <c r="Y13" s="89">
        <f>IFERROR(__xludf.DUMMYFUNCTION("""COMPUTED_VALUE"""),5.0)</f>
        <v>5</v>
      </c>
      <c r="Z13" s="89" t="str">
        <f>IFERROR(__xludf.DUMMYFUNCTION("""COMPUTED_VALUE"""),"")</f>
        <v/>
      </c>
      <c r="AA13" s="89">
        <f>IFERROR(__xludf.DUMMYFUNCTION("""COMPUTED_VALUE"""),3.0)</f>
        <v>3</v>
      </c>
      <c r="AB13" s="89" t="str">
        <f>IFERROR(__xludf.DUMMYFUNCTION("""COMPUTED_VALUE"""),"")</f>
        <v/>
      </c>
      <c r="AC13" s="89" t="str">
        <f>IFERROR(__xludf.DUMMYFUNCTION("""COMPUTED_VALUE"""),"")</f>
        <v/>
      </c>
      <c r="AD13" s="89" t="str">
        <f>IFERROR(__xludf.DUMMYFUNCTION("""COMPUTED_VALUE"""),"")</f>
        <v/>
      </c>
      <c r="AE13" s="89" t="str">
        <f>IFERROR(__xludf.DUMMYFUNCTION("""COMPUTED_VALUE"""),"")</f>
        <v/>
      </c>
      <c r="AF13" s="89" t="str">
        <f>IFERROR(__xludf.DUMMYFUNCTION("""COMPUTED_VALUE"""),"")</f>
        <v/>
      </c>
      <c r="AG13" s="89" t="str">
        <f>IFERROR(__xludf.DUMMYFUNCTION("""COMPUTED_VALUE"""),"")</f>
        <v/>
      </c>
      <c r="AH13" s="89" t="str">
        <f>IFERROR(__xludf.DUMMYFUNCTION("""COMPUTED_VALUE"""),"")</f>
        <v/>
      </c>
      <c r="AI13" s="89" t="str">
        <f>IFERROR(__xludf.DUMMYFUNCTION("""COMPUTED_VALUE"""),"")</f>
        <v/>
      </c>
      <c r="AJ13" s="89" t="str">
        <f>IFERROR(__xludf.DUMMYFUNCTION("""COMPUTED_VALUE"""),"")</f>
        <v/>
      </c>
      <c r="AK13" s="89" t="str">
        <f>IFERROR(__xludf.DUMMYFUNCTION("""COMPUTED_VALUE"""),"")</f>
        <v/>
      </c>
    </row>
    <row r="14" ht="39.75" customHeight="1">
      <c r="A14" s="84" t="str">
        <f t="shared" si="1"/>
        <v/>
      </c>
      <c r="B14" s="82" t="s">
        <v>59</v>
      </c>
      <c r="C14" s="85" t="s">
        <v>60</v>
      </c>
      <c r="D14" s="85">
        <f t="shared" si="2"/>
        <v>24</v>
      </c>
      <c r="E14" s="82" t="s">
        <v>38</v>
      </c>
      <c r="F14" s="86">
        <f t="shared" si="3"/>
        <v>0.25</v>
      </c>
      <c r="G14" s="87">
        <f t="shared" si="4"/>
        <v>2490</v>
      </c>
      <c r="H14" s="83">
        <v>3113.0</v>
      </c>
      <c r="I14" s="82" t="str">
        <f t="shared" si="5"/>
        <v>萌綠大豆,15,好眠番茄,9</v>
      </c>
      <c r="J14" s="84" t="s">
        <v>2</v>
      </c>
      <c r="K14" s="82">
        <v>15.0</v>
      </c>
      <c r="L14" s="84" t="s">
        <v>6</v>
      </c>
      <c r="M14" s="82">
        <v>9.0</v>
      </c>
      <c r="N14" s="84"/>
      <c r="O14" s="85"/>
      <c r="P14" s="84"/>
      <c r="Q14" s="85"/>
      <c r="R14" s="88" t="str">
        <f>IFERROR(__xludf.DUMMYFUNCTION("BYCOL($R$2:$AK$2, LAMBDA(header, IFERROR(SUM(FILTER(K14:Q14, J14:P14=header)), """")))
"),"")</f>
        <v/>
      </c>
      <c r="S14" s="89" t="str">
        <f>IFERROR(__xludf.DUMMYFUNCTION("""COMPUTED_VALUE"""),"")</f>
        <v/>
      </c>
      <c r="T14" s="89">
        <f>IFERROR(__xludf.DUMMYFUNCTION("""COMPUTED_VALUE"""),15.0)</f>
        <v>15</v>
      </c>
      <c r="U14" s="89" t="str">
        <f>IFERROR(__xludf.DUMMYFUNCTION("""COMPUTED_VALUE"""),"")</f>
        <v/>
      </c>
      <c r="V14" s="89" t="str">
        <f>IFERROR(__xludf.DUMMYFUNCTION("""COMPUTED_VALUE"""),"")</f>
        <v/>
      </c>
      <c r="W14" s="89" t="str">
        <f>IFERROR(__xludf.DUMMYFUNCTION("""COMPUTED_VALUE"""),"")</f>
        <v/>
      </c>
      <c r="X14" s="89">
        <f>IFERROR(__xludf.DUMMYFUNCTION("""COMPUTED_VALUE"""),9.0)</f>
        <v>9</v>
      </c>
      <c r="Y14" s="89" t="str">
        <f>IFERROR(__xludf.DUMMYFUNCTION("""COMPUTED_VALUE"""),"")</f>
        <v/>
      </c>
      <c r="Z14" s="89" t="str">
        <f>IFERROR(__xludf.DUMMYFUNCTION("""COMPUTED_VALUE"""),"")</f>
        <v/>
      </c>
      <c r="AA14" s="89" t="str">
        <f>IFERROR(__xludf.DUMMYFUNCTION("""COMPUTED_VALUE"""),"")</f>
        <v/>
      </c>
      <c r="AB14" s="89" t="str">
        <f>IFERROR(__xludf.DUMMYFUNCTION("""COMPUTED_VALUE"""),"")</f>
        <v/>
      </c>
      <c r="AC14" s="89" t="str">
        <f>IFERROR(__xludf.DUMMYFUNCTION("""COMPUTED_VALUE"""),"")</f>
        <v/>
      </c>
      <c r="AD14" s="89" t="str">
        <f>IFERROR(__xludf.DUMMYFUNCTION("""COMPUTED_VALUE"""),"")</f>
        <v/>
      </c>
      <c r="AE14" s="89" t="str">
        <f>IFERROR(__xludf.DUMMYFUNCTION("""COMPUTED_VALUE"""),"")</f>
        <v/>
      </c>
      <c r="AF14" s="89" t="str">
        <f>IFERROR(__xludf.DUMMYFUNCTION("""COMPUTED_VALUE"""),"")</f>
        <v/>
      </c>
      <c r="AG14" s="89" t="str">
        <f>IFERROR(__xludf.DUMMYFUNCTION("""COMPUTED_VALUE"""),"")</f>
        <v/>
      </c>
      <c r="AH14" s="89" t="str">
        <f>IFERROR(__xludf.DUMMYFUNCTION("""COMPUTED_VALUE"""),"")</f>
        <v/>
      </c>
      <c r="AI14" s="89" t="str">
        <f>IFERROR(__xludf.DUMMYFUNCTION("""COMPUTED_VALUE"""),"")</f>
        <v/>
      </c>
      <c r="AJ14" s="89" t="str">
        <f>IFERROR(__xludf.DUMMYFUNCTION("""COMPUTED_VALUE"""),"")</f>
        <v/>
      </c>
      <c r="AK14" s="89">
        <f>IFERROR(__xludf.DUMMYFUNCTION("""COMPUTED_VALUE"""),0.0)</f>
        <v>0</v>
      </c>
    </row>
    <row r="15" ht="39.75" customHeight="1">
      <c r="A15" s="84" t="str">
        <f t="shared" si="1"/>
        <v/>
      </c>
      <c r="B15" s="82" t="s">
        <v>61</v>
      </c>
      <c r="C15" s="85" t="s">
        <v>62</v>
      </c>
      <c r="D15" s="85">
        <f t="shared" si="2"/>
        <v>23</v>
      </c>
      <c r="E15" s="82" t="s">
        <v>38</v>
      </c>
      <c r="F15" s="86">
        <f t="shared" si="3"/>
        <v>0.21</v>
      </c>
      <c r="G15" s="87">
        <f t="shared" si="4"/>
        <v>3041</v>
      </c>
      <c r="H15" s="83">
        <v>3665.0</v>
      </c>
      <c r="I15" s="82" t="str">
        <f t="shared" si="5"/>
        <v>放鬆可可,14,豆製肉,9</v>
      </c>
      <c r="J15" s="84" t="s">
        <v>12</v>
      </c>
      <c r="K15" s="82">
        <v>14.0</v>
      </c>
      <c r="L15" s="84" t="s">
        <v>4</v>
      </c>
      <c r="M15" s="82">
        <v>9.0</v>
      </c>
      <c r="N15" s="84"/>
      <c r="O15" s="85"/>
      <c r="P15" s="84"/>
      <c r="Q15" s="85"/>
      <c r="R15" s="88" t="str">
        <f>IFERROR(__xludf.DUMMYFUNCTION("BYCOL($R$2:$AK$2, LAMBDA(header, IFERROR(SUM(FILTER(K15:Q15, J15:P15=header)), """")))
"),"")</f>
        <v/>
      </c>
      <c r="S15" s="89" t="str">
        <f>IFERROR(__xludf.DUMMYFUNCTION("""COMPUTED_VALUE"""),"")</f>
        <v/>
      </c>
      <c r="T15" s="89" t="str">
        <f>IFERROR(__xludf.DUMMYFUNCTION("""COMPUTED_VALUE"""),"")</f>
        <v/>
      </c>
      <c r="U15" s="89" t="str">
        <f>IFERROR(__xludf.DUMMYFUNCTION("""COMPUTED_VALUE"""),"")</f>
        <v/>
      </c>
      <c r="V15" s="89">
        <f>IFERROR(__xludf.DUMMYFUNCTION("""COMPUTED_VALUE"""),9.0)</f>
        <v>9</v>
      </c>
      <c r="W15" s="89" t="str">
        <f>IFERROR(__xludf.DUMMYFUNCTION("""COMPUTED_VALUE"""),"")</f>
        <v/>
      </c>
      <c r="X15" s="89" t="str">
        <f>IFERROR(__xludf.DUMMYFUNCTION("""COMPUTED_VALUE"""),"")</f>
        <v/>
      </c>
      <c r="Y15" s="89" t="str">
        <f>IFERROR(__xludf.DUMMYFUNCTION("""COMPUTED_VALUE"""),"")</f>
        <v/>
      </c>
      <c r="Z15" s="89" t="str">
        <f>IFERROR(__xludf.DUMMYFUNCTION("""COMPUTED_VALUE"""),"")</f>
        <v/>
      </c>
      <c r="AA15" s="89" t="str">
        <f>IFERROR(__xludf.DUMMYFUNCTION("""COMPUTED_VALUE"""),"")</f>
        <v/>
      </c>
      <c r="AB15" s="89" t="str">
        <f>IFERROR(__xludf.DUMMYFUNCTION("""COMPUTED_VALUE"""),"")</f>
        <v/>
      </c>
      <c r="AC15" s="89" t="str">
        <f>IFERROR(__xludf.DUMMYFUNCTION("""COMPUTED_VALUE"""),"")</f>
        <v/>
      </c>
      <c r="AD15" s="89">
        <f>IFERROR(__xludf.DUMMYFUNCTION("""COMPUTED_VALUE"""),14.0)</f>
        <v>14</v>
      </c>
      <c r="AE15" s="89" t="str">
        <f>IFERROR(__xludf.DUMMYFUNCTION("""COMPUTED_VALUE"""),"")</f>
        <v/>
      </c>
      <c r="AF15" s="89" t="str">
        <f>IFERROR(__xludf.DUMMYFUNCTION("""COMPUTED_VALUE"""),"")</f>
        <v/>
      </c>
      <c r="AG15" s="89" t="str">
        <f>IFERROR(__xludf.DUMMYFUNCTION("""COMPUTED_VALUE"""),"")</f>
        <v/>
      </c>
      <c r="AH15" s="89" t="str">
        <f>IFERROR(__xludf.DUMMYFUNCTION("""COMPUTED_VALUE"""),"")</f>
        <v/>
      </c>
      <c r="AI15" s="89" t="str">
        <f>IFERROR(__xludf.DUMMYFUNCTION("""COMPUTED_VALUE"""),"")</f>
        <v/>
      </c>
      <c r="AJ15" s="89" t="str">
        <f>IFERROR(__xludf.DUMMYFUNCTION("""COMPUTED_VALUE"""),"")</f>
        <v/>
      </c>
      <c r="AK15" s="89">
        <f>IFERROR(__xludf.DUMMYFUNCTION("""COMPUTED_VALUE"""),0.0)</f>
        <v>0</v>
      </c>
    </row>
    <row r="16" ht="39.75" customHeight="1">
      <c r="A16" s="84" t="str">
        <f t="shared" si="1"/>
        <v/>
      </c>
      <c r="B16" s="82" t="s">
        <v>63</v>
      </c>
      <c r="C16" s="85" t="s">
        <v>64</v>
      </c>
      <c r="D16" s="85">
        <f t="shared" si="2"/>
        <v>36</v>
      </c>
      <c r="E16" s="82" t="s">
        <v>38</v>
      </c>
      <c r="F16" s="86">
        <f t="shared" si="3"/>
        <v>0.25</v>
      </c>
      <c r="G16" s="87">
        <f t="shared" si="4"/>
        <v>4032</v>
      </c>
      <c r="H16" s="83">
        <v>5040.0</v>
      </c>
      <c r="I16" s="82" t="str">
        <f t="shared" si="5"/>
        <v>窩心洋芋,14,特選蛋,9,豆製肉,7,特選蘋果,6</v>
      </c>
      <c r="J16" s="84" t="s">
        <v>9</v>
      </c>
      <c r="K16" s="82">
        <v>14.0</v>
      </c>
      <c r="L16" s="84" t="s">
        <v>7</v>
      </c>
      <c r="M16" s="82">
        <v>9.0</v>
      </c>
      <c r="N16" s="84" t="s">
        <v>4</v>
      </c>
      <c r="O16" s="82">
        <v>7.0</v>
      </c>
      <c r="P16" s="84" t="s">
        <v>0</v>
      </c>
      <c r="Q16" s="82">
        <v>6.0</v>
      </c>
      <c r="R16" s="88">
        <f>IFERROR(__xludf.DUMMYFUNCTION("BYCOL($R$2:$AK$2, LAMBDA(header, IFERROR(SUM(FILTER(K16:Q16, J16:P16=header)), """")))
"),6.0)</f>
        <v>6</v>
      </c>
      <c r="S16" s="89" t="str">
        <f>IFERROR(__xludf.DUMMYFUNCTION("""COMPUTED_VALUE"""),"")</f>
        <v/>
      </c>
      <c r="T16" s="89" t="str">
        <f>IFERROR(__xludf.DUMMYFUNCTION("""COMPUTED_VALUE"""),"")</f>
        <v/>
      </c>
      <c r="U16" s="89" t="str">
        <f>IFERROR(__xludf.DUMMYFUNCTION("""COMPUTED_VALUE"""),"")</f>
        <v/>
      </c>
      <c r="V16" s="89">
        <f>IFERROR(__xludf.DUMMYFUNCTION("""COMPUTED_VALUE"""),7.0)</f>
        <v>7</v>
      </c>
      <c r="W16" s="89" t="str">
        <f>IFERROR(__xludf.DUMMYFUNCTION("""COMPUTED_VALUE"""),"")</f>
        <v/>
      </c>
      <c r="X16" s="89" t="str">
        <f>IFERROR(__xludf.DUMMYFUNCTION("""COMPUTED_VALUE"""),"")</f>
        <v/>
      </c>
      <c r="Y16" s="89">
        <f>IFERROR(__xludf.DUMMYFUNCTION("""COMPUTED_VALUE"""),9.0)</f>
        <v>9</v>
      </c>
      <c r="Z16" s="89" t="str">
        <f>IFERROR(__xludf.DUMMYFUNCTION("""COMPUTED_VALUE"""),"")</f>
        <v/>
      </c>
      <c r="AA16" s="89">
        <f>IFERROR(__xludf.DUMMYFUNCTION("""COMPUTED_VALUE"""),14.0)</f>
        <v>14</v>
      </c>
      <c r="AB16" s="89" t="str">
        <f>IFERROR(__xludf.DUMMYFUNCTION("""COMPUTED_VALUE"""),"")</f>
        <v/>
      </c>
      <c r="AC16" s="89" t="str">
        <f>IFERROR(__xludf.DUMMYFUNCTION("""COMPUTED_VALUE"""),"")</f>
        <v/>
      </c>
      <c r="AD16" s="89" t="str">
        <f>IFERROR(__xludf.DUMMYFUNCTION("""COMPUTED_VALUE"""),"")</f>
        <v/>
      </c>
      <c r="AE16" s="89" t="str">
        <f>IFERROR(__xludf.DUMMYFUNCTION("""COMPUTED_VALUE"""),"")</f>
        <v/>
      </c>
      <c r="AF16" s="89" t="str">
        <f>IFERROR(__xludf.DUMMYFUNCTION("""COMPUTED_VALUE"""),"")</f>
        <v/>
      </c>
      <c r="AG16" s="89" t="str">
        <f>IFERROR(__xludf.DUMMYFUNCTION("""COMPUTED_VALUE"""),"")</f>
        <v/>
      </c>
      <c r="AH16" s="89" t="str">
        <f>IFERROR(__xludf.DUMMYFUNCTION("""COMPUTED_VALUE"""),"")</f>
        <v/>
      </c>
      <c r="AI16" s="89" t="str">
        <f>IFERROR(__xludf.DUMMYFUNCTION("""COMPUTED_VALUE"""),"")</f>
        <v/>
      </c>
      <c r="AJ16" s="89" t="str">
        <f>IFERROR(__xludf.DUMMYFUNCTION("""COMPUTED_VALUE"""),"")</f>
        <v/>
      </c>
      <c r="AK16" s="89" t="str">
        <f>IFERROR(__xludf.DUMMYFUNCTION("""COMPUTED_VALUE"""),"")</f>
        <v/>
      </c>
    </row>
    <row r="17" ht="39.75" customHeight="1">
      <c r="A17" s="84" t="str">
        <f t="shared" si="1"/>
        <v/>
      </c>
      <c r="B17" s="82" t="s">
        <v>65</v>
      </c>
      <c r="C17" s="85" t="s">
        <v>66</v>
      </c>
      <c r="D17" s="85">
        <f t="shared" si="2"/>
        <v>35</v>
      </c>
      <c r="E17" s="82" t="s">
        <v>38</v>
      </c>
      <c r="F17" s="86">
        <f t="shared" si="3"/>
        <v>0.25</v>
      </c>
      <c r="G17" s="87">
        <f t="shared" si="4"/>
        <v>4180</v>
      </c>
      <c r="H17" s="83">
        <v>5225.0</v>
      </c>
      <c r="I17" s="82" t="str">
        <f t="shared" si="5"/>
        <v>火辣香草,17,暖暖薑,10,好眠番茄,8</v>
      </c>
      <c r="J17" s="84" t="s">
        <v>10</v>
      </c>
      <c r="K17" s="82">
        <v>17.0</v>
      </c>
      <c r="L17" s="84" t="s">
        <v>5</v>
      </c>
      <c r="M17" s="82">
        <v>10.0</v>
      </c>
      <c r="N17" s="84" t="s">
        <v>6</v>
      </c>
      <c r="O17" s="82">
        <v>8.0</v>
      </c>
      <c r="P17" s="84"/>
      <c r="Q17" s="85"/>
      <c r="R17" s="88" t="str">
        <f>IFERROR(__xludf.DUMMYFUNCTION("BYCOL($R$2:$AK$2, LAMBDA(header, IFERROR(SUM(FILTER(K17:Q17, J17:P17=header)), """")))
"),"")</f>
        <v/>
      </c>
      <c r="S17" s="89" t="str">
        <f>IFERROR(__xludf.DUMMYFUNCTION("""COMPUTED_VALUE"""),"")</f>
        <v/>
      </c>
      <c r="T17" s="89" t="str">
        <f>IFERROR(__xludf.DUMMYFUNCTION("""COMPUTED_VALUE"""),"")</f>
        <v/>
      </c>
      <c r="U17" s="89" t="str">
        <f>IFERROR(__xludf.DUMMYFUNCTION("""COMPUTED_VALUE"""),"")</f>
        <v/>
      </c>
      <c r="V17" s="89" t="str">
        <f>IFERROR(__xludf.DUMMYFUNCTION("""COMPUTED_VALUE"""),"")</f>
        <v/>
      </c>
      <c r="W17" s="89">
        <f>IFERROR(__xludf.DUMMYFUNCTION("""COMPUTED_VALUE"""),10.0)</f>
        <v>10</v>
      </c>
      <c r="X17" s="89">
        <f>IFERROR(__xludf.DUMMYFUNCTION("""COMPUTED_VALUE"""),8.0)</f>
        <v>8</v>
      </c>
      <c r="Y17" s="89" t="str">
        <f>IFERROR(__xludf.DUMMYFUNCTION("""COMPUTED_VALUE"""),"")</f>
        <v/>
      </c>
      <c r="Z17" s="89" t="str">
        <f>IFERROR(__xludf.DUMMYFUNCTION("""COMPUTED_VALUE"""),"")</f>
        <v/>
      </c>
      <c r="AA17" s="89" t="str">
        <f>IFERROR(__xludf.DUMMYFUNCTION("""COMPUTED_VALUE"""),"")</f>
        <v/>
      </c>
      <c r="AB17" s="89">
        <f>IFERROR(__xludf.DUMMYFUNCTION("""COMPUTED_VALUE"""),17.0)</f>
        <v>17</v>
      </c>
      <c r="AC17" s="89" t="str">
        <f>IFERROR(__xludf.DUMMYFUNCTION("""COMPUTED_VALUE"""),"")</f>
        <v/>
      </c>
      <c r="AD17" s="89" t="str">
        <f>IFERROR(__xludf.DUMMYFUNCTION("""COMPUTED_VALUE"""),"")</f>
        <v/>
      </c>
      <c r="AE17" s="89" t="str">
        <f>IFERROR(__xludf.DUMMYFUNCTION("""COMPUTED_VALUE"""),"")</f>
        <v/>
      </c>
      <c r="AF17" s="89" t="str">
        <f>IFERROR(__xludf.DUMMYFUNCTION("""COMPUTED_VALUE"""),"")</f>
        <v/>
      </c>
      <c r="AG17" s="89" t="str">
        <f>IFERROR(__xludf.DUMMYFUNCTION("""COMPUTED_VALUE"""),"")</f>
        <v/>
      </c>
      <c r="AH17" s="89" t="str">
        <f>IFERROR(__xludf.DUMMYFUNCTION("""COMPUTED_VALUE"""),"")</f>
        <v/>
      </c>
      <c r="AI17" s="89" t="str">
        <f>IFERROR(__xludf.DUMMYFUNCTION("""COMPUTED_VALUE"""),"")</f>
        <v/>
      </c>
      <c r="AJ17" s="89" t="str">
        <f>IFERROR(__xludf.DUMMYFUNCTION("""COMPUTED_VALUE"""),"")</f>
        <v/>
      </c>
      <c r="AK17" s="89">
        <f>IFERROR(__xludf.DUMMYFUNCTION("""COMPUTED_VALUE"""),0.0)</f>
        <v>0</v>
      </c>
    </row>
    <row r="18" ht="39.75" customHeight="1">
      <c r="A18" s="84" t="str">
        <f t="shared" si="1"/>
        <v/>
      </c>
      <c r="B18" s="82" t="s">
        <v>67</v>
      </c>
      <c r="C18" s="85" t="s">
        <v>68</v>
      </c>
      <c r="D18" s="85">
        <f t="shared" si="2"/>
        <v>33</v>
      </c>
      <c r="E18" s="82" t="s">
        <v>38</v>
      </c>
      <c r="F18" s="86">
        <f t="shared" si="3"/>
        <v>0.25</v>
      </c>
      <c r="G18" s="87">
        <f t="shared" si="4"/>
        <v>4687</v>
      </c>
      <c r="H18" s="83">
        <v>5859.0</v>
      </c>
      <c r="I18" s="82" t="str">
        <f t="shared" si="5"/>
        <v>品鮮蘑菇,17,好眠番茄,8,純粹油,8</v>
      </c>
      <c r="J18" s="84" t="s">
        <v>15</v>
      </c>
      <c r="K18" s="82">
        <v>17.0</v>
      </c>
      <c r="L18" s="84" t="s">
        <v>6</v>
      </c>
      <c r="M18" s="82">
        <v>8.0</v>
      </c>
      <c r="N18" s="84" t="s">
        <v>8</v>
      </c>
      <c r="O18" s="82">
        <v>8.0</v>
      </c>
      <c r="P18" s="84"/>
      <c r="Q18" s="85"/>
      <c r="R18" s="88" t="str">
        <f>IFERROR(__xludf.DUMMYFUNCTION("BYCOL($R$2:$AK$2, LAMBDA(header, IFERROR(SUM(FILTER(K18:Q18, J18:P18=header)), """")))
"),"")</f>
        <v/>
      </c>
      <c r="S18" s="89" t="str">
        <f>IFERROR(__xludf.DUMMYFUNCTION("""COMPUTED_VALUE"""),"")</f>
        <v/>
      </c>
      <c r="T18" s="89" t="str">
        <f>IFERROR(__xludf.DUMMYFUNCTION("""COMPUTED_VALUE"""),"")</f>
        <v/>
      </c>
      <c r="U18" s="89" t="str">
        <f>IFERROR(__xludf.DUMMYFUNCTION("""COMPUTED_VALUE"""),"")</f>
        <v/>
      </c>
      <c r="V18" s="89" t="str">
        <f>IFERROR(__xludf.DUMMYFUNCTION("""COMPUTED_VALUE"""),"")</f>
        <v/>
      </c>
      <c r="W18" s="89" t="str">
        <f>IFERROR(__xludf.DUMMYFUNCTION("""COMPUTED_VALUE"""),"")</f>
        <v/>
      </c>
      <c r="X18" s="89">
        <f>IFERROR(__xludf.DUMMYFUNCTION("""COMPUTED_VALUE"""),8.0)</f>
        <v>8</v>
      </c>
      <c r="Y18" s="89" t="str">
        <f>IFERROR(__xludf.DUMMYFUNCTION("""COMPUTED_VALUE"""),"")</f>
        <v/>
      </c>
      <c r="Z18" s="89">
        <f>IFERROR(__xludf.DUMMYFUNCTION("""COMPUTED_VALUE"""),8.0)</f>
        <v>8</v>
      </c>
      <c r="AA18" s="89" t="str">
        <f>IFERROR(__xludf.DUMMYFUNCTION("""COMPUTED_VALUE"""),"")</f>
        <v/>
      </c>
      <c r="AB18" s="89" t="str">
        <f>IFERROR(__xludf.DUMMYFUNCTION("""COMPUTED_VALUE"""),"")</f>
        <v/>
      </c>
      <c r="AC18" s="89" t="str">
        <f>IFERROR(__xludf.DUMMYFUNCTION("""COMPUTED_VALUE"""),"")</f>
        <v/>
      </c>
      <c r="AD18" s="89" t="str">
        <f>IFERROR(__xludf.DUMMYFUNCTION("""COMPUTED_VALUE"""),"")</f>
        <v/>
      </c>
      <c r="AE18" s="89" t="str">
        <f>IFERROR(__xludf.DUMMYFUNCTION("""COMPUTED_VALUE"""),"")</f>
        <v/>
      </c>
      <c r="AF18" s="89" t="str">
        <f>IFERROR(__xludf.DUMMYFUNCTION("""COMPUTED_VALUE"""),"")</f>
        <v/>
      </c>
      <c r="AG18" s="89">
        <f>IFERROR(__xludf.DUMMYFUNCTION("""COMPUTED_VALUE"""),17.0)</f>
        <v>17</v>
      </c>
      <c r="AH18" s="89" t="str">
        <f>IFERROR(__xludf.DUMMYFUNCTION("""COMPUTED_VALUE"""),"")</f>
        <v/>
      </c>
      <c r="AI18" s="89" t="str">
        <f>IFERROR(__xludf.DUMMYFUNCTION("""COMPUTED_VALUE"""),"")</f>
        <v/>
      </c>
      <c r="AJ18" s="89" t="str">
        <f>IFERROR(__xludf.DUMMYFUNCTION("""COMPUTED_VALUE"""),"")</f>
        <v/>
      </c>
      <c r="AK18" s="89">
        <f>IFERROR(__xludf.DUMMYFUNCTION("""COMPUTED_VALUE"""),0.0)</f>
        <v>0</v>
      </c>
    </row>
    <row r="19" ht="39.75" customHeight="1">
      <c r="A19" s="84" t="str">
        <f t="shared" si="1"/>
        <v/>
      </c>
      <c r="B19" s="82" t="s">
        <v>69</v>
      </c>
      <c r="C19" s="82" t="s">
        <v>70</v>
      </c>
      <c r="D19" s="85">
        <f t="shared" si="2"/>
        <v>42</v>
      </c>
      <c r="E19" s="82" t="s">
        <v>38</v>
      </c>
      <c r="F19" s="86">
        <f t="shared" si="3"/>
        <v>0.35</v>
      </c>
      <c r="G19" s="87">
        <f t="shared" si="4"/>
        <v>5278</v>
      </c>
      <c r="H19" s="83">
        <v>7125.0</v>
      </c>
      <c r="I19" s="82" t="str">
        <f t="shared" si="5"/>
        <v>嫩亮酪梨,14,萌綠大豆,18,純粹油,10</v>
      </c>
      <c r="J19" s="84" t="s">
        <v>14</v>
      </c>
      <c r="K19" s="82">
        <v>14.0</v>
      </c>
      <c r="L19" s="84" t="s">
        <v>2</v>
      </c>
      <c r="M19" s="82">
        <v>18.0</v>
      </c>
      <c r="N19" s="84" t="s">
        <v>8</v>
      </c>
      <c r="O19" s="82">
        <v>10.0</v>
      </c>
      <c r="P19" s="84"/>
      <c r="Q19" s="85"/>
      <c r="R19" s="88"/>
      <c r="S19" s="89"/>
      <c r="T19" s="84">
        <v>18.0</v>
      </c>
      <c r="U19" s="89"/>
      <c r="V19" s="84"/>
      <c r="W19" s="84"/>
      <c r="X19" s="89"/>
      <c r="Y19" s="89"/>
      <c r="Z19" s="84">
        <v>10.0</v>
      </c>
      <c r="AA19" s="89"/>
      <c r="AB19" s="84"/>
      <c r="AC19" s="84"/>
      <c r="AD19" s="89"/>
      <c r="AE19" s="89"/>
      <c r="AF19" s="84">
        <v>14.0</v>
      </c>
      <c r="AG19" s="89"/>
      <c r="AH19" s="89"/>
      <c r="AI19" s="84"/>
      <c r="AJ19" s="89"/>
      <c r="AK19" s="84"/>
    </row>
    <row r="20" ht="39.75" customHeight="1">
      <c r="A20" s="84" t="str">
        <f t="shared" si="1"/>
        <v/>
      </c>
      <c r="B20" s="82" t="s">
        <v>71</v>
      </c>
      <c r="C20" s="85" t="s">
        <v>72</v>
      </c>
      <c r="D20" s="85">
        <f t="shared" si="2"/>
        <v>49</v>
      </c>
      <c r="E20" s="82" t="s">
        <v>38</v>
      </c>
      <c r="F20" s="86">
        <f t="shared" si="3"/>
        <v>0.48</v>
      </c>
      <c r="G20" s="87">
        <f t="shared" si="4"/>
        <v>5186</v>
      </c>
      <c r="H20" s="83">
        <v>7675.0</v>
      </c>
      <c r="I20" s="82" t="str">
        <f t="shared" si="5"/>
        <v>特選蘋果,21,甜甜蜜,16,萌綠玉米,12</v>
      </c>
      <c r="J20" s="84" t="s">
        <v>0</v>
      </c>
      <c r="K20" s="82">
        <v>21.0</v>
      </c>
      <c r="L20" s="84" t="s">
        <v>3</v>
      </c>
      <c r="M20" s="82">
        <v>16.0</v>
      </c>
      <c r="N20" s="84" t="s">
        <v>11</v>
      </c>
      <c r="O20" s="82">
        <v>12.0</v>
      </c>
      <c r="P20" s="84"/>
      <c r="Q20" s="85"/>
      <c r="R20" s="88">
        <f>IFERROR(__xludf.DUMMYFUNCTION("BYCOL($R$2:$AK$2, LAMBDA(header, IFERROR(SUM(FILTER(K20:Q20, J20:P20=header)), """")))
"),21.0)</f>
        <v>21</v>
      </c>
      <c r="S20" s="89" t="str">
        <f>IFERROR(__xludf.DUMMYFUNCTION("""COMPUTED_VALUE"""),"")</f>
        <v/>
      </c>
      <c r="T20" s="89" t="str">
        <f>IFERROR(__xludf.DUMMYFUNCTION("""COMPUTED_VALUE"""),"")</f>
        <v/>
      </c>
      <c r="U20" s="84">
        <f>IFERROR(__xludf.DUMMYFUNCTION("""COMPUTED_VALUE"""),16.0)</f>
        <v>16</v>
      </c>
      <c r="V20" s="89" t="str">
        <f>IFERROR(__xludf.DUMMYFUNCTION("""COMPUTED_VALUE"""),"")</f>
        <v/>
      </c>
      <c r="W20" s="89" t="str">
        <f>IFERROR(__xludf.DUMMYFUNCTION("""COMPUTED_VALUE"""),"")</f>
        <v/>
      </c>
      <c r="X20" s="89" t="str">
        <f>IFERROR(__xludf.DUMMYFUNCTION("""COMPUTED_VALUE"""),"")</f>
        <v/>
      </c>
      <c r="Y20" s="89" t="str">
        <f>IFERROR(__xludf.DUMMYFUNCTION("""COMPUTED_VALUE"""),"")</f>
        <v/>
      </c>
      <c r="Z20" s="89" t="str">
        <f>IFERROR(__xludf.DUMMYFUNCTION("""COMPUTED_VALUE"""),"")</f>
        <v/>
      </c>
      <c r="AA20" s="89" t="str">
        <f>IFERROR(__xludf.DUMMYFUNCTION("""COMPUTED_VALUE"""),"")</f>
        <v/>
      </c>
      <c r="AB20" s="89" t="str">
        <f>IFERROR(__xludf.DUMMYFUNCTION("""COMPUTED_VALUE"""),"")</f>
        <v/>
      </c>
      <c r="AC20" s="84">
        <f>IFERROR(__xludf.DUMMYFUNCTION("""COMPUTED_VALUE"""),12.0)</f>
        <v>12</v>
      </c>
      <c r="AD20" s="89" t="str">
        <f>IFERROR(__xludf.DUMMYFUNCTION("""COMPUTED_VALUE"""),"")</f>
        <v/>
      </c>
      <c r="AE20" s="89" t="str">
        <f>IFERROR(__xludf.DUMMYFUNCTION("""COMPUTED_VALUE"""),"")</f>
        <v/>
      </c>
      <c r="AF20" s="84" t="str">
        <f>IFERROR(__xludf.DUMMYFUNCTION("""COMPUTED_VALUE"""),"")</f>
        <v/>
      </c>
      <c r="AG20" s="89" t="str">
        <f>IFERROR(__xludf.DUMMYFUNCTION("""COMPUTED_VALUE"""),"")</f>
        <v/>
      </c>
      <c r="AH20" s="89" t="str">
        <f>IFERROR(__xludf.DUMMYFUNCTION("""COMPUTED_VALUE"""),"")</f>
        <v/>
      </c>
      <c r="AI20" s="84" t="str">
        <f>IFERROR(__xludf.DUMMYFUNCTION("""COMPUTED_VALUE"""),"")</f>
        <v/>
      </c>
      <c r="AJ20" s="89" t="str">
        <f>IFERROR(__xludf.DUMMYFUNCTION("""COMPUTED_VALUE"""),"")</f>
        <v/>
      </c>
      <c r="AK20" s="84">
        <f>IFERROR(__xludf.DUMMYFUNCTION("""COMPUTED_VALUE"""),0.0)</f>
        <v>0</v>
      </c>
    </row>
    <row r="21" ht="39.75" customHeight="1">
      <c r="A21" s="84" t="str">
        <f t="shared" si="1"/>
        <v/>
      </c>
      <c r="B21" s="82" t="s">
        <v>73</v>
      </c>
      <c r="C21" s="85" t="s">
        <v>74</v>
      </c>
      <c r="D21" s="85">
        <f t="shared" si="2"/>
        <v>35</v>
      </c>
      <c r="E21" s="82" t="s">
        <v>38</v>
      </c>
      <c r="F21" s="86">
        <f t="shared" si="3"/>
        <v>0.25</v>
      </c>
      <c r="G21" s="87">
        <f t="shared" si="4"/>
        <v>6535</v>
      </c>
      <c r="H21" s="83">
        <v>8169.0</v>
      </c>
      <c r="I21" s="82" t="str">
        <f t="shared" si="5"/>
        <v>純粹油,15,火辣香草,10,美味尾巴,10</v>
      </c>
      <c r="J21" s="84" t="s">
        <v>8</v>
      </c>
      <c r="K21" s="82">
        <v>15.0</v>
      </c>
      <c r="L21" s="84" t="s">
        <v>10</v>
      </c>
      <c r="M21" s="82">
        <v>10.0</v>
      </c>
      <c r="N21" s="84" t="s">
        <v>18</v>
      </c>
      <c r="O21" s="82">
        <v>10.0</v>
      </c>
      <c r="P21" s="84"/>
      <c r="Q21" s="85"/>
      <c r="R21" s="88" t="str">
        <f>IFERROR(__xludf.DUMMYFUNCTION("BYCOL($R$2:$AK$2, LAMBDA(header, IFERROR(SUM(FILTER(K21:Q21, J21:P21=header)), """")))
"),"")</f>
        <v/>
      </c>
      <c r="S21" s="89" t="str">
        <f>IFERROR(__xludf.DUMMYFUNCTION("""COMPUTED_VALUE"""),"")</f>
        <v/>
      </c>
      <c r="T21" s="89" t="str">
        <f>IFERROR(__xludf.DUMMYFUNCTION("""COMPUTED_VALUE"""),"")</f>
        <v/>
      </c>
      <c r="U21" s="89" t="str">
        <f>IFERROR(__xludf.DUMMYFUNCTION("""COMPUTED_VALUE"""),"")</f>
        <v/>
      </c>
      <c r="V21" s="89" t="str">
        <f>IFERROR(__xludf.DUMMYFUNCTION("""COMPUTED_VALUE"""),"")</f>
        <v/>
      </c>
      <c r="W21" s="89" t="str">
        <f>IFERROR(__xludf.DUMMYFUNCTION("""COMPUTED_VALUE"""),"")</f>
        <v/>
      </c>
      <c r="X21" s="89" t="str">
        <f>IFERROR(__xludf.DUMMYFUNCTION("""COMPUTED_VALUE"""),"")</f>
        <v/>
      </c>
      <c r="Y21" s="89" t="str">
        <f>IFERROR(__xludf.DUMMYFUNCTION("""COMPUTED_VALUE"""),"")</f>
        <v/>
      </c>
      <c r="Z21" s="89">
        <f>IFERROR(__xludf.DUMMYFUNCTION("""COMPUTED_VALUE"""),15.0)</f>
        <v>15</v>
      </c>
      <c r="AA21" s="89" t="str">
        <f>IFERROR(__xludf.DUMMYFUNCTION("""COMPUTED_VALUE"""),"")</f>
        <v/>
      </c>
      <c r="AB21" s="89">
        <f>IFERROR(__xludf.DUMMYFUNCTION("""COMPUTED_VALUE"""),10.0)</f>
        <v>10</v>
      </c>
      <c r="AC21" s="89" t="str">
        <f>IFERROR(__xludf.DUMMYFUNCTION("""COMPUTED_VALUE"""),"")</f>
        <v/>
      </c>
      <c r="AD21" s="89" t="str">
        <f>IFERROR(__xludf.DUMMYFUNCTION("""COMPUTED_VALUE"""),"")</f>
        <v/>
      </c>
      <c r="AE21" s="89" t="str">
        <f>IFERROR(__xludf.DUMMYFUNCTION("""COMPUTED_VALUE"""),"")</f>
        <v/>
      </c>
      <c r="AF21" s="89" t="str">
        <f>IFERROR(__xludf.DUMMYFUNCTION("""COMPUTED_VALUE"""),"")</f>
        <v/>
      </c>
      <c r="AG21" s="89" t="str">
        <f>IFERROR(__xludf.DUMMYFUNCTION("""COMPUTED_VALUE"""),"")</f>
        <v/>
      </c>
      <c r="AH21" s="89" t="str">
        <f>IFERROR(__xludf.DUMMYFUNCTION("""COMPUTED_VALUE"""),"")</f>
        <v/>
      </c>
      <c r="AI21" s="89" t="str">
        <f>IFERROR(__xludf.DUMMYFUNCTION("""COMPUTED_VALUE"""),"")</f>
        <v/>
      </c>
      <c r="AJ21" s="89">
        <f>IFERROR(__xludf.DUMMYFUNCTION("""COMPUTED_VALUE"""),10.0)</f>
        <v>10</v>
      </c>
      <c r="AK21" s="89">
        <f>IFERROR(__xludf.DUMMYFUNCTION("""COMPUTED_VALUE"""),0.0)</f>
        <v>0</v>
      </c>
    </row>
    <row r="22" ht="39.75" customHeight="1">
      <c r="A22" s="84" t="str">
        <f t="shared" si="1"/>
        <v/>
      </c>
      <c r="B22" s="82" t="s">
        <v>75</v>
      </c>
      <c r="C22" s="85" t="s">
        <v>76</v>
      </c>
      <c r="D22" s="85">
        <f t="shared" si="2"/>
        <v>56</v>
      </c>
      <c r="E22" s="82" t="s">
        <v>38</v>
      </c>
      <c r="F22" s="86">
        <f t="shared" si="3"/>
        <v>0.35</v>
      </c>
      <c r="G22" s="87">
        <f t="shared" si="4"/>
        <v>6485</v>
      </c>
      <c r="H22" s="83">
        <v>8755.0</v>
      </c>
      <c r="I22" s="82" t="str">
        <f t="shared" si="5"/>
        <v>特選蛋,20,豆製肉,15,萌綠玉米,11,好眠番茄,10</v>
      </c>
      <c r="J22" s="84" t="s">
        <v>7</v>
      </c>
      <c r="K22" s="82">
        <v>20.0</v>
      </c>
      <c r="L22" s="84" t="s">
        <v>4</v>
      </c>
      <c r="M22" s="82">
        <v>15.0</v>
      </c>
      <c r="N22" s="84" t="s">
        <v>11</v>
      </c>
      <c r="O22" s="82">
        <v>11.0</v>
      </c>
      <c r="P22" s="84" t="s">
        <v>6</v>
      </c>
      <c r="Q22" s="82">
        <v>10.0</v>
      </c>
      <c r="R22" s="88" t="str">
        <f>IFERROR(__xludf.DUMMYFUNCTION("BYCOL($R$2:$AK$2, LAMBDA(header, IFERROR(SUM(FILTER(K22:Q22, J22:P22=header)), """")))
"),"")</f>
        <v/>
      </c>
      <c r="S22" s="89" t="str">
        <f>IFERROR(__xludf.DUMMYFUNCTION("""COMPUTED_VALUE"""),"")</f>
        <v/>
      </c>
      <c r="T22" s="89" t="str">
        <f>IFERROR(__xludf.DUMMYFUNCTION("""COMPUTED_VALUE"""),"")</f>
        <v/>
      </c>
      <c r="U22" s="89" t="str">
        <f>IFERROR(__xludf.DUMMYFUNCTION("""COMPUTED_VALUE"""),"")</f>
        <v/>
      </c>
      <c r="V22" s="89">
        <f>IFERROR(__xludf.DUMMYFUNCTION("""COMPUTED_VALUE"""),15.0)</f>
        <v>15</v>
      </c>
      <c r="W22" s="89" t="str">
        <f>IFERROR(__xludf.DUMMYFUNCTION("""COMPUTED_VALUE"""),"")</f>
        <v/>
      </c>
      <c r="X22" s="84">
        <f>IFERROR(__xludf.DUMMYFUNCTION("""COMPUTED_VALUE"""),10.0)</f>
        <v>10</v>
      </c>
      <c r="Y22" s="89">
        <f>IFERROR(__xludf.DUMMYFUNCTION("""COMPUTED_VALUE"""),20.0)</f>
        <v>20</v>
      </c>
      <c r="Z22" s="84" t="str">
        <f>IFERROR(__xludf.DUMMYFUNCTION("""COMPUTED_VALUE"""),"")</f>
        <v/>
      </c>
      <c r="AA22" s="84" t="str">
        <f>IFERROR(__xludf.DUMMYFUNCTION("""COMPUTED_VALUE"""),"")</f>
        <v/>
      </c>
      <c r="AB22" s="89" t="str">
        <f>IFERROR(__xludf.DUMMYFUNCTION("""COMPUTED_VALUE"""),"")</f>
        <v/>
      </c>
      <c r="AC22" s="84">
        <f>IFERROR(__xludf.DUMMYFUNCTION("""COMPUTED_VALUE"""),11.0)</f>
        <v>11</v>
      </c>
      <c r="AD22" s="89" t="str">
        <f>IFERROR(__xludf.DUMMYFUNCTION("""COMPUTED_VALUE"""),"")</f>
        <v/>
      </c>
      <c r="AE22" s="84" t="str">
        <f>IFERROR(__xludf.DUMMYFUNCTION("""COMPUTED_VALUE"""),"")</f>
        <v/>
      </c>
      <c r="AF22" s="84" t="str">
        <f>IFERROR(__xludf.DUMMYFUNCTION("""COMPUTED_VALUE"""),"")</f>
        <v/>
      </c>
      <c r="AG22" s="89" t="str">
        <f>IFERROR(__xludf.DUMMYFUNCTION("""COMPUTED_VALUE"""),"")</f>
        <v/>
      </c>
      <c r="AH22" s="89" t="str">
        <f>IFERROR(__xludf.DUMMYFUNCTION("""COMPUTED_VALUE"""),"")</f>
        <v/>
      </c>
      <c r="AI22" s="84" t="str">
        <f>IFERROR(__xludf.DUMMYFUNCTION("""COMPUTED_VALUE"""),"")</f>
        <v/>
      </c>
      <c r="AJ22" s="89" t="str">
        <f>IFERROR(__xludf.DUMMYFUNCTION("""COMPUTED_VALUE"""),"")</f>
        <v/>
      </c>
      <c r="AK22" s="84" t="str">
        <f>IFERROR(__xludf.DUMMYFUNCTION("""COMPUTED_VALUE"""),"")</f>
        <v/>
      </c>
    </row>
    <row r="23" ht="39.75" customHeight="1">
      <c r="A23" s="84" t="str">
        <f t="shared" si="1"/>
        <v/>
      </c>
      <c r="B23" s="82" t="s">
        <v>77</v>
      </c>
      <c r="C23" s="85" t="s">
        <v>78</v>
      </c>
      <c r="D23" s="85">
        <f t="shared" si="2"/>
        <v>62</v>
      </c>
      <c r="E23" s="82" t="s">
        <v>38</v>
      </c>
      <c r="F23" s="86">
        <f t="shared" si="3"/>
        <v>0.48</v>
      </c>
      <c r="G23" s="87">
        <f t="shared" si="4"/>
        <v>7698</v>
      </c>
      <c r="H23" s="83">
        <v>11393.0</v>
      </c>
      <c r="I23" s="82" t="str">
        <f t="shared" si="5"/>
        <v>純粹油,22,萌綠玉米,17,好眠番茄,14,窩心洋芋,9</v>
      </c>
      <c r="J23" s="84" t="s">
        <v>8</v>
      </c>
      <c r="K23" s="82">
        <v>22.0</v>
      </c>
      <c r="L23" s="84" t="s">
        <v>11</v>
      </c>
      <c r="M23" s="82">
        <v>17.0</v>
      </c>
      <c r="N23" s="84" t="s">
        <v>6</v>
      </c>
      <c r="O23" s="82">
        <v>14.0</v>
      </c>
      <c r="P23" s="84" t="s">
        <v>9</v>
      </c>
      <c r="Q23" s="82">
        <v>9.0</v>
      </c>
      <c r="R23" s="88" t="str">
        <f>IFERROR(__xludf.DUMMYFUNCTION("BYCOL($R$2:$AK$2, LAMBDA(header, IFERROR(SUM(FILTER(K23:Q23, J23:P23=header)), """")))
"),"")</f>
        <v/>
      </c>
      <c r="S23" s="89" t="str">
        <f>IFERROR(__xludf.DUMMYFUNCTION("""COMPUTED_VALUE"""),"")</f>
        <v/>
      </c>
      <c r="T23" s="89" t="str">
        <f>IFERROR(__xludf.DUMMYFUNCTION("""COMPUTED_VALUE"""),"")</f>
        <v/>
      </c>
      <c r="U23" s="89" t="str">
        <f>IFERROR(__xludf.DUMMYFUNCTION("""COMPUTED_VALUE"""),"")</f>
        <v/>
      </c>
      <c r="V23" s="89" t="str">
        <f>IFERROR(__xludf.DUMMYFUNCTION("""COMPUTED_VALUE"""),"")</f>
        <v/>
      </c>
      <c r="W23" s="89" t="str">
        <f>IFERROR(__xludf.DUMMYFUNCTION("""COMPUTED_VALUE"""),"")</f>
        <v/>
      </c>
      <c r="X23" s="84">
        <f>IFERROR(__xludf.DUMMYFUNCTION("""COMPUTED_VALUE"""),14.0)</f>
        <v>14</v>
      </c>
      <c r="Y23" s="89" t="str">
        <f>IFERROR(__xludf.DUMMYFUNCTION("""COMPUTED_VALUE"""),"")</f>
        <v/>
      </c>
      <c r="Z23" s="84">
        <f>IFERROR(__xludf.DUMMYFUNCTION("""COMPUTED_VALUE"""),22.0)</f>
        <v>22</v>
      </c>
      <c r="AA23" s="84">
        <f>IFERROR(__xludf.DUMMYFUNCTION("""COMPUTED_VALUE"""),9.0)</f>
        <v>9</v>
      </c>
      <c r="AB23" s="89" t="str">
        <f>IFERROR(__xludf.DUMMYFUNCTION("""COMPUTED_VALUE"""),"")</f>
        <v/>
      </c>
      <c r="AC23" s="84">
        <f>IFERROR(__xludf.DUMMYFUNCTION("""COMPUTED_VALUE"""),17.0)</f>
        <v>17</v>
      </c>
      <c r="AD23" s="89" t="str">
        <f>IFERROR(__xludf.DUMMYFUNCTION("""COMPUTED_VALUE"""),"")</f>
        <v/>
      </c>
      <c r="AE23" s="84" t="str">
        <f>IFERROR(__xludf.DUMMYFUNCTION("""COMPUTED_VALUE"""),"")</f>
        <v/>
      </c>
      <c r="AF23" s="84" t="str">
        <f>IFERROR(__xludf.DUMMYFUNCTION("""COMPUTED_VALUE"""),"")</f>
        <v/>
      </c>
      <c r="AG23" s="89" t="str">
        <f>IFERROR(__xludf.DUMMYFUNCTION("""COMPUTED_VALUE"""),"")</f>
        <v/>
      </c>
      <c r="AH23" s="89" t="str">
        <f>IFERROR(__xludf.DUMMYFUNCTION("""COMPUTED_VALUE"""),"")</f>
        <v/>
      </c>
      <c r="AI23" s="84" t="str">
        <f>IFERROR(__xludf.DUMMYFUNCTION("""COMPUTED_VALUE"""),"")</f>
        <v/>
      </c>
      <c r="AJ23" s="89" t="str">
        <f>IFERROR(__xludf.DUMMYFUNCTION("""COMPUTED_VALUE"""),"")</f>
        <v/>
      </c>
      <c r="AK23" s="84" t="str">
        <f>IFERROR(__xludf.DUMMYFUNCTION("""COMPUTED_VALUE"""),"")</f>
        <v/>
      </c>
    </row>
    <row r="24" ht="39.75" customHeight="1">
      <c r="A24" s="84" t="str">
        <f t="shared" si="1"/>
        <v/>
      </c>
      <c r="B24" s="82" t="s">
        <v>79</v>
      </c>
      <c r="C24" s="85" t="s">
        <v>80</v>
      </c>
      <c r="D24" s="85">
        <f t="shared" si="2"/>
        <v>57</v>
      </c>
      <c r="E24" s="82" t="s">
        <v>38</v>
      </c>
      <c r="F24" s="86">
        <f t="shared" si="3"/>
        <v>0.48</v>
      </c>
      <c r="G24" s="87">
        <f t="shared" si="4"/>
        <v>7878</v>
      </c>
      <c r="H24" s="83">
        <v>11659.0</v>
      </c>
      <c r="I24" s="82" t="str">
        <f t="shared" si="5"/>
        <v>萌綠大豆,19,粗枝大蔥,15,品鮮蘑菇,12,暖暖薑,11</v>
      </c>
      <c r="J24" s="84" t="s">
        <v>2</v>
      </c>
      <c r="K24" s="82">
        <v>19.0</v>
      </c>
      <c r="L24" s="84" t="s">
        <v>16</v>
      </c>
      <c r="M24" s="82">
        <v>15.0</v>
      </c>
      <c r="N24" s="84" t="s">
        <v>15</v>
      </c>
      <c r="O24" s="82">
        <v>12.0</v>
      </c>
      <c r="P24" s="84" t="s">
        <v>5</v>
      </c>
      <c r="Q24" s="82">
        <v>11.0</v>
      </c>
      <c r="R24" s="88" t="str">
        <f>IFERROR(__xludf.DUMMYFUNCTION("BYCOL($R$2:$AK$2, LAMBDA(header, IFERROR(SUM(FILTER(K24:Q24, J24:P24=header)), """")))
"),"")</f>
        <v/>
      </c>
      <c r="S24" s="89" t="str">
        <f>IFERROR(__xludf.DUMMYFUNCTION("""COMPUTED_VALUE"""),"")</f>
        <v/>
      </c>
      <c r="T24" s="89">
        <f>IFERROR(__xludf.DUMMYFUNCTION("""COMPUTED_VALUE"""),19.0)</f>
        <v>19</v>
      </c>
      <c r="U24" s="89" t="str">
        <f>IFERROR(__xludf.DUMMYFUNCTION("""COMPUTED_VALUE"""),"")</f>
        <v/>
      </c>
      <c r="V24" s="89" t="str">
        <f>IFERROR(__xludf.DUMMYFUNCTION("""COMPUTED_VALUE"""),"")</f>
        <v/>
      </c>
      <c r="W24" s="89">
        <f>IFERROR(__xludf.DUMMYFUNCTION("""COMPUTED_VALUE"""),11.0)</f>
        <v>11</v>
      </c>
      <c r="X24" s="89" t="str">
        <f>IFERROR(__xludf.DUMMYFUNCTION("""COMPUTED_VALUE"""),"")</f>
        <v/>
      </c>
      <c r="Y24" s="89" t="str">
        <f>IFERROR(__xludf.DUMMYFUNCTION("""COMPUTED_VALUE"""),"")</f>
        <v/>
      </c>
      <c r="Z24" s="89" t="str">
        <f>IFERROR(__xludf.DUMMYFUNCTION("""COMPUTED_VALUE"""),"")</f>
        <v/>
      </c>
      <c r="AA24" s="89" t="str">
        <f>IFERROR(__xludf.DUMMYFUNCTION("""COMPUTED_VALUE"""),"")</f>
        <v/>
      </c>
      <c r="AB24" s="89" t="str">
        <f>IFERROR(__xludf.DUMMYFUNCTION("""COMPUTED_VALUE"""),"")</f>
        <v/>
      </c>
      <c r="AC24" s="89" t="str">
        <f>IFERROR(__xludf.DUMMYFUNCTION("""COMPUTED_VALUE"""),"")</f>
        <v/>
      </c>
      <c r="AD24" s="89" t="str">
        <f>IFERROR(__xludf.DUMMYFUNCTION("""COMPUTED_VALUE"""),"")</f>
        <v/>
      </c>
      <c r="AE24" s="89" t="str">
        <f>IFERROR(__xludf.DUMMYFUNCTION("""COMPUTED_VALUE"""),"")</f>
        <v/>
      </c>
      <c r="AF24" s="89" t="str">
        <f>IFERROR(__xludf.DUMMYFUNCTION("""COMPUTED_VALUE"""),"")</f>
        <v/>
      </c>
      <c r="AG24" s="89">
        <f>IFERROR(__xludf.DUMMYFUNCTION("""COMPUTED_VALUE"""),12.0)</f>
        <v>12</v>
      </c>
      <c r="AH24" s="89">
        <f>IFERROR(__xludf.DUMMYFUNCTION("""COMPUTED_VALUE"""),15.0)</f>
        <v>15</v>
      </c>
      <c r="AI24" s="89" t="str">
        <f>IFERROR(__xludf.DUMMYFUNCTION("""COMPUTED_VALUE"""),"")</f>
        <v/>
      </c>
      <c r="AJ24" s="89" t="str">
        <f>IFERROR(__xludf.DUMMYFUNCTION("""COMPUTED_VALUE"""),"")</f>
        <v/>
      </c>
      <c r="AK24" s="89" t="str">
        <f>IFERROR(__xludf.DUMMYFUNCTION("""COMPUTED_VALUE"""),"")</f>
        <v/>
      </c>
    </row>
    <row r="25" ht="39.75" customHeight="1">
      <c r="A25" s="84" t="str">
        <f t="shared" si="1"/>
        <v/>
      </c>
      <c r="B25" s="82" t="s">
        <v>81</v>
      </c>
      <c r="C25" s="82" t="s">
        <v>82</v>
      </c>
      <c r="D25" s="85">
        <f t="shared" si="2"/>
        <v>69</v>
      </c>
      <c r="E25" s="82" t="s">
        <v>38</v>
      </c>
      <c r="F25" s="86">
        <f t="shared" si="3"/>
        <v>0.48</v>
      </c>
      <c r="G25" s="87">
        <f t="shared" si="4"/>
        <v>8028</v>
      </c>
      <c r="H25" s="83">
        <v>11881.0</v>
      </c>
      <c r="I25" s="82" t="str">
        <f t="shared" si="5"/>
        <v>特選蛋,25,純粹油,17,窩心洋芋,15,豆製肉,12</v>
      </c>
      <c r="J25" s="84" t="s">
        <v>7</v>
      </c>
      <c r="K25" s="82">
        <v>25.0</v>
      </c>
      <c r="L25" s="84" t="s">
        <v>8</v>
      </c>
      <c r="M25" s="82">
        <v>17.0</v>
      </c>
      <c r="N25" s="84" t="s">
        <v>9</v>
      </c>
      <c r="O25" s="82">
        <v>15.0</v>
      </c>
      <c r="P25" s="84" t="s">
        <v>4</v>
      </c>
      <c r="Q25" s="82">
        <v>12.0</v>
      </c>
      <c r="R25" s="88" t="str">
        <f>IFERROR(__xludf.DUMMYFUNCTION("BYCOL($R$2:$AK$2, LAMBDA(header, IFERROR(SUM(FILTER(K25:Q25, J25:P25=header)), """")))
"),"")</f>
        <v/>
      </c>
      <c r="S25" s="89" t="str">
        <f>IFERROR(__xludf.DUMMYFUNCTION("""COMPUTED_VALUE"""),"")</f>
        <v/>
      </c>
      <c r="T25" s="89" t="str">
        <f>IFERROR(__xludf.DUMMYFUNCTION("""COMPUTED_VALUE"""),"")</f>
        <v/>
      </c>
      <c r="U25" s="89" t="str">
        <f>IFERROR(__xludf.DUMMYFUNCTION("""COMPUTED_VALUE"""),"")</f>
        <v/>
      </c>
      <c r="V25" s="84">
        <f>IFERROR(__xludf.DUMMYFUNCTION("""COMPUTED_VALUE"""),12.0)</f>
        <v>12</v>
      </c>
      <c r="W25" s="84" t="str">
        <f>IFERROR(__xludf.DUMMYFUNCTION("""COMPUTED_VALUE"""),"")</f>
        <v/>
      </c>
      <c r="X25" s="89" t="str">
        <f>IFERROR(__xludf.DUMMYFUNCTION("""COMPUTED_VALUE"""),"")</f>
        <v/>
      </c>
      <c r="Y25" s="89">
        <f>IFERROR(__xludf.DUMMYFUNCTION("""COMPUTED_VALUE"""),25.0)</f>
        <v>25</v>
      </c>
      <c r="Z25" s="89">
        <f>IFERROR(__xludf.DUMMYFUNCTION("""COMPUTED_VALUE"""),17.0)</f>
        <v>17</v>
      </c>
      <c r="AA25" s="89">
        <f>IFERROR(__xludf.DUMMYFUNCTION("""COMPUTED_VALUE"""),15.0)</f>
        <v>15</v>
      </c>
      <c r="AB25" s="84" t="str">
        <f>IFERROR(__xludf.DUMMYFUNCTION("""COMPUTED_VALUE"""),"")</f>
        <v/>
      </c>
      <c r="AC25" s="84" t="str">
        <f>IFERROR(__xludf.DUMMYFUNCTION("""COMPUTED_VALUE"""),"")</f>
        <v/>
      </c>
      <c r="AD25" s="89" t="str">
        <f>IFERROR(__xludf.DUMMYFUNCTION("""COMPUTED_VALUE"""),"")</f>
        <v/>
      </c>
      <c r="AE25" s="89" t="str">
        <f>IFERROR(__xludf.DUMMYFUNCTION("""COMPUTED_VALUE"""),"")</f>
        <v/>
      </c>
      <c r="AF25" s="84" t="str">
        <f>IFERROR(__xludf.DUMMYFUNCTION("""COMPUTED_VALUE"""),"")</f>
        <v/>
      </c>
      <c r="AG25" s="89" t="str">
        <f>IFERROR(__xludf.DUMMYFUNCTION("""COMPUTED_VALUE"""),"")</f>
        <v/>
      </c>
      <c r="AH25" s="89" t="str">
        <f>IFERROR(__xludf.DUMMYFUNCTION("""COMPUTED_VALUE"""),"")</f>
        <v/>
      </c>
      <c r="AI25" s="84" t="str">
        <f>IFERROR(__xludf.DUMMYFUNCTION("""COMPUTED_VALUE"""),"")</f>
        <v/>
      </c>
      <c r="AJ25" s="89" t="str">
        <f>IFERROR(__xludf.DUMMYFUNCTION("""COMPUTED_VALUE"""),"")</f>
        <v/>
      </c>
      <c r="AK25" s="84" t="str">
        <f>IFERROR(__xludf.DUMMYFUNCTION("""COMPUTED_VALUE"""),"")</f>
        <v/>
      </c>
    </row>
    <row r="26" ht="39.75" customHeight="1">
      <c r="A26" s="84" t="str">
        <f t="shared" si="1"/>
        <v/>
      </c>
      <c r="B26" s="82" t="s">
        <v>83</v>
      </c>
      <c r="C26" s="82" t="s">
        <v>84</v>
      </c>
      <c r="D26" s="85">
        <f t="shared" si="2"/>
        <v>104</v>
      </c>
      <c r="E26" s="82" t="s">
        <v>38</v>
      </c>
      <c r="F26" s="86">
        <f t="shared" si="3"/>
        <v>0.78</v>
      </c>
      <c r="G26" s="87">
        <f t="shared" si="4"/>
        <v>10839</v>
      </c>
      <c r="H26" s="83">
        <v>19293.0</v>
      </c>
      <c r="I26" s="82" t="str">
        <f t="shared" si="5"/>
        <v>特選蛋,35,特選蘋果,28,好眠番茄,23,哞哞鮮奶,18</v>
      </c>
      <c r="J26" s="84" t="s">
        <v>7</v>
      </c>
      <c r="K26" s="82">
        <v>35.0</v>
      </c>
      <c r="L26" s="84" t="s">
        <v>0</v>
      </c>
      <c r="M26" s="82">
        <v>28.0</v>
      </c>
      <c r="N26" s="84" t="s">
        <v>6</v>
      </c>
      <c r="O26" s="82">
        <v>23.0</v>
      </c>
      <c r="P26" s="84" t="s">
        <v>1</v>
      </c>
      <c r="Q26" s="82">
        <v>18.0</v>
      </c>
      <c r="R26" s="88">
        <f>IFERROR(__xludf.DUMMYFUNCTION("BYCOL($R$2:$AK$2, LAMBDA(header, IFERROR(SUM(FILTER(K26:Q26, J26:P26=header)), """")))
"),28.0)</f>
        <v>28</v>
      </c>
      <c r="S26" s="89">
        <f>IFERROR(__xludf.DUMMYFUNCTION("""COMPUTED_VALUE"""),18.0)</f>
        <v>18</v>
      </c>
      <c r="T26" s="89" t="str">
        <f>IFERROR(__xludf.DUMMYFUNCTION("""COMPUTED_VALUE"""),"")</f>
        <v/>
      </c>
      <c r="U26" s="89" t="str">
        <f>IFERROR(__xludf.DUMMYFUNCTION("""COMPUTED_VALUE"""),"")</f>
        <v/>
      </c>
      <c r="V26" s="84" t="str">
        <f>IFERROR(__xludf.DUMMYFUNCTION("""COMPUTED_VALUE"""),"")</f>
        <v/>
      </c>
      <c r="W26" s="84" t="str">
        <f>IFERROR(__xludf.DUMMYFUNCTION("""COMPUTED_VALUE"""),"")</f>
        <v/>
      </c>
      <c r="X26" s="89">
        <f>IFERROR(__xludf.DUMMYFUNCTION("""COMPUTED_VALUE"""),23.0)</f>
        <v>23</v>
      </c>
      <c r="Y26" s="89">
        <f>IFERROR(__xludf.DUMMYFUNCTION("""COMPUTED_VALUE"""),35.0)</f>
        <v>35</v>
      </c>
      <c r="Z26" s="89" t="str">
        <f>IFERROR(__xludf.DUMMYFUNCTION("""COMPUTED_VALUE"""),"")</f>
        <v/>
      </c>
      <c r="AA26" s="89" t="str">
        <f>IFERROR(__xludf.DUMMYFUNCTION("""COMPUTED_VALUE"""),"")</f>
        <v/>
      </c>
      <c r="AB26" s="84" t="str">
        <f>IFERROR(__xludf.DUMMYFUNCTION("""COMPUTED_VALUE"""),"")</f>
        <v/>
      </c>
      <c r="AC26" s="84" t="str">
        <f>IFERROR(__xludf.DUMMYFUNCTION("""COMPUTED_VALUE"""),"")</f>
        <v/>
      </c>
      <c r="AD26" s="89" t="str">
        <f>IFERROR(__xludf.DUMMYFUNCTION("""COMPUTED_VALUE"""),"")</f>
        <v/>
      </c>
      <c r="AE26" s="89" t="str">
        <f>IFERROR(__xludf.DUMMYFUNCTION("""COMPUTED_VALUE"""),"")</f>
        <v/>
      </c>
      <c r="AF26" s="84" t="str">
        <f>IFERROR(__xludf.DUMMYFUNCTION("""COMPUTED_VALUE"""),"")</f>
        <v/>
      </c>
      <c r="AG26" s="89" t="str">
        <f>IFERROR(__xludf.DUMMYFUNCTION("""COMPUTED_VALUE"""),"")</f>
        <v/>
      </c>
      <c r="AH26" s="89" t="str">
        <f>IFERROR(__xludf.DUMMYFUNCTION("""COMPUTED_VALUE"""),"")</f>
        <v/>
      </c>
      <c r="AI26" s="84" t="str">
        <f>IFERROR(__xludf.DUMMYFUNCTION("""COMPUTED_VALUE"""),"")</f>
        <v/>
      </c>
      <c r="AJ26" s="89" t="str">
        <f>IFERROR(__xludf.DUMMYFUNCTION("""COMPUTED_VALUE"""),"")</f>
        <v/>
      </c>
      <c r="AK26" s="84" t="str">
        <f>IFERROR(__xludf.DUMMYFUNCTION("""COMPUTED_VALUE"""),"")</f>
        <v/>
      </c>
    </row>
    <row r="27" ht="39.75" customHeight="1">
      <c r="A27" s="84" t="str">
        <f t="shared" si="1"/>
        <v/>
      </c>
      <c r="B27" s="82" t="s">
        <v>85</v>
      </c>
      <c r="C27" s="85" t="s">
        <v>86</v>
      </c>
      <c r="D27" s="85">
        <f t="shared" si="2"/>
        <v>100</v>
      </c>
      <c r="E27" s="82" t="s">
        <v>38</v>
      </c>
      <c r="F27" s="86">
        <f t="shared" si="3"/>
        <v>0.61</v>
      </c>
      <c r="G27" s="87">
        <f t="shared" si="4"/>
        <v>12558</v>
      </c>
      <c r="H27" s="83">
        <v>20218.0</v>
      </c>
      <c r="I27" s="82" t="str">
        <f t="shared" si="5"/>
        <v>醒腦咖啡豆,28,豆製肉,28,純粹油,22,窩心洋芋,22</v>
      </c>
      <c r="J27" s="84" t="s">
        <v>13</v>
      </c>
      <c r="K27" s="82">
        <v>28.0</v>
      </c>
      <c r="L27" s="84" t="s">
        <v>4</v>
      </c>
      <c r="M27" s="82">
        <v>28.0</v>
      </c>
      <c r="N27" s="84" t="s">
        <v>8</v>
      </c>
      <c r="O27" s="82">
        <v>22.0</v>
      </c>
      <c r="P27" s="84" t="s">
        <v>9</v>
      </c>
      <c r="Q27" s="82">
        <v>22.0</v>
      </c>
      <c r="R27" s="88" t="str">
        <f>IFERROR(__xludf.DUMMYFUNCTION("BYCOL($R$2:$AK$2, LAMBDA(header, IFERROR(SUM(FILTER(K27:Q27, J27:P27=header)), """")))
"),"")</f>
        <v/>
      </c>
      <c r="S27" s="89" t="str">
        <f>IFERROR(__xludf.DUMMYFUNCTION("""COMPUTED_VALUE"""),"")</f>
        <v/>
      </c>
      <c r="T27" s="89" t="str">
        <f>IFERROR(__xludf.DUMMYFUNCTION("""COMPUTED_VALUE"""),"")</f>
        <v/>
      </c>
      <c r="U27" s="89" t="str">
        <f>IFERROR(__xludf.DUMMYFUNCTION("""COMPUTED_VALUE"""),"")</f>
        <v/>
      </c>
      <c r="V27" s="89">
        <f>IFERROR(__xludf.DUMMYFUNCTION("""COMPUTED_VALUE"""),28.0)</f>
        <v>28</v>
      </c>
      <c r="W27" s="89" t="str">
        <f>IFERROR(__xludf.DUMMYFUNCTION("""COMPUTED_VALUE"""),"")</f>
        <v/>
      </c>
      <c r="X27" s="84" t="str">
        <f>IFERROR(__xludf.DUMMYFUNCTION("""COMPUTED_VALUE"""),"")</f>
        <v/>
      </c>
      <c r="Y27" s="89" t="str">
        <f>IFERROR(__xludf.DUMMYFUNCTION("""COMPUTED_VALUE"""),"")</f>
        <v/>
      </c>
      <c r="Z27" s="84">
        <f>IFERROR(__xludf.DUMMYFUNCTION("""COMPUTED_VALUE"""),22.0)</f>
        <v>22</v>
      </c>
      <c r="AA27" s="84">
        <f>IFERROR(__xludf.DUMMYFUNCTION("""COMPUTED_VALUE"""),22.0)</f>
        <v>22</v>
      </c>
      <c r="AB27" s="89" t="str">
        <f>IFERROR(__xludf.DUMMYFUNCTION("""COMPUTED_VALUE"""),"")</f>
        <v/>
      </c>
      <c r="AC27" s="84" t="str">
        <f>IFERROR(__xludf.DUMMYFUNCTION("""COMPUTED_VALUE"""),"")</f>
        <v/>
      </c>
      <c r="AD27" s="89" t="str">
        <f>IFERROR(__xludf.DUMMYFUNCTION("""COMPUTED_VALUE"""),"")</f>
        <v/>
      </c>
      <c r="AE27" s="84">
        <f>IFERROR(__xludf.DUMMYFUNCTION("""COMPUTED_VALUE"""),28.0)</f>
        <v>28</v>
      </c>
      <c r="AF27" s="84" t="str">
        <f>IFERROR(__xludf.DUMMYFUNCTION("""COMPUTED_VALUE"""),"")</f>
        <v/>
      </c>
      <c r="AG27" s="89" t="str">
        <f>IFERROR(__xludf.DUMMYFUNCTION("""COMPUTED_VALUE"""),"")</f>
        <v/>
      </c>
      <c r="AH27" s="89" t="str">
        <f>IFERROR(__xludf.DUMMYFUNCTION("""COMPUTED_VALUE"""),"")</f>
        <v/>
      </c>
      <c r="AI27" s="84" t="str">
        <f>IFERROR(__xludf.DUMMYFUNCTION("""COMPUTED_VALUE"""),"")</f>
        <v/>
      </c>
      <c r="AJ27" s="89" t="str">
        <f>IFERROR(__xludf.DUMMYFUNCTION("""COMPUTED_VALUE"""),"")</f>
        <v/>
      </c>
      <c r="AK27" s="84" t="str">
        <f>IFERROR(__xludf.DUMMYFUNCTION("""COMPUTED_VALUE"""),"")</f>
        <v/>
      </c>
    </row>
    <row r="28" ht="39.75" customHeight="1">
      <c r="A28" s="84" t="str">
        <f t="shared" si="1"/>
        <v/>
      </c>
      <c r="B28" s="82" t="s">
        <v>87</v>
      </c>
      <c r="C28" s="82" t="s">
        <v>88</v>
      </c>
      <c r="D28" s="85">
        <f t="shared" si="2"/>
        <v>105</v>
      </c>
      <c r="E28" s="82" t="s">
        <v>38</v>
      </c>
      <c r="F28" s="86">
        <f t="shared" si="3"/>
        <v>0.78</v>
      </c>
      <c r="G28" s="87">
        <f t="shared" si="4"/>
        <v>14136</v>
      </c>
      <c r="H28" s="83">
        <v>25162.0</v>
      </c>
      <c r="I28" s="82" t="str">
        <f t="shared" si="5"/>
        <v>嫩亮酪梨,28,萌綠玉米,25,火辣香草,30,萌綠大豆,22</v>
      </c>
      <c r="J28" s="84" t="s">
        <v>14</v>
      </c>
      <c r="K28" s="82">
        <v>28.0</v>
      </c>
      <c r="L28" s="84" t="s">
        <v>11</v>
      </c>
      <c r="M28" s="82">
        <v>25.0</v>
      </c>
      <c r="N28" s="84" t="s">
        <v>10</v>
      </c>
      <c r="O28" s="82">
        <v>30.0</v>
      </c>
      <c r="P28" s="84" t="s">
        <v>2</v>
      </c>
      <c r="Q28" s="82">
        <v>22.0</v>
      </c>
      <c r="R28" s="88"/>
      <c r="S28" s="89"/>
      <c r="T28" s="84">
        <v>22.0</v>
      </c>
      <c r="U28" s="89"/>
      <c r="V28" s="84"/>
      <c r="W28" s="84"/>
      <c r="X28" s="89"/>
      <c r="Y28" s="89"/>
      <c r="Z28" s="89"/>
      <c r="AA28" s="89"/>
      <c r="AB28" s="84">
        <v>30.0</v>
      </c>
      <c r="AC28" s="84">
        <v>25.0</v>
      </c>
      <c r="AD28" s="89"/>
      <c r="AE28" s="89"/>
      <c r="AF28" s="84">
        <v>28.0</v>
      </c>
      <c r="AG28" s="89"/>
      <c r="AH28" s="89"/>
      <c r="AI28" s="84"/>
      <c r="AJ28" s="89"/>
      <c r="AK28" s="84"/>
    </row>
    <row r="29" ht="39.75" customHeight="1">
      <c r="A29" s="84" t="str">
        <f t="shared" si="1"/>
        <v/>
      </c>
      <c r="B29" s="82" t="s">
        <v>89</v>
      </c>
      <c r="C29" s="82" t="s">
        <v>90</v>
      </c>
      <c r="D29" s="85">
        <f t="shared" si="2"/>
        <v>95</v>
      </c>
      <c r="E29" s="82" t="s">
        <v>38</v>
      </c>
      <c r="F29" s="86">
        <f t="shared" si="3"/>
        <v>0.61</v>
      </c>
      <c r="G29" s="87">
        <f t="shared" si="4"/>
        <v>15749</v>
      </c>
      <c r="H29" s="83">
        <v>25356.0</v>
      </c>
      <c r="I29" s="82" t="str">
        <f t="shared" si="5"/>
        <v>沉甸甸南瓜,20,窩心洋芋,30,萌綠玉米,18,品鮮蘑菇,27</v>
      </c>
      <c r="J29" s="84" t="s">
        <v>17</v>
      </c>
      <c r="K29" s="82">
        <v>20.0</v>
      </c>
      <c r="L29" s="84" t="s">
        <v>9</v>
      </c>
      <c r="M29" s="82">
        <v>30.0</v>
      </c>
      <c r="N29" s="84" t="s">
        <v>11</v>
      </c>
      <c r="O29" s="82">
        <v>18.0</v>
      </c>
      <c r="P29" s="84" t="s">
        <v>15</v>
      </c>
      <c r="Q29" s="82">
        <v>27.0</v>
      </c>
      <c r="R29" s="88" t="str">
        <f>IFERROR(__xludf.DUMMYFUNCTION("BYCOL($R$2:$AK$2, LAMBDA(header, IFERROR(SUM(FILTER(K29:Q29, J29:P29=header)), """")))
"),"")</f>
        <v/>
      </c>
      <c r="S29" s="89" t="str">
        <f>IFERROR(__xludf.DUMMYFUNCTION("""COMPUTED_VALUE"""),"")</f>
        <v/>
      </c>
      <c r="T29" s="89" t="str">
        <f>IFERROR(__xludf.DUMMYFUNCTION("""COMPUTED_VALUE"""),"")</f>
        <v/>
      </c>
      <c r="U29" s="84" t="str">
        <f>IFERROR(__xludf.DUMMYFUNCTION("""COMPUTED_VALUE"""),"")</f>
        <v/>
      </c>
      <c r="V29" s="84" t="str">
        <f>IFERROR(__xludf.DUMMYFUNCTION("""COMPUTED_VALUE"""),"")</f>
        <v/>
      </c>
      <c r="W29" s="84" t="str">
        <f>IFERROR(__xludf.DUMMYFUNCTION("""COMPUTED_VALUE"""),"")</f>
        <v/>
      </c>
      <c r="X29" s="84" t="str">
        <f>IFERROR(__xludf.DUMMYFUNCTION("""COMPUTED_VALUE"""),"")</f>
        <v/>
      </c>
      <c r="Y29" s="84" t="str">
        <f>IFERROR(__xludf.DUMMYFUNCTION("""COMPUTED_VALUE"""),"")</f>
        <v/>
      </c>
      <c r="Z29" s="84" t="str">
        <f>IFERROR(__xludf.DUMMYFUNCTION("""COMPUTED_VALUE"""),"")</f>
        <v/>
      </c>
      <c r="AA29" s="89">
        <f>IFERROR(__xludf.DUMMYFUNCTION("""COMPUTED_VALUE"""),30.0)</f>
        <v>30</v>
      </c>
      <c r="AB29" s="84" t="str">
        <f>IFERROR(__xludf.DUMMYFUNCTION("""COMPUTED_VALUE"""),"")</f>
        <v/>
      </c>
      <c r="AC29" s="84">
        <f>IFERROR(__xludf.DUMMYFUNCTION("""COMPUTED_VALUE"""),18.0)</f>
        <v>18</v>
      </c>
      <c r="AD29" s="84" t="str">
        <f>IFERROR(__xludf.DUMMYFUNCTION("""COMPUTED_VALUE"""),"")</f>
        <v/>
      </c>
      <c r="AE29" s="89" t="str">
        <f>IFERROR(__xludf.DUMMYFUNCTION("""COMPUTED_VALUE"""),"")</f>
        <v/>
      </c>
      <c r="AF29" s="84" t="str">
        <f>IFERROR(__xludf.DUMMYFUNCTION("""COMPUTED_VALUE"""),"")</f>
        <v/>
      </c>
      <c r="AG29" s="89">
        <f>IFERROR(__xludf.DUMMYFUNCTION("""COMPUTED_VALUE"""),27.0)</f>
        <v>27</v>
      </c>
      <c r="AH29" s="89" t="str">
        <f>IFERROR(__xludf.DUMMYFUNCTION("""COMPUTED_VALUE"""),"")</f>
        <v/>
      </c>
      <c r="AI29" s="84">
        <f>IFERROR(__xludf.DUMMYFUNCTION("""COMPUTED_VALUE"""),20.0)</f>
        <v>20</v>
      </c>
      <c r="AJ29" s="89" t="str">
        <f>IFERROR(__xludf.DUMMYFUNCTION("""COMPUTED_VALUE"""),"")</f>
        <v/>
      </c>
      <c r="AK29" s="84" t="str">
        <f>IFERROR(__xludf.DUMMYFUNCTION("""COMPUTED_VALUE"""),"")</f>
        <v/>
      </c>
    </row>
    <row r="30" ht="39.75" customHeight="1">
      <c r="A30" s="84" t="str">
        <f t="shared" si="1"/>
        <v/>
      </c>
      <c r="B30" s="82" t="s">
        <v>91</v>
      </c>
      <c r="C30" s="85" t="s">
        <v>92</v>
      </c>
      <c r="D30" s="85">
        <f t="shared" si="2"/>
        <v>0</v>
      </c>
      <c r="E30" s="82" t="s">
        <v>93</v>
      </c>
      <c r="F30" s="86">
        <f t="shared" si="3"/>
        <v>0</v>
      </c>
      <c r="G30" s="87">
        <f t="shared" si="4"/>
        <v>0</v>
      </c>
      <c r="H30" s="83">
        <v>0.0</v>
      </c>
      <c r="I30" s="82" t="str">
        <f t="shared" si="5"/>
        <v/>
      </c>
      <c r="J30" s="84"/>
      <c r="K30" s="85"/>
      <c r="L30" s="84"/>
      <c r="M30" s="85"/>
      <c r="N30" s="84"/>
      <c r="O30" s="85"/>
      <c r="P30" s="84"/>
      <c r="Q30" s="85"/>
      <c r="R30" s="88" t="str">
        <f>IFERROR(__xludf.DUMMYFUNCTION("BYCOL($R$2:$AK$2, LAMBDA(header, IFERROR(SUM(FILTER(K30:Q30, J30:P30=header)), """")))
"),"")</f>
        <v/>
      </c>
      <c r="S30" s="89" t="str">
        <f>IFERROR(__xludf.DUMMYFUNCTION("""COMPUTED_VALUE"""),"")</f>
        <v/>
      </c>
      <c r="T30" s="89" t="str">
        <f>IFERROR(__xludf.DUMMYFUNCTION("""COMPUTED_VALUE"""),"")</f>
        <v/>
      </c>
      <c r="U30" s="89" t="str">
        <f>IFERROR(__xludf.DUMMYFUNCTION("""COMPUTED_VALUE"""),"")</f>
        <v/>
      </c>
      <c r="V30" s="89" t="str">
        <f>IFERROR(__xludf.DUMMYFUNCTION("""COMPUTED_VALUE"""),"")</f>
        <v/>
      </c>
      <c r="W30" s="89" t="str">
        <f>IFERROR(__xludf.DUMMYFUNCTION("""COMPUTED_VALUE"""),"")</f>
        <v/>
      </c>
      <c r="X30" s="89" t="str">
        <f>IFERROR(__xludf.DUMMYFUNCTION("""COMPUTED_VALUE"""),"")</f>
        <v/>
      </c>
      <c r="Y30" s="89" t="str">
        <f>IFERROR(__xludf.DUMMYFUNCTION("""COMPUTED_VALUE"""),"")</f>
        <v/>
      </c>
      <c r="Z30" s="89" t="str">
        <f>IFERROR(__xludf.DUMMYFUNCTION("""COMPUTED_VALUE"""),"")</f>
        <v/>
      </c>
      <c r="AA30" s="89" t="str">
        <f>IFERROR(__xludf.DUMMYFUNCTION("""COMPUTED_VALUE"""),"")</f>
        <v/>
      </c>
      <c r="AB30" s="89" t="str">
        <f>IFERROR(__xludf.DUMMYFUNCTION("""COMPUTED_VALUE"""),"")</f>
        <v/>
      </c>
      <c r="AC30" s="89" t="str">
        <f>IFERROR(__xludf.DUMMYFUNCTION("""COMPUTED_VALUE"""),"")</f>
        <v/>
      </c>
      <c r="AD30" s="89" t="str">
        <f>IFERROR(__xludf.DUMMYFUNCTION("""COMPUTED_VALUE"""),"")</f>
        <v/>
      </c>
      <c r="AE30" s="89" t="str">
        <f>IFERROR(__xludf.DUMMYFUNCTION("""COMPUTED_VALUE"""),"")</f>
        <v/>
      </c>
      <c r="AF30" s="89" t="str">
        <f>IFERROR(__xludf.DUMMYFUNCTION("""COMPUTED_VALUE"""),"")</f>
        <v/>
      </c>
      <c r="AG30" s="89" t="str">
        <f>IFERROR(__xludf.DUMMYFUNCTION("""COMPUTED_VALUE"""),"")</f>
        <v/>
      </c>
      <c r="AH30" s="89" t="str">
        <f>IFERROR(__xludf.DUMMYFUNCTION("""COMPUTED_VALUE"""),"")</f>
        <v/>
      </c>
      <c r="AI30" s="89" t="str">
        <f>IFERROR(__xludf.DUMMYFUNCTION("""COMPUTED_VALUE"""),"")</f>
        <v/>
      </c>
      <c r="AJ30" s="89" t="str">
        <f>IFERROR(__xludf.DUMMYFUNCTION("""COMPUTED_VALUE"""),"")</f>
        <v/>
      </c>
      <c r="AK30" s="89">
        <f>IFERROR(__xludf.DUMMYFUNCTION("""COMPUTED_VALUE"""),0.0)</f>
        <v>0</v>
      </c>
    </row>
    <row r="31" ht="39.75" customHeight="1">
      <c r="A31" s="84" t="str">
        <f t="shared" si="1"/>
        <v/>
      </c>
      <c r="B31" s="82" t="s">
        <v>94</v>
      </c>
      <c r="C31" s="85" t="s">
        <v>95</v>
      </c>
      <c r="D31" s="85">
        <f t="shared" si="2"/>
        <v>7</v>
      </c>
      <c r="E31" s="82" t="s">
        <v>93</v>
      </c>
      <c r="F31" s="86">
        <f t="shared" si="3"/>
        <v>0.16</v>
      </c>
      <c r="G31" s="87">
        <f t="shared" si="4"/>
        <v>630</v>
      </c>
      <c r="H31" s="83">
        <v>728.0</v>
      </c>
      <c r="I31" s="82" t="str">
        <f t="shared" si="5"/>
        <v>特選蘋果,7</v>
      </c>
      <c r="J31" s="84" t="s">
        <v>0</v>
      </c>
      <c r="K31" s="82">
        <v>7.0</v>
      </c>
      <c r="L31" s="84"/>
      <c r="M31" s="85"/>
      <c r="N31" s="84"/>
      <c r="O31" s="85"/>
      <c r="P31" s="84"/>
      <c r="Q31" s="85"/>
      <c r="R31" s="88">
        <f>IFERROR(__xludf.DUMMYFUNCTION("BYCOL($R$2:$AK$2, LAMBDA(header, IFERROR(SUM(FILTER(K31:Q31, J31:P31=header)), """")))
"),7.0)</f>
        <v>7</v>
      </c>
      <c r="S31" s="89" t="str">
        <f>IFERROR(__xludf.DUMMYFUNCTION("""COMPUTED_VALUE"""),"")</f>
        <v/>
      </c>
      <c r="T31" s="89" t="str">
        <f>IFERROR(__xludf.DUMMYFUNCTION("""COMPUTED_VALUE"""),"")</f>
        <v/>
      </c>
      <c r="U31" s="89" t="str">
        <f>IFERROR(__xludf.DUMMYFUNCTION("""COMPUTED_VALUE"""),"")</f>
        <v/>
      </c>
      <c r="V31" s="89" t="str">
        <f>IFERROR(__xludf.DUMMYFUNCTION("""COMPUTED_VALUE"""),"")</f>
        <v/>
      </c>
      <c r="W31" s="89" t="str">
        <f>IFERROR(__xludf.DUMMYFUNCTION("""COMPUTED_VALUE"""),"")</f>
        <v/>
      </c>
      <c r="X31" s="89" t="str">
        <f>IFERROR(__xludf.DUMMYFUNCTION("""COMPUTED_VALUE"""),"")</f>
        <v/>
      </c>
      <c r="Y31" s="89" t="str">
        <f>IFERROR(__xludf.DUMMYFUNCTION("""COMPUTED_VALUE"""),"")</f>
        <v/>
      </c>
      <c r="Z31" s="89" t="str">
        <f>IFERROR(__xludf.DUMMYFUNCTION("""COMPUTED_VALUE"""),"")</f>
        <v/>
      </c>
      <c r="AA31" s="89" t="str">
        <f>IFERROR(__xludf.DUMMYFUNCTION("""COMPUTED_VALUE"""),"")</f>
        <v/>
      </c>
      <c r="AB31" s="89" t="str">
        <f>IFERROR(__xludf.DUMMYFUNCTION("""COMPUTED_VALUE"""),"")</f>
        <v/>
      </c>
      <c r="AC31" s="89" t="str">
        <f>IFERROR(__xludf.DUMMYFUNCTION("""COMPUTED_VALUE"""),"")</f>
        <v/>
      </c>
      <c r="AD31" s="89" t="str">
        <f>IFERROR(__xludf.DUMMYFUNCTION("""COMPUTED_VALUE"""),"")</f>
        <v/>
      </c>
      <c r="AE31" s="89" t="str">
        <f>IFERROR(__xludf.DUMMYFUNCTION("""COMPUTED_VALUE"""),"")</f>
        <v/>
      </c>
      <c r="AF31" s="89" t="str">
        <f>IFERROR(__xludf.DUMMYFUNCTION("""COMPUTED_VALUE"""),"")</f>
        <v/>
      </c>
      <c r="AG31" s="89" t="str">
        <f>IFERROR(__xludf.DUMMYFUNCTION("""COMPUTED_VALUE"""),"")</f>
        <v/>
      </c>
      <c r="AH31" s="89" t="str">
        <f>IFERROR(__xludf.DUMMYFUNCTION("""COMPUTED_VALUE"""),"")</f>
        <v/>
      </c>
      <c r="AI31" s="89" t="str">
        <f>IFERROR(__xludf.DUMMYFUNCTION("""COMPUTED_VALUE"""),"")</f>
        <v/>
      </c>
      <c r="AJ31" s="89" t="str">
        <f>IFERROR(__xludf.DUMMYFUNCTION("""COMPUTED_VALUE"""),"")</f>
        <v/>
      </c>
      <c r="AK31" s="89">
        <f>IFERROR(__xludf.DUMMYFUNCTION("""COMPUTED_VALUE"""),0.0)</f>
        <v>0</v>
      </c>
    </row>
    <row r="32" ht="39.75" customHeight="1">
      <c r="A32" s="84" t="str">
        <f t="shared" si="1"/>
        <v/>
      </c>
      <c r="B32" s="82" t="s">
        <v>96</v>
      </c>
      <c r="C32" s="85" t="s">
        <v>97</v>
      </c>
      <c r="D32" s="85">
        <f t="shared" si="2"/>
        <v>7</v>
      </c>
      <c r="E32" s="82" t="s">
        <v>93</v>
      </c>
      <c r="F32" s="86">
        <f t="shared" si="3"/>
        <v>0.19</v>
      </c>
      <c r="G32" s="87">
        <f t="shared" si="4"/>
        <v>686</v>
      </c>
      <c r="H32" s="83">
        <v>814.0</v>
      </c>
      <c r="I32" s="82" t="str">
        <f t="shared" si="5"/>
        <v>哞哞鮮奶,7</v>
      </c>
      <c r="J32" s="84" t="s">
        <v>1</v>
      </c>
      <c r="K32" s="82">
        <v>7.0</v>
      </c>
      <c r="L32" s="84"/>
      <c r="M32" s="85"/>
      <c r="N32" s="84"/>
      <c r="O32" s="85"/>
      <c r="P32" s="84"/>
      <c r="Q32" s="85"/>
      <c r="R32" s="88" t="str">
        <f>IFERROR(__xludf.DUMMYFUNCTION("BYCOL($R$2:$AK$2, LAMBDA(header, IFERROR(SUM(FILTER(K32:Q32, J32:P32=header)), """")))
"),"")</f>
        <v/>
      </c>
      <c r="S32" s="89">
        <f>IFERROR(__xludf.DUMMYFUNCTION("""COMPUTED_VALUE"""),7.0)</f>
        <v>7</v>
      </c>
      <c r="T32" s="89" t="str">
        <f>IFERROR(__xludf.DUMMYFUNCTION("""COMPUTED_VALUE"""),"")</f>
        <v/>
      </c>
      <c r="U32" s="89" t="str">
        <f>IFERROR(__xludf.DUMMYFUNCTION("""COMPUTED_VALUE"""),"")</f>
        <v/>
      </c>
      <c r="V32" s="89" t="str">
        <f>IFERROR(__xludf.DUMMYFUNCTION("""COMPUTED_VALUE"""),"")</f>
        <v/>
      </c>
      <c r="W32" s="89" t="str">
        <f>IFERROR(__xludf.DUMMYFUNCTION("""COMPUTED_VALUE"""),"")</f>
        <v/>
      </c>
      <c r="X32" s="89" t="str">
        <f>IFERROR(__xludf.DUMMYFUNCTION("""COMPUTED_VALUE"""),"")</f>
        <v/>
      </c>
      <c r="Y32" s="89" t="str">
        <f>IFERROR(__xludf.DUMMYFUNCTION("""COMPUTED_VALUE"""),"")</f>
        <v/>
      </c>
      <c r="Z32" s="89" t="str">
        <f>IFERROR(__xludf.DUMMYFUNCTION("""COMPUTED_VALUE"""),"")</f>
        <v/>
      </c>
      <c r="AA32" s="89" t="str">
        <f>IFERROR(__xludf.DUMMYFUNCTION("""COMPUTED_VALUE"""),"")</f>
        <v/>
      </c>
      <c r="AB32" s="89" t="str">
        <f>IFERROR(__xludf.DUMMYFUNCTION("""COMPUTED_VALUE"""),"")</f>
        <v/>
      </c>
      <c r="AC32" s="89" t="str">
        <f>IFERROR(__xludf.DUMMYFUNCTION("""COMPUTED_VALUE"""),"")</f>
        <v/>
      </c>
      <c r="AD32" s="89" t="str">
        <f>IFERROR(__xludf.DUMMYFUNCTION("""COMPUTED_VALUE"""),"")</f>
        <v/>
      </c>
      <c r="AE32" s="89" t="str">
        <f>IFERROR(__xludf.DUMMYFUNCTION("""COMPUTED_VALUE"""),"")</f>
        <v/>
      </c>
      <c r="AF32" s="89" t="str">
        <f>IFERROR(__xludf.DUMMYFUNCTION("""COMPUTED_VALUE"""),"")</f>
        <v/>
      </c>
      <c r="AG32" s="89" t="str">
        <f>IFERROR(__xludf.DUMMYFUNCTION("""COMPUTED_VALUE"""),"")</f>
        <v/>
      </c>
      <c r="AH32" s="89" t="str">
        <f>IFERROR(__xludf.DUMMYFUNCTION("""COMPUTED_VALUE"""),"")</f>
        <v/>
      </c>
      <c r="AI32" s="89" t="str">
        <f>IFERROR(__xludf.DUMMYFUNCTION("""COMPUTED_VALUE"""),"")</f>
        <v/>
      </c>
      <c r="AJ32" s="89" t="str">
        <f>IFERROR(__xludf.DUMMYFUNCTION("""COMPUTED_VALUE"""),"")</f>
        <v/>
      </c>
      <c r="AK32" s="89">
        <f>IFERROR(__xludf.DUMMYFUNCTION("""COMPUTED_VALUE"""),0.0)</f>
        <v>0</v>
      </c>
    </row>
    <row r="33" ht="39.75" customHeight="1">
      <c r="A33" s="84" t="str">
        <f t="shared" si="1"/>
        <v/>
      </c>
      <c r="B33" s="82" t="s">
        <v>98</v>
      </c>
      <c r="C33" s="85" t="s">
        <v>99</v>
      </c>
      <c r="D33" s="85">
        <f t="shared" si="2"/>
        <v>7</v>
      </c>
      <c r="E33" s="82" t="s">
        <v>93</v>
      </c>
      <c r="F33" s="86">
        <f t="shared" si="3"/>
        <v>0.19</v>
      </c>
      <c r="G33" s="87">
        <f t="shared" si="4"/>
        <v>707</v>
      </c>
      <c r="H33" s="83">
        <v>839.0</v>
      </c>
      <c r="I33" s="82" t="str">
        <f t="shared" si="5"/>
        <v>甜甜蜜,7</v>
      </c>
      <c r="J33" s="84" t="s">
        <v>3</v>
      </c>
      <c r="K33" s="82">
        <v>7.0</v>
      </c>
      <c r="L33" s="84"/>
      <c r="M33" s="85"/>
      <c r="N33" s="84"/>
      <c r="O33" s="85"/>
      <c r="P33" s="84"/>
      <c r="Q33" s="85"/>
      <c r="R33" s="88" t="str">
        <f>IFERROR(__xludf.DUMMYFUNCTION("BYCOL($R$2:$AK$2, LAMBDA(header, IFERROR(SUM(FILTER(K33:Q33, J33:P33=header)), """")))
"),"")</f>
        <v/>
      </c>
      <c r="S33" s="89" t="str">
        <f>IFERROR(__xludf.DUMMYFUNCTION("""COMPUTED_VALUE"""),"")</f>
        <v/>
      </c>
      <c r="T33" s="89" t="str">
        <f>IFERROR(__xludf.DUMMYFUNCTION("""COMPUTED_VALUE"""),"")</f>
        <v/>
      </c>
      <c r="U33" s="89">
        <f>IFERROR(__xludf.DUMMYFUNCTION("""COMPUTED_VALUE"""),7.0)</f>
        <v>7</v>
      </c>
      <c r="V33" s="89" t="str">
        <f>IFERROR(__xludf.DUMMYFUNCTION("""COMPUTED_VALUE"""),"")</f>
        <v/>
      </c>
      <c r="W33" s="89" t="str">
        <f>IFERROR(__xludf.DUMMYFUNCTION("""COMPUTED_VALUE"""),"")</f>
        <v/>
      </c>
      <c r="X33" s="89" t="str">
        <f>IFERROR(__xludf.DUMMYFUNCTION("""COMPUTED_VALUE"""),"")</f>
        <v/>
      </c>
      <c r="Y33" s="89" t="str">
        <f>IFERROR(__xludf.DUMMYFUNCTION("""COMPUTED_VALUE"""),"")</f>
        <v/>
      </c>
      <c r="Z33" s="89" t="str">
        <f>IFERROR(__xludf.DUMMYFUNCTION("""COMPUTED_VALUE"""),"")</f>
        <v/>
      </c>
      <c r="AA33" s="89" t="str">
        <f>IFERROR(__xludf.DUMMYFUNCTION("""COMPUTED_VALUE"""),"")</f>
        <v/>
      </c>
      <c r="AB33" s="89" t="str">
        <f>IFERROR(__xludf.DUMMYFUNCTION("""COMPUTED_VALUE"""),"")</f>
        <v/>
      </c>
      <c r="AC33" s="89" t="str">
        <f>IFERROR(__xludf.DUMMYFUNCTION("""COMPUTED_VALUE"""),"")</f>
        <v/>
      </c>
      <c r="AD33" s="89" t="str">
        <f>IFERROR(__xludf.DUMMYFUNCTION("""COMPUTED_VALUE"""),"")</f>
        <v/>
      </c>
      <c r="AE33" s="89" t="str">
        <f>IFERROR(__xludf.DUMMYFUNCTION("""COMPUTED_VALUE"""),"")</f>
        <v/>
      </c>
      <c r="AF33" s="89" t="str">
        <f>IFERROR(__xludf.DUMMYFUNCTION("""COMPUTED_VALUE"""),"")</f>
        <v/>
      </c>
      <c r="AG33" s="89" t="str">
        <f>IFERROR(__xludf.DUMMYFUNCTION("""COMPUTED_VALUE"""),"")</f>
        <v/>
      </c>
      <c r="AH33" s="89" t="str">
        <f>IFERROR(__xludf.DUMMYFUNCTION("""COMPUTED_VALUE"""),"")</f>
        <v/>
      </c>
      <c r="AI33" s="89" t="str">
        <f>IFERROR(__xludf.DUMMYFUNCTION("""COMPUTED_VALUE"""),"")</f>
        <v/>
      </c>
      <c r="AJ33" s="89" t="str">
        <f>IFERROR(__xludf.DUMMYFUNCTION("""COMPUTED_VALUE"""),"")</f>
        <v/>
      </c>
      <c r="AK33" s="89">
        <f>IFERROR(__xludf.DUMMYFUNCTION("""COMPUTED_VALUE"""),0.0)</f>
        <v>0</v>
      </c>
    </row>
    <row r="34" ht="39.75" customHeight="1">
      <c r="A34" s="84" t="str">
        <f t="shared" si="1"/>
        <v/>
      </c>
      <c r="B34" s="82" t="s">
        <v>100</v>
      </c>
      <c r="C34" s="85" t="s">
        <v>101</v>
      </c>
      <c r="D34" s="85">
        <f t="shared" si="2"/>
        <v>7</v>
      </c>
      <c r="E34" s="82" t="s">
        <v>93</v>
      </c>
      <c r="F34" s="86">
        <f t="shared" si="3"/>
        <v>0.19</v>
      </c>
      <c r="G34" s="87">
        <f t="shared" si="4"/>
        <v>721</v>
      </c>
      <c r="H34" s="83">
        <v>856.0</v>
      </c>
      <c r="I34" s="82" t="str">
        <f t="shared" si="5"/>
        <v>豆製肉,7</v>
      </c>
      <c r="J34" s="84" t="s">
        <v>4</v>
      </c>
      <c r="K34" s="82">
        <v>7.0</v>
      </c>
      <c r="L34" s="84"/>
      <c r="M34" s="85"/>
      <c r="N34" s="84"/>
      <c r="O34" s="85"/>
      <c r="P34" s="84"/>
      <c r="Q34" s="85"/>
      <c r="R34" s="88" t="str">
        <f>IFERROR(__xludf.DUMMYFUNCTION("BYCOL($R$2:$AK$2, LAMBDA(header, IFERROR(SUM(FILTER(K34:Q34, J34:P34=header)), """")))
"),"")</f>
        <v/>
      </c>
      <c r="S34" s="89" t="str">
        <f>IFERROR(__xludf.DUMMYFUNCTION("""COMPUTED_VALUE"""),"")</f>
        <v/>
      </c>
      <c r="T34" s="89" t="str">
        <f>IFERROR(__xludf.DUMMYFUNCTION("""COMPUTED_VALUE"""),"")</f>
        <v/>
      </c>
      <c r="U34" s="89" t="str">
        <f>IFERROR(__xludf.DUMMYFUNCTION("""COMPUTED_VALUE"""),"")</f>
        <v/>
      </c>
      <c r="V34" s="89">
        <f>IFERROR(__xludf.DUMMYFUNCTION("""COMPUTED_VALUE"""),7.0)</f>
        <v>7</v>
      </c>
      <c r="W34" s="89" t="str">
        <f>IFERROR(__xludf.DUMMYFUNCTION("""COMPUTED_VALUE"""),"")</f>
        <v/>
      </c>
      <c r="X34" s="89" t="str">
        <f>IFERROR(__xludf.DUMMYFUNCTION("""COMPUTED_VALUE"""),"")</f>
        <v/>
      </c>
      <c r="Y34" s="89" t="str">
        <f>IFERROR(__xludf.DUMMYFUNCTION("""COMPUTED_VALUE"""),"")</f>
        <v/>
      </c>
      <c r="Z34" s="89" t="str">
        <f>IFERROR(__xludf.DUMMYFUNCTION("""COMPUTED_VALUE"""),"")</f>
        <v/>
      </c>
      <c r="AA34" s="89" t="str">
        <f>IFERROR(__xludf.DUMMYFUNCTION("""COMPUTED_VALUE"""),"")</f>
        <v/>
      </c>
      <c r="AB34" s="89" t="str">
        <f>IFERROR(__xludf.DUMMYFUNCTION("""COMPUTED_VALUE"""),"")</f>
        <v/>
      </c>
      <c r="AC34" s="89" t="str">
        <f>IFERROR(__xludf.DUMMYFUNCTION("""COMPUTED_VALUE"""),"")</f>
        <v/>
      </c>
      <c r="AD34" s="89" t="str">
        <f>IFERROR(__xludf.DUMMYFUNCTION("""COMPUTED_VALUE"""),"")</f>
        <v/>
      </c>
      <c r="AE34" s="89" t="str">
        <f>IFERROR(__xludf.DUMMYFUNCTION("""COMPUTED_VALUE"""),"")</f>
        <v/>
      </c>
      <c r="AF34" s="89" t="str">
        <f>IFERROR(__xludf.DUMMYFUNCTION("""COMPUTED_VALUE"""),"")</f>
        <v/>
      </c>
      <c r="AG34" s="89" t="str">
        <f>IFERROR(__xludf.DUMMYFUNCTION("""COMPUTED_VALUE"""),"")</f>
        <v/>
      </c>
      <c r="AH34" s="89" t="str">
        <f>IFERROR(__xludf.DUMMYFUNCTION("""COMPUTED_VALUE"""),"")</f>
        <v/>
      </c>
      <c r="AI34" s="89" t="str">
        <f>IFERROR(__xludf.DUMMYFUNCTION("""COMPUTED_VALUE"""),"")</f>
        <v/>
      </c>
      <c r="AJ34" s="89" t="str">
        <f>IFERROR(__xludf.DUMMYFUNCTION("""COMPUTED_VALUE"""),"")</f>
        <v/>
      </c>
      <c r="AK34" s="89">
        <f>IFERROR(__xludf.DUMMYFUNCTION("""COMPUTED_VALUE"""),0.0)</f>
        <v>0</v>
      </c>
    </row>
    <row r="35" ht="39.75" customHeight="1">
      <c r="A35" s="84" t="str">
        <f t="shared" si="1"/>
        <v/>
      </c>
      <c r="B35" s="82" t="s">
        <v>102</v>
      </c>
      <c r="C35" s="85" t="s">
        <v>103</v>
      </c>
      <c r="D35" s="85">
        <f t="shared" si="2"/>
        <v>16</v>
      </c>
      <c r="E35" s="82" t="s">
        <v>93</v>
      </c>
      <c r="F35" s="86">
        <f t="shared" si="3"/>
        <v>0.19</v>
      </c>
      <c r="G35" s="87">
        <f t="shared" si="4"/>
        <v>1608</v>
      </c>
      <c r="H35" s="83">
        <v>1910.0</v>
      </c>
      <c r="I35" s="82" t="str">
        <f t="shared" si="5"/>
        <v>豆製肉,8,哞哞鮮奶,8</v>
      </c>
      <c r="J35" s="84" t="s">
        <v>4</v>
      </c>
      <c r="K35" s="82">
        <v>8.0</v>
      </c>
      <c r="L35" s="84" t="s">
        <v>1</v>
      </c>
      <c r="M35" s="82">
        <v>8.0</v>
      </c>
      <c r="N35" s="84"/>
      <c r="O35" s="85"/>
      <c r="P35" s="84"/>
      <c r="Q35" s="85"/>
      <c r="R35" s="88" t="str">
        <f>IFERROR(__xludf.DUMMYFUNCTION("BYCOL($R$2:$AK$2, LAMBDA(header, IFERROR(SUM(FILTER(K35:Q35, J35:P35=header)), """")))
"),"")</f>
        <v/>
      </c>
      <c r="S35" s="89">
        <f>IFERROR(__xludf.DUMMYFUNCTION("""COMPUTED_VALUE"""),8.0)</f>
        <v>8</v>
      </c>
      <c r="T35" s="89" t="str">
        <f>IFERROR(__xludf.DUMMYFUNCTION("""COMPUTED_VALUE"""),"")</f>
        <v/>
      </c>
      <c r="U35" s="89" t="str">
        <f>IFERROR(__xludf.DUMMYFUNCTION("""COMPUTED_VALUE"""),"")</f>
        <v/>
      </c>
      <c r="V35" s="89">
        <f>IFERROR(__xludf.DUMMYFUNCTION("""COMPUTED_VALUE"""),8.0)</f>
        <v>8</v>
      </c>
      <c r="W35" s="89" t="str">
        <f>IFERROR(__xludf.DUMMYFUNCTION("""COMPUTED_VALUE"""),"")</f>
        <v/>
      </c>
      <c r="X35" s="89" t="str">
        <f>IFERROR(__xludf.DUMMYFUNCTION("""COMPUTED_VALUE"""),"")</f>
        <v/>
      </c>
      <c r="Y35" s="89" t="str">
        <f>IFERROR(__xludf.DUMMYFUNCTION("""COMPUTED_VALUE"""),"")</f>
        <v/>
      </c>
      <c r="Z35" s="89" t="str">
        <f>IFERROR(__xludf.DUMMYFUNCTION("""COMPUTED_VALUE"""),"")</f>
        <v/>
      </c>
      <c r="AA35" s="89" t="str">
        <f>IFERROR(__xludf.DUMMYFUNCTION("""COMPUTED_VALUE"""),"")</f>
        <v/>
      </c>
      <c r="AB35" s="89" t="str">
        <f>IFERROR(__xludf.DUMMYFUNCTION("""COMPUTED_VALUE"""),"")</f>
        <v/>
      </c>
      <c r="AC35" s="89" t="str">
        <f>IFERROR(__xludf.DUMMYFUNCTION("""COMPUTED_VALUE"""),"")</f>
        <v/>
      </c>
      <c r="AD35" s="89" t="str">
        <f>IFERROR(__xludf.DUMMYFUNCTION("""COMPUTED_VALUE"""),"")</f>
        <v/>
      </c>
      <c r="AE35" s="89" t="str">
        <f>IFERROR(__xludf.DUMMYFUNCTION("""COMPUTED_VALUE"""),"")</f>
        <v/>
      </c>
      <c r="AF35" s="89" t="str">
        <f>IFERROR(__xludf.DUMMYFUNCTION("""COMPUTED_VALUE"""),"")</f>
        <v/>
      </c>
      <c r="AG35" s="89" t="str">
        <f>IFERROR(__xludf.DUMMYFUNCTION("""COMPUTED_VALUE"""),"")</f>
        <v/>
      </c>
      <c r="AH35" s="89" t="str">
        <f>IFERROR(__xludf.DUMMYFUNCTION("""COMPUTED_VALUE"""),"")</f>
        <v/>
      </c>
      <c r="AI35" s="89" t="str">
        <f>IFERROR(__xludf.DUMMYFUNCTION("""COMPUTED_VALUE"""),"")</f>
        <v/>
      </c>
      <c r="AJ35" s="89" t="str">
        <f>IFERROR(__xludf.DUMMYFUNCTION("""COMPUTED_VALUE"""),"")</f>
        <v/>
      </c>
      <c r="AK35" s="89">
        <f>IFERROR(__xludf.DUMMYFUNCTION("""COMPUTED_VALUE"""),0.0)</f>
        <v>0</v>
      </c>
    </row>
    <row r="36" ht="39.75" customHeight="1">
      <c r="A36" s="84" t="str">
        <f t="shared" si="1"/>
        <v/>
      </c>
      <c r="B36" s="82" t="s">
        <v>104</v>
      </c>
      <c r="C36" s="85" t="s">
        <v>105</v>
      </c>
      <c r="D36" s="85">
        <f t="shared" si="2"/>
        <v>15</v>
      </c>
      <c r="E36" s="82" t="s">
        <v>93</v>
      </c>
      <c r="F36" s="86">
        <f t="shared" si="3"/>
        <v>0.19</v>
      </c>
      <c r="G36" s="87">
        <f t="shared" si="4"/>
        <v>1635</v>
      </c>
      <c r="H36" s="83">
        <v>1942.0</v>
      </c>
      <c r="I36" s="82" t="str">
        <f t="shared" si="5"/>
        <v>豆製肉,10,純粹油,5</v>
      </c>
      <c r="J36" s="84" t="s">
        <v>4</v>
      </c>
      <c r="K36" s="82">
        <v>10.0</v>
      </c>
      <c r="L36" s="84" t="s">
        <v>8</v>
      </c>
      <c r="M36" s="82">
        <v>5.0</v>
      </c>
      <c r="N36" s="84"/>
      <c r="O36" s="85"/>
      <c r="P36" s="84"/>
      <c r="Q36" s="85"/>
      <c r="R36" s="88" t="str">
        <f>IFERROR(__xludf.DUMMYFUNCTION("BYCOL($R$2:$AK$2, LAMBDA(header, IFERROR(SUM(FILTER(K36:Q36, J36:P36=header)), """")))
"),"")</f>
        <v/>
      </c>
      <c r="S36" s="89" t="str">
        <f>IFERROR(__xludf.DUMMYFUNCTION("""COMPUTED_VALUE"""),"")</f>
        <v/>
      </c>
      <c r="T36" s="89" t="str">
        <f>IFERROR(__xludf.DUMMYFUNCTION("""COMPUTED_VALUE"""),"")</f>
        <v/>
      </c>
      <c r="U36" s="89" t="str">
        <f>IFERROR(__xludf.DUMMYFUNCTION("""COMPUTED_VALUE"""),"")</f>
        <v/>
      </c>
      <c r="V36" s="89">
        <f>IFERROR(__xludf.DUMMYFUNCTION("""COMPUTED_VALUE"""),10.0)</f>
        <v>10</v>
      </c>
      <c r="W36" s="89" t="str">
        <f>IFERROR(__xludf.DUMMYFUNCTION("""COMPUTED_VALUE"""),"")</f>
        <v/>
      </c>
      <c r="X36" s="89" t="str">
        <f>IFERROR(__xludf.DUMMYFUNCTION("""COMPUTED_VALUE"""),"")</f>
        <v/>
      </c>
      <c r="Y36" s="89" t="str">
        <f>IFERROR(__xludf.DUMMYFUNCTION("""COMPUTED_VALUE"""),"")</f>
        <v/>
      </c>
      <c r="Z36" s="89">
        <f>IFERROR(__xludf.DUMMYFUNCTION("""COMPUTED_VALUE"""),5.0)</f>
        <v>5</v>
      </c>
      <c r="AA36" s="89" t="str">
        <f>IFERROR(__xludf.DUMMYFUNCTION("""COMPUTED_VALUE"""),"")</f>
        <v/>
      </c>
      <c r="AB36" s="89" t="str">
        <f>IFERROR(__xludf.DUMMYFUNCTION("""COMPUTED_VALUE"""),"")</f>
        <v/>
      </c>
      <c r="AC36" s="89" t="str">
        <f>IFERROR(__xludf.DUMMYFUNCTION("""COMPUTED_VALUE"""),"")</f>
        <v/>
      </c>
      <c r="AD36" s="89" t="str">
        <f>IFERROR(__xludf.DUMMYFUNCTION("""COMPUTED_VALUE"""),"")</f>
        <v/>
      </c>
      <c r="AE36" s="89" t="str">
        <f>IFERROR(__xludf.DUMMYFUNCTION("""COMPUTED_VALUE"""),"")</f>
        <v/>
      </c>
      <c r="AF36" s="89" t="str">
        <f>IFERROR(__xludf.DUMMYFUNCTION("""COMPUTED_VALUE"""),"")</f>
        <v/>
      </c>
      <c r="AG36" s="89" t="str">
        <f>IFERROR(__xludf.DUMMYFUNCTION("""COMPUTED_VALUE"""),"")</f>
        <v/>
      </c>
      <c r="AH36" s="89" t="str">
        <f>IFERROR(__xludf.DUMMYFUNCTION("""COMPUTED_VALUE"""),"")</f>
        <v/>
      </c>
      <c r="AI36" s="89" t="str">
        <f>IFERROR(__xludf.DUMMYFUNCTION("""COMPUTED_VALUE"""),"")</f>
        <v/>
      </c>
      <c r="AJ36" s="89" t="str">
        <f>IFERROR(__xludf.DUMMYFUNCTION("""COMPUTED_VALUE"""),"")</f>
        <v/>
      </c>
      <c r="AK36" s="89">
        <f>IFERROR(__xludf.DUMMYFUNCTION("""COMPUTED_VALUE"""),0.0)</f>
        <v>0</v>
      </c>
    </row>
    <row r="37" ht="39.75" customHeight="1">
      <c r="A37" s="84" t="str">
        <f t="shared" si="1"/>
        <v/>
      </c>
      <c r="B37" s="82" t="s">
        <v>106</v>
      </c>
      <c r="C37" s="85" t="s">
        <v>107</v>
      </c>
      <c r="D37" s="85">
        <f t="shared" si="2"/>
        <v>15</v>
      </c>
      <c r="E37" s="82" t="s">
        <v>93</v>
      </c>
      <c r="F37" s="86">
        <f t="shared" si="3"/>
        <v>0.19</v>
      </c>
      <c r="G37" s="87">
        <f t="shared" si="4"/>
        <v>1750</v>
      </c>
      <c r="H37" s="83">
        <v>2078.0</v>
      </c>
      <c r="I37" s="82" t="str">
        <f t="shared" si="5"/>
        <v>好眠番茄,10,火辣香草,5</v>
      </c>
      <c r="J37" s="84" t="s">
        <v>6</v>
      </c>
      <c r="K37" s="82">
        <v>10.0</v>
      </c>
      <c r="L37" s="84" t="s">
        <v>10</v>
      </c>
      <c r="M37" s="82">
        <v>5.0</v>
      </c>
      <c r="N37" s="84"/>
      <c r="O37" s="85"/>
      <c r="P37" s="84"/>
      <c r="Q37" s="85"/>
      <c r="R37" s="88" t="str">
        <f>IFERROR(__xludf.DUMMYFUNCTION("BYCOL($R$2:$AK$2, LAMBDA(header, IFERROR(SUM(FILTER(K37:Q37, J37:P37=header)), """")))
"),"")</f>
        <v/>
      </c>
      <c r="S37" s="89" t="str">
        <f>IFERROR(__xludf.DUMMYFUNCTION("""COMPUTED_VALUE"""),"")</f>
        <v/>
      </c>
      <c r="T37" s="89" t="str">
        <f>IFERROR(__xludf.DUMMYFUNCTION("""COMPUTED_VALUE"""),"")</f>
        <v/>
      </c>
      <c r="U37" s="89" t="str">
        <f>IFERROR(__xludf.DUMMYFUNCTION("""COMPUTED_VALUE"""),"")</f>
        <v/>
      </c>
      <c r="V37" s="89" t="str">
        <f>IFERROR(__xludf.DUMMYFUNCTION("""COMPUTED_VALUE"""),"")</f>
        <v/>
      </c>
      <c r="W37" s="89" t="str">
        <f>IFERROR(__xludf.DUMMYFUNCTION("""COMPUTED_VALUE"""),"")</f>
        <v/>
      </c>
      <c r="X37" s="89">
        <f>IFERROR(__xludf.DUMMYFUNCTION("""COMPUTED_VALUE"""),10.0)</f>
        <v>10</v>
      </c>
      <c r="Y37" s="89" t="str">
        <f>IFERROR(__xludf.DUMMYFUNCTION("""COMPUTED_VALUE"""),"")</f>
        <v/>
      </c>
      <c r="Z37" s="89" t="str">
        <f>IFERROR(__xludf.DUMMYFUNCTION("""COMPUTED_VALUE"""),"")</f>
        <v/>
      </c>
      <c r="AA37" s="89" t="str">
        <f>IFERROR(__xludf.DUMMYFUNCTION("""COMPUTED_VALUE"""),"")</f>
        <v/>
      </c>
      <c r="AB37" s="89">
        <f>IFERROR(__xludf.DUMMYFUNCTION("""COMPUTED_VALUE"""),5.0)</f>
        <v>5</v>
      </c>
      <c r="AC37" s="89" t="str">
        <f>IFERROR(__xludf.DUMMYFUNCTION("""COMPUTED_VALUE"""),"")</f>
        <v/>
      </c>
      <c r="AD37" s="89" t="str">
        <f>IFERROR(__xludf.DUMMYFUNCTION("""COMPUTED_VALUE"""),"")</f>
        <v/>
      </c>
      <c r="AE37" s="89" t="str">
        <f>IFERROR(__xludf.DUMMYFUNCTION("""COMPUTED_VALUE"""),"")</f>
        <v/>
      </c>
      <c r="AF37" s="89" t="str">
        <f>IFERROR(__xludf.DUMMYFUNCTION("""COMPUTED_VALUE"""),"")</f>
        <v/>
      </c>
      <c r="AG37" s="89" t="str">
        <f>IFERROR(__xludf.DUMMYFUNCTION("""COMPUTED_VALUE"""),"")</f>
        <v/>
      </c>
      <c r="AH37" s="89" t="str">
        <f>IFERROR(__xludf.DUMMYFUNCTION("""COMPUTED_VALUE"""),"")</f>
        <v/>
      </c>
      <c r="AI37" s="89" t="str">
        <f>IFERROR(__xludf.DUMMYFUNCTION("""COMPUTED_VALUE"""),"")</f>
        <v/>
      </c>
      <c r="AJ37" s="89" t="str">
        <f>IFERROR(__xludf.DUMMYFUNCTION("""COMPUTED_VALUE"""),"")</f>
        <v/>
      </c>
      <c r="AK37" s="89">
        <f>IFERROR(__xludf.DUMMYFUNCTION("""COMPUTED_VALUE"""),0.0)</f>
        <v>0</v>
      </c>
    </row>
    <row r="38" ht="39.75" customHeight="1">
      <c r="A38" s="84" t="str">
        <f t="shared" si="1"/>
        <v/>
      </c>
      <c r="B38" s="82" t="s">
        <v>108</v>
      </c>
      <c r="C38" s="85" t="s">
        <v>109</v>
      </c>
      <c r="D38" s="85">
        <f t="shared" si="2"/>
        <v>16</v>
      </c>
      <c r="E38" s="82" t="s">
        <v>93</v>
      </c>
      <c r="F38" s="86">
        <f t="shared" si="3"/>
        <v>0.19</v>
      </c>
      <c r="G38" s="87">
        <f t="shared" si="4"/>
        <v>1810</v>
      </c>
      <c r="H38" s="83">
        <v>2150.0</v>
      </c>
      <c r="I38" s="82" t="str">
        <f t="shared" si="5"/>
        <v>特選蛋,10,好眠番茄,6</v>
      </c>
      <c r="J38" s="84" t="s">
        <v>7</v>
      </c>
      <c r="K38" s="82">
        <v>10.0</v>
      </c>
      <c r="L38" s="84" t="s">
        <v>6</v>
      </c>
      <c r="M38" s="82">
        <v>6.0</v>
      </c>
      <c r="N38" s="84"/>
      <c r="O38" s="85"/>
      <c r="P38" s="84"/>
      <c r="Q38" s="85"/>
      <c r="R38" s="88" t="str">
        <f>IFERROR(__xludf.DUMMYFUNCTION("BYCOL($R$2:$AK$2, LAMBDA(header, IFERROR(SUM(FILTER(K38:Q38, J38:P38=header)), """")))
"),"")</f>
        <v/>
      </c>
      <c r="S38" s="89" t="str">
        <f>IFERROR(__xludf.DUMMYFUNCTION("""COMPUTED_VALUE"""),"")</f>
        <v/>
      </c>
      <c r="T38" s="89" t="str">
        <f>IFERROR(__xludf.DUMMYFUNCTION("""COMPUTED_VALUE"""),"")</f>
        <v/>
      </c>
      <c r="U38" s="89" t="str">
        <f>IFERROR(__xludf.DUMMYFUNCTION("""COMPUTED_VALUE"""),"")</f>
        <v/>
      </c>
      <c r="V38" s="89" t="str">
        <f>IFERROR(__xludf.DUMMYFUNCTION("""COMPUTED_VALUE"""),"")</f>
        <v/>
      </c>
      <c r="W38" s="89" t="str">
        <f>IFERROR(__xludf.DUMMYFUNCTION("""COMPUTED_VALUE"""),"")</f>
        <v/>
      </c>
      <c r="X38" s="89">
        <f>IFERROR(__xludf.DUMMYFUNCTION("""COMPUTED_VALUE"""),6.0)</f>
        <v>6</v>
      </c>
      <c r="Y38" s="89">
        <f>IFERROR(__xludf.DUMMYFUNCTION("""COMPUTED_VALUE"""),10.0)</f>
        <v>10</v>
      </c>
      <c r="Z38" s="89" t="str">
        <f>IFERROR(__xludf.DUMMYFUNCTION("""COMPUTED_VALUE"""),"")</f>
        <v/>
      </c>
      <c r="AA38" s="89" t="str">
        <f>IFERROR(__xludf.DUMMYFUNCTION("""COMPUTED_VALUE"""),"")</f>
        <v/>
      </c>
      <c r="AB38" s="89" t="str">
        <f>IFERROR(__xludf.DUMMYFUNCTION("""COMPUTED_VALUE"""),"")</f>
        <v/>
      </c>
      <c r="AC38" s="89" t="str">
        <f>IFERROR(__xludf.DUMMYFUNCTION("""COMPUTED_VALUE"""),"")</f>
        <v/>
      </c>
      <c r="AD38" s="89" t="str">
        <f>IFERROR(__xludf.DUMMYFUNCTION("""COMPUTED_VALUE"""),"")</f>
        <v/>
      </c>
      <c r="AE38" s="89" t="str">
        <f>IFERROR(__xludf.DUMMYFUNCTION("""COMPUTED_VALUE"""),"")</f>
        <v/>
      </c>
      <c r="AF38" s="89" t="str">
        <f>IFERROR(__xludf.DUMMYFUNCTION("""COMPUTED_VALUE"""),"")</f>
        <v/>
      </c>
      <c r="AG38" s="89" t="str">
        <f>IFERROR(__xludf.DUMMYFUNCTION("""COMPUTED_VALUE"""),"")</f>
        <v/>
      </c>
      <c r="AH38" s="89" t="str">
        <f>IFERROR(__xludf.DUMMYFUNCTION("""COMPUTED_VALUE"""),"")</f>
        <v/>
      </c>
      <c r="AI38" s="89" t="str">
        <f>IFERROR(__xludf.DUMMYFUNCTION("""COMPUTED_VALUE"""),"")</f>
        <v/>
      </c>
      <c r="AJ38" s="89" t="str">
        <f>IFERROR(__xludf.DUMMYFUNCTION("""COMPUTED_VALUE"""),"")</f>
        <v/>
      </c>
      <c r="AK38" s="89">
        <f>IFERROR(__xludf.DUMMYFUNCTION("""COMPUTED_VALUE"""),0.0)</f>
        <v>0</v>
      </c>
    </row>
    <row r="39" ht="39.75" customHeight="1">
      <c r="A39" s="84" t="str">
        <f t="shared" si="1"/>
        <v/>
      </c>
      <c r="B39" s="82" t="s">
        <v>110</v>
      </c>
      <c r="C39" s="85" t="s">
        <v>111</v>
      </c>
      <c r="D39" s="85">
        <f t="shared" si="2"/>
        <v>22</v>
      </c>
      <c r="E39" s="82" t="s">
        <v>93</v>
      </c>
      <c r="F39" s="86">
        <f t="shared" si="3"/>
        <v>0.2</v>
      </c>
      <c r="G39" s="87">
        <f t="shared" si="4"/>
        <v>2640</v>
      </c>
      <c r="H39" s="83">
        <v>3181.0</v>
      </c>
      <c r="I39" s="82" t="str">
        <f t="shared" si="5"/>
        <v>哞哞鮮奶,10,窩心洋芋,8,品鮮蘑菇,4</v>
      </c>
      <c r="J39" s="84" t="s">
        <v>1</v>
      </c>
      <c r="K39" s="82">
        <v>10.0</v>
      </c>
      <c r="L39" s="84" t="s">
        <v>9</v>
      </c>
      <c r="M39" s="82">
        <v>8.0</v>
      </c>
      <c r="N39" s="84" t="s">
        <v>15</v>
      </c>
      <c r="O39" s="82">
        <v>4.0</v>
      </c>
      <c r="P39" s="84"/>
      <c r="Q39" s="85"/>
      <c r="R39" s="88" t="str">
        <f>IFERROR(__xludf.DUMMYFUNCTION("BYCOL($R$2:$AK$2, LAMBDA(header, IFERROR(SUM(FILTER(K39:Q39, J39:P39=header)), """")))
"),"")</f>
        <v/>
      </c>
      <c r="S39" s="89">
        <f>IFERROR(__xludf.DUMMYFUNCTION("""COMPUTED_VALUE"""),10.0)</f>
        <v>10</v>
      </c>
      <c r="T39" s="89" t="str">
        <f>IFERROR(__xludf.DUMMYFUNCTION("""COMPUTED_VALUE"""),"")</f>
        <v/>
      </c>
      <c r="U39" s="89" t="str">
        <f>IFERROR(__xludf.DUMMYFUNCTION("""COMPUTED_VALUE"""),"")</f>
        <v/>
      </c>
      <c r="V39" s="89" t="str">
        <f>IFERROR(__xludf.DUMMYFUNCTION("""COMPUTED_VALUE"""),"")</f>
        <v/>
      </c>
      <c r="W39" s="89" t="str">
        <f>IFERROR(__xludf.DUMMYFUNCTION("""COMPUTED_VALUE"""),"")</f>
        <v/>
      </c>
      <c r="X39" s="89" t="str">
        <f>IFERROR(__xludf.DUMMYFUNCTION("""COMPUTED_VALUE"""),"")</f>
        <v/>
      </c>
      <c r="Y39" s="89" t="str">
        <f>IFERROR(__xludf.DUMMYFUNCTION("""COMPUTED_VALUE"""),"")</f>
        <v/>
      </c>
      <c r="Z39" s="89" t="str">
        <f>IFERROR(__xludf.DUMMYFUNCTION("""COMPUTED_VALUE"""),"")</f>
        <v/>
      </c>
      <c r="AA39" s="89">
        <f>IFERROR(__xludf.DUMMYFUNCTION("""COMPUTED_VALUE"""),8.0)</f>
        <v>8</v>
      </c>
      <c r="AB39" s="89" t="str">
        <f>IFERROR(__xludf.DUMMYFUNCTION("""COMPUTED_VALUE"""),"")</f>
        <v/>
      </c>
      <c r="AC39" s="89" t="str">
        <f>IFERROR(__xludf.DUMMYFUNCTION("""COMPUTED_VALUE"""),"")</f>
        <v/>
      </c>
      <c r="AD39" s="89" t="str">
        <f>IFERROR(__xludf.DUMMYFUNCTION("""COMPUTED_VALUE"""),"")</f>
        <v/>
      </c>
      <c r="AE39" s="89" t="str">
        <f>IFERROR(__xludf.DUMMYFUNCTION("""COMPUTED_VALUE"""),"")</f>
        <v/>
      </c>
      <c r="AF39" s="89" t="str">
        <f>IFERROR(__xludf.DUMMYFUNCTION("""COMPUTED_VALUE"""),"")</f>
        <v/>
      </c>
      <c r="AG39" s="89">
        <f>IFERROR(__xludf.DUMMYFUNCTION("""COMPUTED_VALUE"""),4.0)</f>
        <v>4</v>
      </c>
      <c r="AH39" s="89" t="str">
        <f>IFERROR(__xludf.DUMMYFUNCTION("""COMPUTED_VALUE"""),"")</f>
        <v/>
      </c>
      <c r="AI39" s="89" t="str">
        <f>IFERROR(__xludf.DUMMYFUNCTION("""COMPUTED_VALUE"""),"")</f>
        <v/>
      </c>
      <c r="AJ39" s="89" t="str">
        <f>IFERROR(__xludf.DUMMYFUNCTION("""COMPUTED_VALUE"""),"")</f>
        <v/>
      </c>
      <c r="AK39" s="89">
        <f>IFERROR(__xludf.DUMMYFUNCTION("""COMPUTED_VALUE"""),0.0)</f>
        <v>0</v>
      </c>
    </row>
    <row r="40" ht="39.75" customHeight="1">
      <c r="A40" s="84" t="str">
        <f t="shared" si="1"/>
        <v/>
      </c>
      <c r="B40" s="82" t="s">
        <v>112</v>
      </c>
      <c r="C40" s="85" t="s">
        <v>113</v>
      </c>
      <c r="D40" s="85">
        <f t="shared" si="2"/>
        <v>26</v>
      </c>
      <c r="E40" s="82" t="s">
        <v>93</v>
      </c>
      <c r="F40" s="86">
        <f t="shared" si="3"/>
        <v>0.21</v>
      </c>
      <c r="G40" s="87">
        <f t="shared" si="4"/>
        <v>2798</v>
      </c>
      <c r="H40" s="83">
        <v>3372.0</v>
      </c>
      <c r="I40" s="82" t="str">
        <f t="shared" si="5"/>
        <v>萌綠大豆,12,豆製肉,6,特選蛋,4,火辣香草,4</v>
      </c>
      <c r="J40" s="84" t="s">
        <v>2</v>
      </c>
      <c r="K40" s="82">
        <v>12.0</v>
      </c>
      <c r="L40" s="84" t="s">
        <v>4</v>
      </c>
      <c r="M40" s="82">
        <v>6.0</v>
      </c>
      <c r="N40" s="84" t="s">
        <v>7</v>
      </c>
      <c r="O40" s="82">
        <v>4.0</v>
      </c>
      <c r="P40" s="84" t="s">
        <v>10</v>
      </c>
      <c r="Q40" s="82">
        <v>4.0</v>
      </c>
      <c r="R40" s="88" t="str">
        <f>IFERROR(__xludf.DUMMYFUNCTION("BYCOL($R$2:$AK$2, LAMBDA(header, IFERROR(SUM(FILTER(K40:Q40, J40:P40=header)), """")))
"),"")</f>
        <v/>
      </c>
      <c r="S40" s="89" t="str">
        <f>IFERROR(__xludf.DUMMYFUNCTION("""COMPUTED_VALUE"""),"")</f>
        <v/>
      </c>
      <c r="T40" s="89">
        <f>IFERROR(__xludf.DUMMYFUNCTION("""COMPUTED_VALUE"""),12.0)</f>
        <v>12</v>
      </c>
      <c r="U40" s="89" t="str">
        <f>IFERROR(__xludf.DUMMYFUNCTION("""COMPUTED_VALUE"""),"")</f>
        <v/>
      </c>
      <c r="V40" s="89">
        <f>IFERROR(__xludf.DUMMYFUNCTION("""COMPUTED_VALUE"""),6.0)</f>
        <v>6</v>
      </c>
      <c r="W40" s="89" t="str">
        <f>IFERROR(__xludf.DUMMYFUNCTION("""COMPUTED_VALUE"""),"")</f>
        <v/>
      </c>
      <c r="X40" s="89" t="str">
        <f>IFERROR(__xludf.DUMMYFUNCTION("""COMPUTED_VALUE"""),"")</f>
        <v/>
      </c>
      <c r="Y40" s="89">
        <f>IFERROR(__xludf.DUMMYFUNCTION("""COMPUTED_VALUE"""),4.0)</f>
        <v>4</v>
      </c>
      <c r="Z40" s="89" t="str">
        <f>IFERROR(__xludf.DUMMYFUNCTION("""COMPUTED_VALUE"""),"")</f>
        <v/>
      </c>
      <c r="AA40" s="89" t="str">
        <f>IFERROR(__xludf.DUMMYFUNCTION("""COMPUTED_VALUE"""),"")</f>
        <v/>
      </c>
      <c r="AB40" s="89">
        <f>IFERROR(__xludf.DUMMYFUNCTION("""COMPUTED_VALUE"""),4.0)</f>
        <v>4</v>
      </c>
      <c r="AC40" s="89" t="str">
        <f>IFERROR(__xludf.DUMMYFUNCTION("""COMPUTED_VALUE"""),"")</f>
        <v/>
      </c>
      <c r="AD40" s="89" t="str">
        <f>IFERROR(__xludf.DUMMYFUNCTION("""COMPUTED_VALUE"""),"")</f>
        <v/>
      </c>
      <c r="AE40" s="89" t="str">
        <f>IFERROR(__xludf.DUMMYFUNCTION("""COMPUTED_VALUE"""),"")</f>
        <v/>
      </c>
      <c r="AF40" s="89" t="str">
        <f>IFERROR(__xludf.DUMMYFUNCTION("""COMPUTED_VALUE"""),"")</f>
        <v/>
      </c>
      <c r="AG40" s="89" t="str">
        <f>IFERROR(__xludf.DUMMYFUNCTION("""COMPUTED_VALUE"""),"")</f>
        <v/>
      </c>
      <c r="AH40" s="89" t="str">
        <f>IFERROR(__xludf.DUMMYFUNCTION("""COMPUTED_VALUE"""),"")</f>
        <v/>
      </c>
      <c r="AI40" s="89" t="str">
        <f>IFERROR(__xludf.DUMMYFUNCTION("""COMPUTED_VALUE"""),"")</f>
        <v/>
      </c>
      <c r="AJ40" s="89" t="str">
        <f>IFERROR(__xludf.DUMMYFUNCTION("""COMPUTED_VALUE"""),"")</f>
        <v/>
      </c>
      <c r="AK40" s="89" t="str">
        <f>IFERROR(__xludf.DUMMYFUNCTION("""COMPUTED_VALUE"""),"")</f>
        <v/>
      </c>
    </row>
    <row r="41" ht="39.75" customHeight="1">
      <c r="A41" s="84" t="str">
        <f t="shared" si="1"/>
        <v/>
      </c>
      <c r="B41" s="82" t="s">
        <v>114</v>
      </c>
      <c r="C41" s="85" t="s">
        <v>115</v>
      </c>
      <c r="D41" s="85">
        <f t="shared" si="2"/>
        <v>23</v>
      </c>
      <c r="E41" s="82" t="s">
        <v>93</v>
      </c>
      <c r="F41" s="86">
        <f t="shared" si="3"/>
        <v>0.2</v>
      </c>
      <c r="G41" s="87">
        <f t="shared" si="4"/>
        <v>3454</v>
      </c>
      <c r="H41" s="83">
        <v>4162.0</v>
      </c>
      <c r="I41" s="82" t="str">
        <f t="shared" si="5"/>
        <v>品鮮蘑菇,14,窩心洋芋,9</v>
      </c>
      <c r="J41" s="84" t="s">
        <v>15</v>
      </c>
      <c r="K41" s="82">
        <v>14.0</v>
      </c>
      <c r="L41" s="84" t="s">
        <v>9</v>
      </c>
      <c r="M41" s="82">
        <v>9.0</v>
      </c>
      <c r="N41" s="84"/>
      <c r="O41" s="85"/>
      <c r="P41" s="84"/>
      <c r="Q41" s="85"/>
      <c r="R41" s="88" t="str">
        <f>IFERROR(__xludf.DUMMYFUNCTION("BYCOL($R$2:$AK$2, LAMBDA(header, IFERROR(SUM(FILTER(K41:Q41, J41:P41=header)), """")))
"),"")</f>
        <v/>
      </c>
      <c r="S41" s="89" t="str">
        <f>IFERROR(__xludf.DUMMYFUNCTION("""COMPUTED_VALUE"""),"")</f>
        <v/>
      </c>
      <c r="T41" s="89" t="str">
        <f>IFERROR(__xludf.DUMMYFUNCTION("""COMPUTED_VALUE"""),"")</f>
        <v/>
      </c>
      <c r="U41" s="89" t="str">
        <f>IFERROR(__xludf.DUMMYFUNCTION("""COMPUTED_VALUE"""),"")</f>
        <v/>
      </c>
      <c r="V41" s="89" t="str">
        <f>IFERROR(__xludf.DUMMYFUNCTION("""COMPUTED_VALUE"""),"")</f>
        <v/>
      </c>
      <c r="W41" s="89" t="str">
        <f>IFERROR(__xludf.DUMMYFUNCTION("""COMPUTED_VALUE"""),"")</f>
        <v/>
      </c>
      <c r="X41" s="89" t="str">
        <f>IFERROR(__xludf.DUMMYFUNCTION("""COMPUTED_VALUE"""),"")</f>
        <v/>
      </c>
      <c r="Y41" s="89" t="str">
        <f>IFERROR(__xludf.DUMMYFUNCTION("""COMPUTED_VALUE"""),"")</f>
        <v/>
      </c>
      <c r="Z41" s="89" t="str">
        <f>IFERROR(__xludf.DUMMYFUNCTION("""COMPUTED_VALUE"""),"")</f>
        <v/>
      </c>
      <c r="AA41" s="89">
        <f>IFERROR(__xludf.DUMMYFUNCTION("""COMPUTED_VALUE"""),9.0)</f>
        <v>9</v>
      </c>
      <c r="AB41" s="89" t="str">
        <f>IFERROR(__xludf.DUMMYFUNCTION("""COMPUTED_VALUE"""),"")</f>
        <v/>
      </c>
      <c r="AC41" s="89" t="str">
        <f>IFERROR(__xludf.DUMMYFUNCTION("""COMPUTED_VALUE"""),"")</f>
        <v/>
      </c>
      <c r="AD41" s="89" t="str">
        <f>IFERROR(__xludf.DUMMYFUNCTION("""COMPUTED_VALUE"""),"")</f>
        <v/>
      </c>
      <c r="AE41" s="89" t="str">
        <f>IFERROR(__xludf.DUMMYFUNCTION("""COMPUTED_VALUE"""),"")</f>
        <v/>
      </c>
      <c r="AF41" s="89" t="str">
        <f>IFERROR(__xludf.DUMMYFUNCTION("""COMPUTED_VALUE"""),"")</f>
        <v/>
      </c>
      <c r="AG41" s="89">
        <f>IFERROR(__xludf.DUMMYFUNCTION("""COMPUTED_VALUE"""),14.0)</f>
        <v>14</v>
      </c>
      <c r="AH41" s="89" t="str">
        <f>IFERROR(__xludf.DUMMYFUNCTION("""COMPUTED_VALUE"""),"")</f>
        <v/>
      </c>
      <c r="AI41" s="89" t="str">
        <f>IFERROR(__xludf.DUMMYFUNCTION("""COMPUTED_VALUE"""),"")</f>
        <v/>
      </c>
      <c r="AJ41" s="89" t="str">
        <f>IFERROR(__xludf.DUMMYFUNCTION("""COMPUTED_VALUE"""),"")</f>
        <v/>
      </c>
      <c r="AK41" s="89">
        <f>IFERROR(__xludf.DUMMYFUNCTION("""COMPUTED_VALUE"""),0.0)</f>
        <v>0</v>
      </c>
    </row>
    <row r="42" ht="39.75" customHeight="1">
      <c r="A42" s="84" t="str">
        <f t="shared" si="1"/>
        <v/>
      </c>
      <c r="B42" s="82" t="s">
        <v>116</v>
      </c>
      <c r="C42" s="85" t="s">
        <v>117</v>
      </c>
      <c r="D42" s="85">
        <f t="shared" si="2"/>
        <v>35</v>
      </c>
      <c r="E42" s="82" t="s">
        <v>93</v>
      </c>
      <c r="F42" s="86">
        <f t="shared" si="3"/>
        <v>0.25</v>
      </c>
      <c r="G42" s="87">
        <f t="shared" si="4"/>
        <v>3618</v>
      </c>
      <c r="H42" s="83">
        <v>4523.0</v>
      </c>
      <c r="I42" s="82" t="str">
        <f t="shared" si="5"/>
        <v>甜甜蜜,12,特選蘋果,11,特選蛋,8,窩心洋芋,4</v>
      </c>
      <c r="J42" s="84" t="s">
        <v>3</v>
      </c>
      <c r="K42" s="82">
        <v>12.0</v>
      </c>
      <c r="L42" s="84" t="s">
        <v>0</v>
      </c>
      <c r="M42" s="82">
        <v>11.0</v>
      </c>
      <c r="N42" s="84" t="s">
        <v>7</v>
      </c>
      <c r="O42" s="82">
        <v>8.0</v>
      </c>
      <c r="P42" s="84" t="s">
        <v>9</v>
      </c>
      <c r="Q42" s="82">
        <v>4.0</v>
      </c>
      <c r="R42" s="88">
        <f>IFERROR(__xludf.DUMMYFUNCTION("BYCOL($R$2:$AK$2, LAMBDA(header, IFERROR(SUM(FILTER(K42:Q42, J42:P42=header)), """")))
"),11.0)</f>
        <v>11</v>
      </c>
      <c r="S42" s="89" t="str">
        <f>IFERROR(__xludf.DUMMYFUNCTION("""COMPUTED_VALUE"""),"")</f>
        <v/>
      </c>
      <c r="T42" s="89" t="str">
        <f>IFERROR(__xludf.DUMMYFUNCTION("""COMPUTED_VALUE"""),"")</f>
        <v/>
      </c>
      <c r="U42" s="89">
        <f>IFERROR(__xludf.DUMMYFUNCTION("""COMPUTED_VALUE"""),12.0)</f>
        <v>12</v>
      </c>
      <c r="V42" s="89" t="str">
        <f>IFERROR(__xludf.DUMMYFUNCTION("""COMPUTED_VALUE"""),"")</f>
        <v/>
      </c>
      <c r="W42" s="89" t="str">
        <f>IFERROR(__xludf.DUMMYFUNCTION("""COMPUTED_VALUE"""),"")</f>
        <v/>
      </c>
      <c r="X42" s="89" t="str">
        <f>IFERROR(__xludf.DUMMYFUNCTION("""COMPUTED_VALUE"""),"")</f>
        <v/>
      </c>
      <c r="Y42" s="89">
        <f>IFERROR(__xludf.DUMMYFUNCTION("""COMPUTED_VALUE"""),8.0)</f>
        <v>8</v>
      </c>
      <c r="Z42" s="89" t="str">
        <f>IFERROR(__xludf.DUMMYFUNCTION("""COMPUTED_VALUE"""),"")</f>
        <v/>
      </c>
      <c r="AA42" s="89">
        <f>IFERROR(__xludf.DUMMYFUNCTION("""COMPUTED_VALUE"""),4.0)</f>
        <v>4</v>
      </c>
      <c r="AB42" s="89" t="str">
        <f>IFERROR(__xludf.DUMMYFUNCTION("""COMPUTED_VALUE"""),"")</f>
        <v/>
      </c>
      <c r="AC42" s="89" t="str">
        <f>IFERROR(__xludf.DUMMYFUNCTION("""COMPUTED_VALUE"""),"")</f>
        <v/>
      </c>
      <c r="AD42" s="89" t="str">
        <f>IFERROR(__xludf.DUMMYFUNCTION("""COMPUTED_VALUE"""),"")</f>
        <v/>
      </c>
      <c r="AE42" s="89" t="str">
        <f>IFERROR(__xludf.DUMMYFUNCTION("""COMPUTED_VALUE"""),"")</f>
        <v/>
      </c>
      <c r="AF42" s="89" t="str">
        <f>IFERROR(__xludf.DUMMYFUNCTION("""COMPUTED_VALUE"""),"")</f>
        <v/>
      </c>
      <c r="AG42" s="89" t="str">
        <f>IFERROR(__xludf.DUMMYFUNCTION("""COMPUTED_VALUE"""),"")</f>
        <v/>
      </c>
      <c r="AH42" s="89" t="str">
        <f>IFERROR(__xludf.DUMMYFUNCTION("""COMPUTED_VALUE"""),"")</f>
        <v/>
      </c>
      <c r="AI42" s="89" t="str">
        <f>IFERROR(__xludf.DUMMYFUNCTION("""COMPUTED_VALUE"""),"")</f>
        <v/>
      </c>
      <c r="AJ42" s="89" t="str">
        <f>IFERROR(__xludf.DUMMYFUNCTION("""COMPUTED_VALUE"""),"")</f>
        <v/>
      </c>
      <c r="AK42" s="89" t="str">
        <f>IFERROR(__xludf.DUMMYFUNCTION("""COMPUTED_VALUE"""),"")</f>
        <v/>
      </c>
    </row>
    <row r="43" ht="39.75" customHeight="1">
      <c r="A43" s="84" t="str">
        <f t="shared" si="1"/>
        <v/>
      </c>
      <c r="B43" s="82" t="s">
        <v>118</v>
      </c>
      <c r="C43" s="85" t="s">
        <v>119</v>
      </c>
      <c r="D43" s="85">
        <f t="shared" si="2"/>
        <v>30</v>
      </c>
      <c r="E43" s="82" t="s">
        <v>93</v>
      </c>
      <c r="F43" s="86">
        <f t="shared" si="3"/>
        <v>0.25</v>
      </c>
      <c r="G43" s="87">
        <f t="shared" si="4"/>
        <v>3736</v>
      </c>
      <c r="H43" s="83">
        <v>4670.0</v>
      </c>
      <c r="I43" s="82" t="str">
        <f t="shared" si="5"/>
        <v>萌綠玉米,14,哞哞鮮奶,8,窩心洋芋,8</v>
      </c>
      <c r="J43" s="84" t="s">
        <v>11</v>
      </c>
      <c r="K43" s="82">
        <v>14.0</v>
      </c>
      <c r="L43" s="84" t="s">
        <v>1</v>
      </c>
      <c r="M43" s="82">
        <v>8.0</v>
      </c>
      <c r="N43" s="84" t="s">
        <v>9</v>
      </c>
      <c r="O43" s="82">
        <v>8.0</v>
      </c>
      <c r="P43" s="84"/>
      <c r="Q43" s="85"/>
      <c r="R43" s="88" t="str">
        <f>IFERROR(__xludf.DUMMYFUNCTION("BYCOL($R$2:$AK$2, LAMBDA(header, IFERROR(SUM(FILTER(K43:Q43, J43:P43=header)), """")))
"),"")</f>
        <v/>
      </c>
      <c r="S43" s="84">
        <f>IFERROR(__xludf.DUMMYFUNCTION("""COMPUTED_VALUE"""),8.0)</f>
        <v>8</v>
      </c>
      <c r="T43" s="89" t="str">
        <f>IFERROR(__xludf.DUMMYFUNCTION("""COMPUTED_VALUE"""),"")</f>
        <v/>
      </c>
      <c r="U43" s="89" t="str">
        <f>IFERROR(__xludf.DUMMYFUNCTION("""COMPUTED_VALUE"""),"")</f>
        <v/>
      </c>
      <c r="V43" s="89" t="str">
        <f>IFERROR(__xludf.DUMMYFUNCTION("""COMPUTED_VALUE"""),"")</f>
        <v/>
      </c>
      <c r="W43" s="89" t="str">
        <f>IFERROR(__xludf.DUMMYFUNCTION("""COMPUTED_VALUE"""),"")</f>
        <v/>
      </c>
      <c r="X43" s="89" t="str">
        <f>IFERROR(__xludf.DUMMYFUNCTION("""COMPUTED_VALUE"""),"")</f>
        <v/>
      </c>
      <c r="Y43" s="89" t="str">
        <f>IFERROR(__xludf.DUMMYFUNCTION("""COMPUTED_VALUE"""),"")</f>
        <v/>
      </c>
      <c r="Z43" s="89" t="str">
        <f>IFERROR(__xludf.DUMMYFUNCTION("""COMPUTED_VALUE"""),"")</f>
        <v/>
      </c>
      <c r="AA43" s="84">
        <f>IFERROR(__xludf.DUMMYFUNCTION("""COMPUTED_VALUE"""),8.0)</f>
        <v>8</v>
      </c>
      <c r="AB43" s="89" t="str">
        <f>IFERROR(__xludf.DUMMYFUNCTION("""COMPUTED_VALUE"""),"")</f>
        <v/>
      </c>
      <c r="AC43" s="84">
        <f>IFERROR(__xludf.DUMMYFUNCTION("""COMPUTED_VALUE"""),14.0)</f>
        <v>14</v>
      </c>
      <c r="AD43" s="89" t="str">
        <f>IFERROR(__xludf.DUMMYFUNCTION("""COMPUTED_VALUE"""),"")</f>
        <v/>
      </c>
      <c r="AE43" s="84" t="str">
        <f>IFERROR(__xludf.DUMMYFUNCTION("""COMPUTED_VALUE"""),"")</f>
        <v/>
      </c>
      <c r="AF43" s="84" t="str">
        <f>IFERROR(__xludf.DUMMYFUNCTION("""COMPUTED_VALUE"""),"")</f>
        <v/>
      </c>
      <c r="AG43" s="89" t="str">
        <f>IFERROR(__xludf.DUMMYFUNCTION("""COMPUTED_VALUE"""),"")</f>
        <v/>
      </c>
      <c r="AH43" s="89" t="str">
        <f>IFERROR(__xludf.DUMMYFUNCTION("""COMPUTED_VALUE"""),"")</f>
        <v/>
      </c>
      <c r="AI43" s="84" t="str">
        <f>IFERROR(__xludf.DUMMYFUNCTION("""COMPUTED_VALUE"""),"")</f>
        <v/>
      </c>
      <c r="AJ43" s="89" t="str">
        <f>IFERROR(__xludf.DUMMYFUNCTION("""COMPUTED_VALUE"""),"")</f>
        <v/>
      </c>
      <c r="AK43" s="84">
        <f>IFERROR(__xludf.DUMMYFUNCTION("""COMPUTED_VALUE"""),0.0)</f>
        <v>0</v>
      </c>
    </row>
    <row r="44" ht="39.75" customHeight="1">
      <c r="A44" s="84" t="str">
        <f t="shared" si="1"/>
        <v/>
      </c>
      <c r="B44" s="82" t="s">
        <v>120</v>
      </c>
      <c r="C44" s="85" t="s">
        <v>121</v>
      </c>
      <c r="D44" s="85">
        <f t="shared" si="2"/>
        <v>33</v>
      </c>
      <c r="E44" s="82" t="s">
        <v>93</v>
      </c>
      <c r="F44" s="86">
        <f t="shared" si="3"/>
        <v>0.35</v>
      </c>
      <c r="G44" s="87">
        <f t="shared" si="4"/>
        <v>4224</v>
      </c>
      <c r="H44" s="83">
        <v>5702.0</v>
      </c>
      <c r="I44" s="82" t="str">
        <f t="shared" si="5"/>
        <v>醒腦咖啡豆,11,火辣香草,11,甜甜蜜,11</v>
      </c>
      <c r="J44" s="84" t="s">
        <v>13</v>
      </c>
      <c r="K44" s="82">
        <v>11.0</v>
      </c>
      <c r="L44" s="84" t="s">
        <v>10</v>
      </c>
      <c r="M44" s="82">
        <v>11.0</v>
      </c>
      <c r="N44" s="84" t="s">
        <v>3</v>
      </c>
      <c r="O44" s="82">
        <v>11.0</v>
      </c>
      <c r="P44" s="84"/>
      <c r="Q44" s="82"/>
      <c r="R44" s="88" t="str">
        <f>IFERROR(__xludf.DUMMYFUNCTION("BYCOL($R$2:$AK$2, LAMBDA(header, IFERROR(SUM(FILTER(K44:Q44, J44:P44=header)), """")))
"),"")</f>
        <v/>
      </c>
      <c r="S44" s="89" t="str">
        <f>IFERROR(__xludf.DUMMYFUNCTION("""COMPUTED_VALUE"""),"")</f>
        <v/>
      </c>
      <c r="T44" s="89" t="str">
        <f>IFERROR(__xludf.DUMMYFUNCTION("""COMPUTED_VALUE"""),"")</f>
        <v/>
      </c>
      <c r="U44" s="89">
        <f>IFERROR(__xludf.DUMMYFUNCTION("""COMPUTED_VALUE"""),11.0)</f>
        <v>11</v>
      </c>
      <c r="V44" s="84" t="str">
        <f>IFERROR(__xludf.DUMMYFUNCTION("""COMPUTED_VALUE"""),"")</f>
        <v/>
      </c>
      <c r="W44" s="84" t="str">
        <f>IFERROR(__xludf.DUMMYFUNCTION("""COMPUTED_VALUE"""),"")</f>
        <v/>
      </c>
      <c r="X44" s="89" t="str">
        <f>IFERROR(__xludf.DUMMYFUNCTION("""COMPUTED_VALUE"""),"")</f>
        <v/>
      </c>
      <c r="Y44" s="89" t="str">
        <f>IFERROR(__xludf.DUMMYFUNCTION("""COMPUTED_VALUE"""),"")</f>
        <v/>
      </c>
      <c r="Z44" s="89" t="str">
        <f>IFERROR(__xludf.DUMMYFUNCTION("""COMPUTED_VALUE"""),"")</f>
        <v/>
      </c>
      <c r="AA44" s="89" t="str">
        <f>IFERROR(__xludf.DUMMYFUNCTION("""COMPUTED_VALUE"""),"")</f>
        <v/>
      </c>
      <c r="AB44" s="84">
        <f>IFERROR(__xludf.DUMMYFUNCTION("""COMPUTED_VALUE"""),11.0)</f>
        <v>11</v>
      </c>
      <c r="AC44" s="84" t="str">
        <f>IFERROR(__xludf.DUMMYFUNCTION("""COMPUTED_VALUE"""),"")</f>
        <v/>
      </c>
      <c r="AD44" s="89" t="str">
        <f>IFERROR(__xludf.DUMMYFUNCTION("""COMPUTED_VALUE"""),"")</f>
        <v/>
      </c>
      <c r="AE44" s="89">
        <f>IFERROR(__xludf.DUMMYFUNCTION("""COMPUTED_VALUE"""),11.0)</f>
        <v>11</v>
      </c>
      <c r="AF44" s="84" t="str">
        <f>IFERROR(__xludf.DUMMYFUNCTION("""COMPUTED_VALUE"""),"")</f>
        <v/>
      </c>
      <c r="AG44" s="89" t="str">
        <f>IFERROR(__xludf.DUMMYFUNCTION("""COMPUTED_VALUE"""),"")</f>
        <v/>
      </c>
      <c r="AH44" s="89" t="str">
        <f>IFERROR(__xludf.DUMMYFUNCTION("""COMPUTED_VALUE"""),"")</f>
        <v/>
      </c>
      <c r="AI44" s="84" t="str">
        <f>IFERROR(__xludf.DUMMYFUNCTION("""COMPUTED_VALUE"""),"")</f>
        <v/>
      </c>
      <c r="AJ44" s="89" t="str">
        <f>IFERROR(__xludf.DUMMYFUNCTION("""COMPUTED_VALUE"""),"")</f>
        <v/>
      </c>
      <c r="AK44" s="84">
        <f>IFERROR(__xludf.DUMMYFUNCTION("""COMPUTED_VALUE"""),0.0)</f>
        <v>0</v>
      </c>
    </row>
    <row r="45" ht="39.75" customHeight="1">
      <c r="A45" s="84" t="str">
        <f t="shared" si="1"/>
        <v/>
      </c>
      <c r="B45" s="82" t="s">
        <v>122</v>
      </c>
      <c r="C45" s="85" t="s">
        <v>123</v>
      </c>
      <c r="D45" s="85">
        <f t="shared" si="2"/>
        <v>32</v>
      </c>
      <c r="E45" s="82" t="s">
        <v>93</v>
      </c>
      <c r="F45" s="86">
        <f t="shared" si="3"/>
        <v>0.25</v>
      </c>
      <c r="G45" s="87">
        <f t="shared" si="4"/>
        <v>4720</v>
      </c>
      <c r="H45" s="83">
        <v>5900.0</v>
      </c>
      <c r="I45" s="82" t="str">
        <f t="shared" si="5"/>
        <v>粗枝大蔥,14,暖暖薑,10,火辣香草,8</v>
      </c>
      <c r="J45" s="84" t="s">
        <v>16</v>
      </c>
      <c r="K45" s="82">
        <v>14.0</v>
      </c>
      <c r="L45" s="84" t="s">
        <v>5</v>
      </c>
      <c r="M45" s="82">
        <v>10.0</v>
      </c>
      <c r="N45" s="84" t="s">
        <v>10</v>
      </c>
      <c r="O45" s="82">
        <v>8.0</v>
      </c>
      <c r="P45" s="84"/>
      <c r="Q45" s="85"/>
      <c r="R45" s="88" t="str">
        <f>IFERROR(__xludf.DUMMYFUNCTION("BYCOL($R$2:$AK$2, LAMBDA(header, IFERROR(SUM(FILTER(K45:Q45, J45:P45=header)), """")))
"),"")</f>
        <v/>
      </c>
      <c r="S45" s="89" t="str">
        <f>IFERROR(__xludf.DUMMYFUNCTION("""COMPUTED_VALUE"""),"")</f>
        <v/>
      </c>
      <c r="T45" s="89" t="str">
        <f>IFERROR(__xludf.DUMMYFUNCTION("""COMPUTED_VALUE"""),"")</f>
        <v/>
      </c>
      <c r="U45" s="89" t="str">
        <f>IFERROR(__xludf.DUMMYFUNCTION("""COMPUTED_VALUE"""),"")</f>
        <v/>
      </c>
      <c r="V45" s="89" t="str">
        <f>IFERROR(__xludf.DUMMYFUNCTION("""COMPUTED_VALUE"""),"")</f>
        <v/>
      </c>
      <c r="W45" s="89">
        <f>IFERROR(__xludf.DUMMYFUNCTION("""COMPUTED_VALUE"""),10.0)</f>
        <v>10</v>
      </c>
      <c r="X45" s="89" t="str">
        <f>IFERROR(__xludf.DUMMYFUNCTION("""COMPUTED_VALUE"""),"")</f>
        <v/>
      </c>
      <c r="Y45" s="89" t="str">
        <f>IFERROR(__xludf.DUMMYFUNCTION("""COMPUTED_VALUE"""),"")</f>
        <v/>
      </c>
      <c r="Z45" s="89" t="str">
        <f>IFERROR(__xludf.DUMMYFUNCTION("""COMPUTED_VALUE"""),"")</f>
        <v/>
      </c>
      <c r="AA45" s="89" t="str">
        <f>IFERROR(__xludf.DUMMYFUNCTION("""COMPUTED_VALUE"""),"")</f>
        <v/>
      </c>
      <c r="AB45" s="89">
        <f>IFERROR(__xludf.DUMMYFUNCTION("""COMPUTED_VALUE"""),8.0)</f>
        <v>8</v>
      </c>
      <c r="AC45" s="89" t="str">
        <f>IFERROR(__xludf.DUMMYFUNCTION("""COMPUTED_VALUE"""),"")</f>
        <v/>
      </c>
      <c r="AD45" s="89" t="str">
        <f>IFERROR(__xludf.DUMMYFUNCTION("""COMPUTED_VALUE"""),"")</f>
        <v/>
      </c>
      <c r="AE45" s="89" t="str">
        <f>IFERROR(__xludf.DUMMYFUNCTION("""COMPUTED_VALUE"""),"")</f>
        <v/>
      </c>
      <c r="AF45" s="89" t="str">
        <f>IFERROR(__xludf.DUMMYFUNCTION("""COMPUTED_VALUE"""),"")</f>
        <v/>
      </c>
      <c r="AG45" s="89" t="str">
        <f>IFERROR(__xludf.DUMMYFUNCTION("""COMPUTED_VALUE"""),"")</f>
        <v/>
      </c>
      <c r="AH45" s="89">
        <f>IFERROR(__xludf.DUMMYFUNCTION("""COMPUTED_VALUE"""),14.0)</f>
        <v>14</v>
      </c>
      <c r="AI45" s="89" t="str">
        <f>IFERROR(__xludf.DUMMYFUNCTION("""COMPUTED_VALUE"""),"")</f>
        <v/>
      </c>
      <c r="AJ45" s="89" t="str">
        <f>IFERROR(__xludf.DUMMYFUNCTION("""COMPUTED_VALUE"""),"")</f>
        <v/>
      </c>
      <c r="AK45" s="89">
        <f>IFERROR(__xludf.DUMMYFUNCTION("""COMPUTED_VALUE"""),0.0)</f>
        <v>0</v>
      </c>
    </row>
    <row r="46" ht="39.75" customHeight="1">
      <c r="A46" s="84" t="str">
        <f t="shared" si="1"/>
        <v/>
      </c>
      <c r="B46" s="82" t="s">
        <v>124</v>
      </c>
      <c r="C46" s="85" t="s">
        <v>125</v>
      </c>
      <c r="D46" s="85">
        <f t="shared" si="2"/>
        <v>33</v>
      </c>
      <c r="E46" s="82" t="s">
        <v>93</v>
      </c>
      <c r="F46" s="86">
        <f t="shared" si="3"/>
        <v>0.25</v>
      </c>
      <c r="G46" s="87">
        <f t="shared" si="4"/>
        <v>5986</v>
      </c>
      <c r="H46" s="83">
        <v>7483.0</v>
      </c>
      <c r="I46" s="82" t="str">
        <f t="shared" si="5"/>
        <v>火辣香草,25,美味尾巴,8</v>
      </c>
      <c r="J46" s="84" t="s">
        <v>10</v>
      </c>
      <c r="K46" s="82">
        <v>25.0</v>
      </c>
      <c r="L46" s="84" t="s">
        <v>18</v>
      </c>
      <c r="M46" s="82">
        <v>8.0</v>
      </c>
      <c r="N46" s="84"/>
      <c r="O46" s="85"/>
      <c r="P46" s="84"/>
      <c r="Q46" s="85"/>
      <c r="R46" s="88" t="str">
        <f>IFERROR(__xludf.DUMMYFUNCTION("BYCOL($R$2:$AK$2, LAMBDA(header, IFERROR(SUM(FILTER(K46:Q46, J46:P46=header)), """")))
"),"")</f>
        <v/>
      </c>
      <c r="S46" s="89" t="str">
        <f>IFERROR(__xludf.DUMMYFUNCTION("""COMPUTED_VALUE"""),"")</f>
        <v/>
      </c>
      <c r="T46" s="89" t="str">
        <f>IFERROR(__xludf.DUMMYFUNCTION("""COMPUTED_VALUE"""),"")</f>
        <v/>
      </c>
      <c r="U46" s="89" t="str">
        <f>IFERROR(__xludf.DUMMYFUNCTION("""COMPUTED_VALUE"""),"")</f>
        <v/>
      </c>
      <c r="V46" s="89" t="str">
        <f>IFERROR(__xludf.DUMMYFUNCTION("""COMPUTED_VALUE"""),"")</f>
        <v/>
      </c>
      <c r="W46" s="89" t="str">
        <f>IFERROR(__xludf.DUMMYFUNCTION("""COMPUTED_VALUE"""),"")</f>
        <v/>
      </c>
      <c r="X46" s="89" t="str">
        <f>IFERROR(__xludf.DUMMYFUNCTION("""COMPUTED_VALUE"""),"")</f>
        <v/>
      </c>
      <c r="Y46" s="89" t="str">
        <f>IFERROR(__xludf.DUMMYFUNCTION("""COMPUTED_VALUE"""),"")</f>
        <v/>
      </c>
      <c r="Z46" s="89" t="str">
        <f>IFERROR(__xludf.DUMMYFUNCTION("""COMPUTED_VALUE"""),"")</f>
        <v/>
      </c>
      <c r="AA46" s="89" t="str">
        <f>IFERROR(__xludf.DUMMYFUNCTION("""COMPUTED_VALUE"""),"")</f>
        <v/>
      </c>
      <c r="AB46" s="89">
        <f>IFERROR(__xludf.DUMMYFUNCTION("""COMPUTED_VALUE"""),25.0)</f>
        <v>25</v>
      </c>
      <c r="AC46" s="89" t="str">
        <f>IFERROR(__xludf.DUMMYFUNCTION("""COMPUTED_VALUE"""),"")</f>
        <v/>
      </c>
      <c r="AD46" s="89" t="str">
        <f>IFERROR(__xludf.DUMMYFUNCTION("""COMPUTED_VALUE"""),"")</f>
        <v/>
      </c>
      <c r="AE46" s="89" t="str">
        <f>IFERROR(__xludf.DUMMYFUNCTION("""COMPUTED_VALUE"""),"")</f>
        <v/>
      </c>
      <c r="AF46" s="89" t="str">
        <f>IFERROR(__xludf.DUMMYFUNCTION("""COMPUTED_VALUE"""),"")</f>
        <v/>
      </c>
      <c r="AG46" s="89" t="str">
        <f>IFERROR(__xludf.DUMMYFUNCTION("""COMPUTED_VALUE"""),"")</f>
        <v/>
      </c>
      <c r="AH46" s="89" t="str">
        <f>IFERROR(__xludf.DUMMYFUNCTION("""COMPUTED_VALUE"""),"")</f>
        <v/>
      </c>
      <c r="AI46" s="89" t="str">
        <f>IFERROR(__xludf.DUMMYFUNCTION("""COMPUTED_VALUE"""),"")</f>
        <v/>
      </c>
      <c r="AJ46" s="89">
        <f>IFERROR(__xludf.DUMMYFUNCTION("""COMPUTED_VALUE"""),8.0)</f>
        <v>8</v>
      </c>
      <c r="AK46" s="89">
        <f>IFERROR(__xludf.DUMMYFUNCTION("""COMPUTED_VALUE"""),0.0)</f>
        <v>0</v>
      </c>
    </row>
    <row r="47" ht="39.75" customHeight="1">
      <c r="A47" s="84" t="str">
        <f t="shared" si="1"/>
        <v/>
      </c>
      <c r="B47" s="82" t="s">
        <v>126</v>
      </c>
      <c r="C47" s="85" t="s">
        <v>127</v>
      </c>
      <c r="D47" s="85">
        <f t="shared" si="2"/>
        <v>55</v>
      </c>
      <c r="E47" s="82" t="s">
        <v>93</v>
      </c>
      <c r="F47" s="86">
        <f t="shared" si="3"/>
        <v>0.35</v>
      </c>
      <c r="G47" s="87">
        <f t="shared" si="4"/>
        <v>6674</v>
      </c>
      <c r="H47" s="83">
        <v>9010.0</v>
      </c>
      <c r="I47" s="82" t="str">
        <f t="shared" si="5"/>
        <v>窩心洋芋,18,好眠番茄,15,放鬆可可,12,哞哞鮮奶,10</v>
      </c>
      <c r="J47" s="84" t="s">
        <v>9</v>
      </c>
      <c r="K47" s="82">
        <v>18.0</v>
      </c>
      <c r="L47" s="84" t="s">
        <v>6</v>
      </c>
      <c r="M47" s="82">
        <v>15.0</v>
      </c>
      <c r="N47" s="84" t="s">
        <v>12</v>
      </c>
      <c r="O47" s="82">
        <v>12.0</v>
      </c>
      <c r="P47" s="84" t="s">
        <v>1</v>
      </c>
      <c r="Q47" s="82">
        <v>10.0</v>
      </c>
      <c r="R47" s="88" t="str">
        <f>IFERROR(__xludf.DUMMYFUNCTION("BYCOL($R$2:$AK$2, LAMBDA(header, IFERROR(SUM(FILTER(K47:Q47, J47:P47=header)), """")))
"),"")</f>
        <v/>
      </c>
      <c r="S47" s="89">
        <f>IFERROR(__xludf.DUMMYFUNCTION("""COMPUTED_VALUE"""),10.0)</f>
        <v>10</v>
      </c>
      <c r="T47" s="89" t="str">
        <f>IFERROR(__xludf.DUMMYFUNCTION("""COMPUTED_VALUE"""),"")</f>
        <v/>
      </c>
      <c r="U47" s="89" t="str">
        <f>IFERROR(__xludf.DUMMYFUNCTION("""COMPUTED_VALUE"""),"")</f>
        <v/>
      </c>
      <c r="V47" s="89" t="str">
        <f>IFERROR(__xludf.DUMMYFUNCTION("""COMPUTED_VALUE"""),"")</f>
        <v/>
      </c>
      <c r="W47" s="89" t="str">
        <f>IFERROR(__xludf.DUMMYFUNCTION("""COMPUTED_VALUE"""),"")</f>
        <v/>
      </c>
      <c r="X47" s="89">
        <f>IFERROR(__xludf.DUMMYFUNCTION("""COMPUTED_VALUE"""),15.0)</f>
        <v>15</v>
      </c>
      <c r="Y47" s="89" t="str">
        <f>IFERROR(__xludf.DUMMYFUNCTION("""COMPUTED_VALUE"""),"")</f>
        <v/>
      </c>
      <c r="Z47" s="89" t="str">
        <f>IFERROR(__xludf.DUMMYFUNCTION("""COMPUTED_VALUE"""),"")</f>
        <v/>
      </c>
      <c r="AA47" s="89">
        <f>IFERROR(__xludf.DUMMYFUNCTION("""COMPUTED_VALUE"""),18.0)</f>
        <v>18</v>
      </c>
      <c r="AB47" s="89" t="str">
        <f>IFERROR(__xludf.DUMMYFUNCTION("""COMPUTED_VALUE"""),"")</f>
        <v/>
      </c>
      <c r="AC47" s="89" t="str">
        <f>IFERROR(__xludf.DUMMYFUNCTION("""COMPUTED_VALUE"""),"")</f>
        <v/>
      </c>
      <c r="AD47" s="89">
        <f>IFERROR(__xludf.DUMMYFUNCTION("""COMPUTED_VALUE"""),12.0)</f>
        <v>12</v>
      </c>
      <c r="AE47" s="89" t="str">
        <f>IFERROR(__xludf.DUMMYFUNCTION("""COMPUTED_VALUE"""),"")</f>
        <v/>
      </c>
      <c r="AF47" s="89" t="str">
        <f>IFERROR(__xludf.DUMMYFUNCTION("""COMPUTED_VALUE"""),"")</f>
        <v/>
      </c>
      <c r="AG47" s="89" t="str">
        <f>IFERROR(__xludf.DUMMYFUNCTION("""COMPUTED_VALUE"""),"")</f>
        <v/>
      </c>
      <c r="AH47" s="89" t="str">
        <f>IFERROR(__xludf.DUMMYFUNCTION("""COMPUTED_VALUE"""),"")</f>
        <v/>
      </c>
      <c r="AI47" s="89" t="str">
        <f>IFERROR(__xludf.DUMMYFUNCTION("""COMPUTED_VALUE"""),"")</f>
        <v/>
      </c>
      <c r="AJ47" s="89" t="str">
        <f>IFERROR(__xludf.DUMMYFUNCTION("""COMPUTED_VALUE"""),"")</f>
        <v/>
      </c>
      <c r="AK47" s="89" t="str">
        <f>IFERROR(__xludf.DUMMYFUNCTION("""COMPUTED_VALUE"""),"")</f>
        <v/>
      </c>
    </row>
    <row r="48" ht="39.75" customHeight="1">
      <c r="A48" s="84" t="str">
        <f t="shared" si="1"/>
        <v/>
      </c>
      <c r="B48" s="82" t="s">
        <v>128</v>
      </c>
      <c r="C48" s="85" t="s">
        <v>129</v>
      </c>
      <c r="D48" s="85">
        <f t="shared" si="2"/>
        <v>50</v>
      </c>
      <c r="E48" s="82" t="s">
        <v>93</v>
      </c>
      <c r="F48" s="86">
        <f t="shared" si="3"/>
        <v>0.48</v>
      </c>
      <c r="G48" s="87">
        <f t="shared" si="4"/>
        <v>6382</v>
      </c>
      <c r="H48" s="83">
        <v>9445.0</v>
      </c>
      <c r="I48" s="82" t="str">
        <f t="shared" si="5"/>
        <v>萌綠大豆,24,粗枝大蔥,12,豆製肉,9,品鮮蘑菇,5</v>
      </c>
      <c r="J48" s="84" t="s">
        <v>2</v>
      </c>
      <c r="K48" s="82">
        <v>24.0</v>
      </c>
      <c r="L48" s="84" t="s">
        <v>16</v>
      </c>
      <c r="M48" s="82">
        <v>12.0</v>
      </c>
      <c r="N48" s="84" t="s">
        <v>4</v>
      </c>
      <c r="O48" s="82">
        <v>9.0</v>
      </c>
      <c r="P48" s="84" t="s">
        <v>15</v>
      </c>
      <c r="Q48" s="82">
        <v>5.0</v>
      </c>
      <c r="R48" s="88" t="str">
        <f>IFERROR(__xludf.DUMMYFUNCTION("BYCOL($R$2:$AK$2, LAMBDA(header, IFERROR(SUM(FILTER(K48:Q48, J48:P48=header)), """")))
"),"")</f>
        <v/>
      </c>
      <c r="S48" s="89" t="str">
        <f>IFERROR(__xludf.DUMMYFUNCTION("""COMPUTED_VALUE"""),"")</f>
        <v/>
      </c>
      <c r="T48" s="89">
        <f>IFERROR(__xludf.DUMMYFUNCTION("""COMPUTED_VALUE"""),24.0)</f>
        <v>24</v>
      </c>
      <c r="U48" s="89" t="str">
        <f>IFERROR(__xludf.DUMMYFUNCTION("""COMPUTED_VALUE"""),"")</f>
        <v/>
      </c>
      <c r="V48" s="89">
        <f>IFERROR(__xludf.DUMMYFUNCTION("""COMPUTED_VALUE"""),9.0)</f>
        <v>9</v>
      </c>
      <c r="W48" s="89" t="str">
        <f>IFERROR(__xludf.DUMMYFUNCTION("""COMPUTED_VALUE"""),"")</f>
        <v/>
      </c>
      <c r="X48" s="89" t="str">
        <f>IFERROR(__xludf.DUMMYFUNCTION("""COMPUTED_VALUE"""),"")</f>
        <v/>
      </c>
      <c r="Y48" s="89" t="str">
        <f>IFERROR(__xludf.DUMMYFUNCTION("""COMPUTED_VALUE"""),"")</f>
        <v/>
      </c>
      <c r="Z48" s="89" t="str">
        <f>IFERROR(__xludf.DUMMYFUNCTION("""COMPUTED_VALUE"""),"")</f>
        <v/>
      </c>
      <c r="AA48" s="89" t="str">
        <f>IFERROR(__xludf.DUMMYFUNCTION("""COMPUTED_VALUE"""),"")</f>
        <v/>
      </c>
      <c r="AB48" s="89" t="str">
        <f>IFERROR(__xludf.DUMMYFUNCTION("""COMPUTED_VALUE"""),"")</f>
        <v/>
      </c>
      <c r="AC48" s="89" t="str">
        <f>IFERROR(__xludf.DUMMYFUNCTION("""COMPUTED_VALUE"""),"")</f>
        <v/>
      </c>
      <c r="AD48" s="89" t="str">
        <f>IFERROR(__xludf.DUMMYFUNCTION("""COMPUTED_VALUE"""),"")</f>
        <v/>
      </c>
      <c r="AE48" s="89" t="str">
        <f>IFERROR(__xludf.DUMMYFUNCTION("""COMPUTED_VALUE"""),"")</f>
        <v/>
      </c>
      <c r="AF48" s="89" t="str">
        <f>IFERROR(__xludf.DUMMYFUNCTION("""COMPUTED_VALUE"""),"")</f>
        <v/>
      </c>
      <c r="AG48" s="89">
        <f>IFERROR(__xludf.DUMMYFUNCTION("""COMPUTED_VALUE"""),5.0)</f>
        <v>5</v>
      </c>
      <c r="AH48" s="89">
        <f>IFERROR(__xludf.DUMMYFUNCTION("""COMPUTED_VALUE"""),12.0)</f>
        <v>12</v>
      </c>
      <c r="AI48" s="89" t="str">
        <f>IFERROR(__xludf.DUMMYFUNCTION("""COMPUTED_VALUE"""),"")</f>
        <v/>
      </c>
      <c r="AJ48" s="89" t="str">
        <f>IFERROR(__xludf.DUMMYFUNCTION("""COMPUTED_VALUE"""),"")</f>
        <v/>
      </c>
      <c r="AK48" s="89" t="str">
        <f>IFERROR(__xludf.DUMMYFUNCTION("""COMPUTED_VALUE"""),"")</f>
        <v/>
      </c>
    </row>
    <row r="49" ht="39.75" customHeight="1">
      <c r="A49" s="84" t="str">
        <f t="shared" si="1"/>
        <v/>
      </c>
      <c r="B49" s="82" t="s">
        <v>130</v>
      </c>
      <c r="C49" s="85" t="s">
        <v>131</v>
      </c>
      <c r="D49" s="85">
        <f t="shared" si="2"/>
        <v>77</v>
      </c>
      <c r="E49" s="82" t="s">
        <v>93</v>
      </c>
      <c r="F49" s="86">
        <f t="shared" si="3"/>
        <v>0.48</v>
      </c>
      <c r="G49" s="87">
        <f t="shared" si="4"/>
        <v>9250</v>
      </c>
      <c r="H49" s="83">
        <v>13690.0</v>
      </c>
      <c r="I49" s="82" t="str">
        <f t="shared" si="5"/>
        <v>火辣香草,27,豆製肉,24,萌綠玉米,14,暖暖薑,12</v>
      </c>
      <c r="J49" s="84" t="s">
        <v>10</v>
      </c>
      <c r="K49" s="82">
        <v>27.0</v>
      </c>
      <c r="L49" s="84" t="s">
        <v>4</v>
      </c>
      <c r="M49" s="82">
        <v>24.0</v>
      </c>
      <c r="N49" s="84" t="s">
        <v>11</v>
      </c>
      <c r="O49" s="82">
        <v>14.0</v>
      </c>
      <c r="P49" s="84" t="s">
        <v>5</v>
      </c>
      <c r="Q49" s="82">
        <v>12.0</v>
      </c>
      <c r="R49" s="88" t="str">
        <f>IFERROR(__xludf.DUMMYFUNCTION("BYCOL($R$2:$AK$2, LAMBDA(header, IFERROR(SUM(FILTER(K49:Q49, J49:P49=header)), """")))
"),"")</f>
        <v/>
      </c>
      <c r="S49" s="89" t="str">
        <f>IFERROR(__xludf.DUMMYFUNCTION("""COMPUTED_VALUE"""),"")</f>
        <v/>
      </c>
      <c r="T49" s="89" t="str">
        <f>IFERROR(__xludf.DUMMYFUNCTION("""COMPUTED_VALUE"""),"")</f>
        <v/>
      </c>
      <c r="U49" s="89" t="str">
        <f>IFERROR(__xludf.DUMMYFUNCTION("""COMPUTED_VALUE"""),"")</f>
        <v/>
      </c>
      <c r="V49" s="84">
        <f>IFERROR(__xludf.DUMMYFUNCTION("""COMPUTED_VALUE"""),24.0)</f>
        <v>24</v>
      </c>
      <c r="W49" s="84">
        <f>IFERROR(__xludf.DUMMYFUNCTION("""COMPUTED_VALUE"""),12.0)</f>
        <v>12</v>
      </c>
      <c r="X49" s="89" t="str">
        <f>IFERROR(__xludf.DUMMYFUNCTION("""COMPUTED_VALUE"""),"")</f>
        <v/>
      </c>
      <c r="Y49" s="89" t="str">
        <f>IFERROR(__xludf.DUMMYFUNCTION("""COMPUTED_VALUE"""),"")</f>
        <v/>
      </c>
      <c r="Z49" s="89" t="str">
        <f>IFERROR(__xludf.DUMMYFUNCTION("""COMPUTED_VALUE"""),"")</f>
        <v/>
      </c>
      <c r="AA49" s="89" t="str">
        <f>IFERROR(__xludf.DUMMYFUNCTION("""COMPUTED_VALUE"""),"")</f>
        <v/>
      </c>
      <c r="AB49" s="84">
        <f>IFERROR(__xludf.DUMMYFUNCTION("""COMPUTED_VALUE"""),27.0)</f>
        <v>27</v>
      </c>
      <c r="AC49" s="84">
        <f>IFERROR(__xludf.DUMMYFUNCTION("""COMPUTED_VALUE"""),14.0)</f>
        <v>14</v>
      </c>
      <c r="AD49" s="89" t="str">
        <f>IFERROR(__xludf.DUMMYFUNCTION("""COMPUTED_VALUE"""),"")</f>
        <v/>
      </c>
      <c r="AE49" s="89" t="str">
        <f>IFERROR(__xludf.DUMMYFUNCTION("""COMPUTED_VALUE"""),"")</f>
        <v/>
      </c>
      <c r="AF49" s="84" t="str">
        <f>IFERROR(__xludf.DUMMYFUNCTION("""COMPUTED_VALUE"""),"")</f>
        <v/>
      </c>
      <c r="AG49" s="89" t="str">
        <f>IFERROR(__xludf.DUMMYFUNCTION("""COMPUTED_VALUE"""),"")</f>
        <v/>
      </c>
      <c r="AH49" s="89" t="str">
        <f>IFERROR(__xludf.DUMMYFUNCTION("""COMPUTED_VALUE"""),"")</f>
        <v/>
      </c>
      <c r="AI49" s="84" t="str">
        <f>IFERROR(__xludf.DUMMYFUNCTION("""COMPUTED_VALUE"""),"")</f>
        <v/>
      </c>
      <c r="AJ49" s="89" t="str">
        <f>IFERROR(__xludf.DUMMYFUNCTION("""COMPUTED_VALUE"""),"")</f>
        <v/>
      </c>
      <c r="AK49" s="84" t="str">
        <f>IFERROR(__xludf.DUMMYFUNCTION("""COMPUTED_VALUE"""),"")</f>
        <v/>
      </c>
    </row>
    <row r="50" ht="39.75" customHeight="1">
      <c r="A50" s="84" t="str">
        <f t="shared" si="1"/>
        <v/>
      </c>
      <c r="B50" s="82" t="s">
        <v>132</v>
      </c>
      <c r="C50" s="82" t="s">
        <v>133</v>
      </c>
      <c r="D50" s="85">
        <f t="shared" si="2"/>
        <v>69</v>
      </c>
      <c r="E50" s="82" t="s">
        <v>93</v>
      </c>
      <c r="F50" s="86">
        <f t="shared" si="3"/>
        <v>0.48</v>
      </c>
      <c r="G50" s="87">
        <f t="shared" si="4"/>
        <v>10555</v>
      </c>
      <c r="H50" s="83">
        <v>15621.0</v>
      </c>
      <c r="I50" s="82" t="str">
        <f t="shared" si="5"/>
        <v>沉甸甸南瓜,10,豆製肉,16,窩心洋芋,18,品鮮蘑菇,25</v>
      </c>
      <c r="J50" s="84" t="s">
        <v>17</v>
      </c>
      <c r="K50" s="82">
        <v>10.0</v>
      </c>
      <c r="L50" s="84" t="s">
        <v>4</v>
      </c>
      <c r="M50" s="82">
        <v>16.0</v>
      </c>
      <c r="N50" s="84" t="s">
        <v>9</v>
      </c>
      <c r="O50" s="82">
        <v>18.0</v>
      </c>
      <c r="P50" s="84" t="s">
        <v>15</v>
      </c>
      <c r="Q50" s="82">
        <v>25.0</v>
      </c>
      <c r="R50" s="88"/>
      <c r="S50" s="89"/>
      <c r="T50" s="89"/>
      <c r="U50" s="89"/>
      <c r="V50" s="84">
        <v>16.0</v>
      </c>
      <c r="W50" s="84"/>
      <c r="X50" s="89"/>
      <c r="Y50" s="89"/>
      <c r="Z50" s="89"/>
      <c r="AA50" s="84">
        <v>18.0</v>
      </c>
      <c r="AB50" s="84"/>
      <c r="AC50" s="84"/>
      <c r="AD50" s="89"/>
      <c r="AE50" s="89"/>
      <c r="AF50" s="84"/>
      <c r="AG50" s="84">
        <v>25.0</v>
      </c>
      <c r="AH50" s="89"/>
      <c r="AI50" s="84">
        <v>10.0</v>
      </c>
      <c r="AJ50" s="89"/>
      <c r="AK50" s="84"/>
    </row>
    <row r="51" ht="39.75" customHeight="1">
      <c r="A51" s="84" t="str">
        <f t="shared" si="1"/>
        <v/>
      </c>
      <c r="B51" s="82" t="s">
        <v>134</v>
      </c>
      <c r="C51" s="85" t="s">
        <v>135</v>
      </c>
      <c r="D51" s="85">
        <f t="shared" si="2"/>
        <v>92</v>
      </c>
      <c r="E51" s="82" t="s">
        <v>93</v>
      </c>
      <c r="F51" s="86">
        <f t="shared" si="3"/>
        <v>0.61</v>
      </c>
      <c r="G51" s="87">
        <f t="shared" si="4"/>
        <v>11839</v>
      </c>
      <c r="H51" s="83">
        <v>19061.0</v>
      </c>
      <c r="I51" s="82" t="str">
        <f t="shared" si="5"/>
        <v>萌綠大豆,28,好眠番茄,25,品鮮蘑菇,23,醒腦咖啡豆,16</v>
      </c>
      <c r="J51" s="84" t="s">
        <v>2</v>
      </c>
      <c r="K51" s="82">
        <v>28.0</v>
      </c>
      <c r="L51" s="84" t="s">
        <v>6</v>
      </c>
      <c r="M51" s="82">
        <v>25.0</v>
      </c>
      <c r="N51" s="84" t="s">
        <v>15</v>
      </c>
      <c r="O51" s="82">
        <v>23.0</v>
      </c>
      <c r="P51" s="84" t="s">
        <v>13</v>
      </c>
      <c r="Q51" s="82">
        <v>16.0</v>
      </c>
      <c r="R51" s="88" t="str">
        <f>IFERROR(__xludf.DUMMYFUNCTION("BYCOL($R$2:$AK$2, LAMBDA(header, IFERROR(SUM(FILTER(K51:Q51, J51:P51=header)), """")))
"),"")</f>
        <v/>
      </c>
      <c r="S51" s="89" t="str">
        <f>IFERROR(__xludf.DUMMYFUNCTION("""COMPUTED_VALUE"""),"")</f>
        <v/>
      </c>
      <c r="T51" s="89">
        <f>IFERROR(__xludf.DUMMYFUNCTION("""COMPUTED_VALUE"""),28.0)</f>
        <v>28</v>
      </c>
      <c r="U51" s="89" t="str">
        <f>IFERROR(__xludf.DUMMYFUNCTION("""COMPUTED_VALUE"""),"")</f>
        <v/>
      </c>
      <c r="V51" s="84" t="str">
        <f>IFERROR(__xludf.DUMMYFUNCTION("""COMPUTED_VALUE"""),"")</f>
        <v/>
      </c>
      <c r="W51" s="84" t="str">
        <f>IFERROR(__xludf.DUMMYFUNCTION("""COMPUTED_VALUE"""),"")</f>
        <v/>
      </c>
      <c r="X51" s="89">
        <f>IFERROR(__xludf.DUMMYFUNCTION("""COMPUTED_VALUE"""),25.0)</f>
        <v>25</v>
      </c>
      <c r="Y51" s="89" t="str">
        <f>IFERROR(__xludf.DUMMYFUNCTION("""COMPUTED_VALUE"""),"")</f>
        <v/>
      </c>
      <c r="Z51" s="89" t="str">
        <f>IFERROR(__xludf.DUMMYFUNCTION("""COMPUTED_VALUE"""),"")</f>
        <v/>
      </c>
      <c r="AA51" s="89" t="str">
        <f>IFERROR(__xludf.DUMMYFUNCTION("""COMPUTED_VALUE"""),"")</f>
        <v/>
      </c>
      <c r="AB51" s="84" t="str">
        <f>IFERROR(__xludf.DUMMYFUNCTION("""COMPUTED_VALUE"""),"")</f>
        <v/>
      </c>
      <c r="AC51" s="84" t="str">
        <f>IFERROR(__xludf.DUMMYFUNCTION("""COMPUTED_VALUE"""),"")</f>
        <v/>
      </c>
      <c r="AD51" s="89" t="str">
        <f>IFERROR(__xludf.DUMMYFUNCTION("""COMPUTED_VALUE"""),"")</f>
        <v/>
      </c>
      <c r="AE51" s="89">
        <f>IFERROR(__xludf.DUMMYFUNCTION("""COMPUTED_VALUE"""),16.0)</f>
        <v>16</v>
      </c>
      <c r="AF51" s="84" t="str">
        <f>IFERROR(__xludf.DUMMYFUNCTION("""COMPUTED_VALUE"""),"")</f>
        <v/>
      </c>
      <c r="AG51" s="89">
        <f>IFERROR(__xludf.DUMMYFUNCTION("""COMPUTED_VALUE"""),23.0)</f>
        <v>23</v>
      </c>
      <c r="AH51" s="89" t="str">
        <f>IFERROR(__xludf.DUMMYFUNCTION("""COMPUTED_VALUE"""),"")</f>
        <v/>
      </c>
      <c r="AI51" s="84" t="str">
        <f>IFERROR(__xludf.DUMMYFUNCTION("""COMPUTED_VALUE"""),"")</f>
        <v/>
      </c>
      <c r="AJ51" s="89" t="str">
        <f>IFERROR(__xludf.DUMMYFUNCTION("""COMPUTED_VALUE"""),"")</f>
        <v/>
      </c>
      <c r="AK51" s="84" t="str">
        <f>IFERROR(__xludf.DUMMYFUNCTION("""COMPUTED_VALUE"""),"")</f>
        <v/>
      </c>
    </row>
    <row r="52" ht="39.75" customHeight="1">
      <c r="A52" s="84" t="str">
        <f t="shared" si="1"/>
        <v/>
      </c>
      <c r="B52" s="82" t="s">
        <v>136</v>
      </c>
      <c r="C52" s="82" t="s">
        <v>137</v>
      </c>
      <c r="D52" s="85">
        <f t="shared" si="2"/>
        <v>101</v>
      </c>
      <c r="E52" s="82" t="s">
        <v>93</v>
      </c>
      <c r="F52" s="86">
        <f t="shared" si="3"/>
        <v>0.61</v>
      </c>
      <c r="G52" s="87">
        <f t="shared" si="4"/>
        <v>12829</v>
      </c>
      <c r="H52" s="83">
        <v>20655.0</v>
      </c>
      <c r="I52" s="82" t="str">
        <f t="shared" si="5"/>
        <v>粗枝大蔥,27,豆製肉,26,甜甜蜜,26,特選蛋,22</v>
      </c>
      <c r="J52" s="84" t="s">
        <v>16</v>
      </c>
      <c r="K52" s="82">
        <v>27.0</v>
      </c>
      <c r="L52" s="84" t="s">
        <v>4</v>
      </c>
      <c r="M52" s="82">
        <v>26.0</v>
      </c>
      <c r="N52" s="84" t="s">
        <v>3</v>
      </c>
      <c r="O52" s="82">
        <v>26.0</v>
      </c>
      <c r="P52" s="84" t="s">
        <v>7</v>
      </c>
      <c r="Q52" s="82">
        <v>22.0</v>
      </c>
      <c r="R52" s="88" t="str">
        <f>IFERROR(__xludf.DUMMYFUNCTION("BYCOL($R$2:$AK$2, LAMBDA(header, IFERROR(SUM(FILTER(K52:Q52, J52:P52=header)), """")))
"),"")</f>
        <v/>
      </c>
      <c r="S52" s="89" t="str">
        <f>IFERROR(__xludf.DUMMYFUNCTION("""COMPUTED_VALUE"""),"")</f>
        <v/>
      </c>
      <c r="T52" s="89" t="str">
        <f>IFERROR(__xludf.DUMMYFUNCTION("""COMPUTED_VALUE"""),"")</f>
        <v/>
      </c>
      <c r="U52" s="89">
        <f>IFERROR(__xludf.DUMMYFUNCTION("""COMPUTED_VALUE"""),26.0)</f>
        <v>26</v>
      </c>
      <c r="V52" s="84">
        <f>IFERROR(__xludf.DUMMYFUNCTION("""COMPUTED_VALUE"""),26.0)</f>
        <v>26</v>
      </c>
      <c r="W52" s="84" t="str">
        <f>IFERROR(__xludf.DUMMYFUNCTION("""COMPUTED_VALUE"""),"")</f>
        <v/>
      </c>
      <c r="X52" s="89" t="str">
        <f>IFERROR(__xludf.DUMMYFUNCTION("""COMPUTED_VALUE"""),"")</f>
        <v/>
      </c>
      <c r="Y52" s="89">
        <f>IFERROR(__xludf.DUMMYFUNCTION("""COMPUTED_VALUE"""),22.0)</f>
        <v>22</v>
      </c>
      <c r="Z52" s="89" t="str">
        <f>IFERROR(__xludf.DUMMYFUNCTION("""COMPUTED_VALUE"""),"")</f>
        <v/>
      </c>
      <c r="AA52" s="89" t="str">
        <f>IFERROR(__xludf.DUMMYFUNCTION("""COMPUTED_VALUE"""),"")</f>
        <v/>
      </c>
      <c r="AB52" s="84" t="str">
        <f>IFERROR(__xludf.DUMMYFUNCTION("""COMPUTED_VALUE"""),"")</f>
        <v/>
      </c>
      <c r="AC52" s="84" t="str">
        <f>IFERROR(__xludf.DUMMYFUNCTION("""COMPUTED_VALUE"""),"")</f>
        <v/>
      </c>
      <c r="AD52" s="89" t="str">
        <f>IFERROR(__xludf.DUMMYFUNCTION("""COMPUTED_VALUE"""),"")</f>
        <v/>
      </c>
      <c r="AE52" s="89" t="str">
        <f>IFERROR(__xludf.DUMMYFUNCTION("""COMPUTED_VALUE"""),"")</f>
        <v/>
      </c>
      <c r="AF52" s="84" t="str">
        <f>IFERROR(__xludf.DUMMYFUNCTION("""COMPUTED_VALUE"""),"")</f>
        <v/>
      </c>
      <c r="AG52" s="89" t="str">
        <f>IFERROR(__xludf.DUMMYFUNCTION("""COMPUTED_VALUE"""),"")</f>
        <v/>
      </c>
      <c r="AH52" s="89">
        <f>IFERROR(__xludf.DUMMYFUNCTION("""COMPUTED_VALUE"""),27.0)</f>
        <v>27</v>
      </c>
      <c r="AI52" s="84" t="str">
        <f>IFERROR(__xludf.DUMMYFUNCTION("""COMPUTED_VALUE"""),"")</f>
        <v/>
      </c>
      <c r="AJ52" s="89" t="str">
        <f>IFERROR(__xludf.DUMMYFUNCTION("""COMPUTED_VALUE"""),"")</f>
        <v/>
      </c>
      <c r="AK52" s="84" t="str">
        <f>IFERROR(__xludf.DUMMYFUNCTION("""COMPUTED_VALUE"""),"")</f>
        <v/>
      </c>
    </row>
    <row r="53" ht="39.75" customHeight="1">
      <c r="A53" s="84" t="str">
        <f t="shared" si="1"/>
        <v/>
      </c>
      <c r="B53" s="82" t="s">
        <v>138</v>
      </c>
      <c r="C53" s="82" t="s">
        <v>139</v>
      </c>
      <c r="D53" s="85">
        <f t="shared" si="2"/>
        <v>115</v>
      </c>
      <c r="E53" s="82" t="s">
        <v>93</v>
      </c>
      <c r="F53" s="86">
        <f t="shared" si="3"/>
        <v>0.78</v>
      </c>
      <c r="G53" s="87">
        <f t="shared" si="4"/>
        <v>13934</v>
      </c>
      <c r="H53" s="83">
        <v>24802.0</v>
      </c>
      <c r="I53" s="82" t="str">
        <f t="shared" si="5"/>
        <v>嫩亮酪梨,22,窩心洋芋,20,哞哞鮮奶,41,純粹油,32</v>
      </c>
      <c r="J53" s="84" t="s">
        <v>14</v>
      </c>
      <c r="K53" s="82">
        <v>22.0</v>
      </c>
      <c r="L53" s="84" t="s">
        <v>9</v>
      </c>
      <c r="M53" s="82">
        <v>20.0</v>
      </c>
      <c r="N53" s="84" t="s">
        <v>1</v>
      </c>
      <c r="O53" s="82">
        <v>41.0</v>
      </c>
      <c r="P53" s="84" t="s">
        <v>8</v>
      </c>
      <c r="Q53" s="82">
        <v>32.0</v>
      </c>
      <c r="R53" s="88"/>
      <c r="S53" s="84">
        <v>41.0</v>
      </c>
      <c r="T53" s="89"/>
      <c r="U53" s="89"/>
      <c r="V53" s="84"/>
      <c r="W53" s="84"/>
      <c r="X53" s="89"/>
      <c r="Y53" s="89"/>
      <c r="Z53" s="84">
        <v>32.0</v>
      </c>
      <c r="AA53" s="84">
        <v>20.0</v>
      </c>
      <c r="AB53" s="84"/>
      <c r="AC53" s="84"/>
      <c r="AD53" s="89"/>
      <c r="AE53" s="89"/>
      <c r="AF53" s="84">
        <v>22.0</v>
      </c>
      <c r="AG53" s="89"/>
      <c r="AH53" s="89"/>
      <c r="AI53" s="84"/>
      <c r="AJ53" s="89"/>
      <c r="AK53" s="84"/>
    </row>
    <row r="54" ht="39.75" customHeight="1">
      <c r="A54" s="84" t="str">
        <f t="shared" si="1"/>
        <v/>
      </c>
      <c r="B54" s="82" t="s">
        <v>140</v>
      </c>
      <c r="C54" s="85" t="s">
        <v>141</v>
      </c>
      <c r="D54" s="85">
        <f t="shared" si="2"/>
        <v>0</v>
      </c>
      <c r="E54" s="82" t="s">
        <v>142</v>
      </c>
      <c r="F54" s="86">
        <f t="shared" si="3"/>
        <v>0</v>
      </c>
      <c r="G54" s="87">
        <f t="shared" si="4"/>
        <v>0</v>
      </c>
      <c r="H54" s="83">
        <v>0.0</v>
      </c>
      <c r="I54" s="82" t="str">
        <f t="shared" si="5"/>
        <v/>
      </c>
      <c r="J54" s="84"/>
      <c r="K54" s="85"/>
      <c r="L54" s="84"/>
      <c r="M54" s="85"/>
      <c r="N54" s="84"/>
      <c r="O54" s="85"/>
      <c r="P54" s="84"/>
      <c r="Q54" s="85"/>
      <c r="R54" s="88" t="str">
        <f>IFERROR(__xludf.DUMMYFUNCTION("BYCOL($R$2:$AK$2, LAMBDA(header, IFERROR(SUM(FILTER(K54:Q54, J54:P54=header)), """")))
"),"")</f>
        <v/>
      </c>
      <c r="S54" s="89" t="str">
        <f>IFERROR(__xludf.DUMMYFUNCTION("""COMPUTED_VALUE"""),"")</f>
        <v/>
      </c>
      <c r="T54" s="89" t="str">
        <f>IFERROR(__xludf.DUMMYFUNCTION("""COMPUTED_VALUE"""),"")</f>
        <v/>
      </c>
      <c r="U54" s="89" t="str">
        <f>IFERROR(__xludf.DUMMYFUNCTION("""COMPUTED_VALUE"""),"")</f>
        <v/>
      </c>
      <c r="V54" s="84" t="str">
        <f>IFERROR(__xludf.DUMMYFUNCTION("""COMPUTED_VALUE"""),"")</f>
        <v/>
      </c>
      <c r="W54" s="84" t="str">
        <f>IFERROR(__xludf.DUMMYFUNCTION("""COMPUTED_VALUE"""),"")</f>
        <v/>
      </c>
      <c r="X54" s="89" t="str">
        <f>IFERROR(__xludf.DUMMYFUNCTION("""COMPUTED_VALUE"""),"")</f>
        <v/>
      </c>
      <c r="Y54" s="89" t="str">
        <f>IFERROR(__xludf.DUMMYFUNCTION("""COMPUTED_VALUE"""),"")</f>
        <v/>
      </c>
      <c r="Z54" s="89" t="str">
        <f>IFERROR(__xludf.DUMMYFUNCTION("""COMPUTED_VALUE"""),"")</f>
        <v/>
      </c>
      <c r="AA54" s="89" t="str">
        <f>IFERROR(__xludf.DUMMYFUNCTION("""COMPUTED_VALUE"""),"")</f>
        <v/>
      </c>
      <c r="AB54" s="84" t="str">
        <f>IFERROR(__xludf.DUMMYFUNCTION("""COMPUTED_VALUE"""),"")</f>
        <v/>
      </c>
      <c r="AC54" s="84" t="str">
        <f>IFERROR(__xludf.DUMMYFUNCTION("""COMPUTED_VALUE"""),"")</f>
        <v/>
      </c>
      <c r="AD54" s="89" t="str">
        <f>IFERROR(__xludf.DUMMYFUNCTION("""COMPUTED_VALUE"""),"")</f>
        <v/>
      </c>
      <c r="AE54" s="89" t="str">
        <f>IFERROR(__xludf.DUMMYFUNCTION("""COMPUTED_VALUE"""),"")</f>
        <v/>
      </c>
      <c r="AF54" s="84" t="str">
        <f>IFERROR(__xludf.DUMMYFUNCTION("""COMPUTED_VALUE"""),"")</f>
        <v/>
      </c>
      <c r="AG54" s="89" t="str">
        <f>IFERROR(__xludf.DUMMYFUNCTION("""COMPUTED_VALUE"""),"")</f>
        <v/>
      </c>
      <c r="AH54" s="89" t="str">
        <f>IFERROR(__xludf.DUMMYFUNCTION("""COMPUTED_VALUE"""),"")</f>
        <v/>
      </c>
      <c r="AI54" s="84" t="str">
        <f>IFERROR(__xludf.DUMMYFUNCTION("""COMPUTED_VALUE"""),"")</f>
        <v/>
      </c>
      <c r="AJ54" s="89" t="str">
        <f>IFERROR(__xludf.DUMMYFUNCTION("""COMPUTED_VALUE"""),"")</f>
        <v/>
      </c>
      <c r="AK54" s="84">
        <f>IFERROR(__xludf.DUMMYFUNCTION("""COMPUTED_VALUE"""),0.0)</f>
        <v>0</v>
      </c>
    </row>
    <row r="55" ht="39.75" customHeight="1">
      <c r="A55" s="84" t="str">
        <f t="shared" si="1"/>
        <v/>
      </c>
      <c r="B55" s="82" t="s">
        <v>143</v>
      </c>
      <c r="C55" s="85" t="s">
        <v>144</v>
      </c>
      <c r="D55" s="85">
        <f t="shared" si="2"/>
        <v>7</v>
      </c>
      <c r="E55" s="82" t="s">
        <v>142</v>
      </c>
      <c r="F55" s="86">
        <f t="shared" si="3"/>
        <v>0.19</v>
      </c>
      <c r="G55" s="87">
        <f t="shared" si="4"/>
        <v>686</v>
      </c>
      <c r="H55" s="83">
        <v>814.0</v>
      </c>
      <c r="I55" s="82" t="str">
        <f t="shared" si="5"/>
        <v>哞哞鮮奶,7</v>
      </c>
      <c r="J55" s="84" t="s">
        <v>1</v>
      </c>
      <c r="K55" s="82">
        <v>7.0</v>
      </c>
      <c r="L55" s="84"/>
      <c r="M55" s="85"/>
      <c r="N55" s="84"/>
      <c r="O55" s="85"/>
      <c r="P55" s="84"/>
      <c r="Q55" s="85"/>
      <c r="R55" s="88" t="str">
        <f>IFERROR(__xludf.DUMMYFUNCTION("BYCOL($R$2:$AK$2, LAMBDA(header, IFERROR(SUM(FILTER(K55:Q55, J55:P55=header)), """")))
"),"")</f>
        <v/>
      </c>
      <c r="S55" s="89">
        <f>IFERROR(__xludf.DUMMYFUNCTION("""COMPUTED_VALUE"""),7.0)</f>
        <v>7</v>
      </c>
      <c r="T55" s="89" t="str">
        <f>IFERROR(__xludf.DUMMYFUNCTION("""COMPUTED_VALUE"""),"")</f>
        <v/>
      </c>
      <c r="U55" s="89" t="str">
        <f>IFERROR(__xludf.DUMMYFUNCTION("""COMPUTED_VALUE"""),"")</f>
        <v/>
      </c>
      <c r="V55" s="84" t="str">
        <f>IFERROR(__xludf.DUMMYFUNCTION("""COMPUTED_VALUE"""),"")</f>
        <v/>
      </c>
      <c r="W55" s="84" t="str">
        <f>IFERROR(__xludf.DUMMYFUNCTION("""COMPUTED_VALUE"""),"")</f>
        <v/>
      </c>
      <c r="X55" s="89" t="str">
        <f>IFERROR(__xludf.DUMMYFUNCTION("""COMPUTED_VALUE"""),"")</f>
        <v/>
      </c>
      <c r="Y55" s="89" t="str">
        <f>IFERROR(__xludf.DUMMYFUNCTION("""COMPUTED_VALUE"""),"")</f>
        <v/>
      </c>
      <c r="Z55" s="89" t="str">
        <f>IFERROR(__xludf.DUMMYFUNCTION("""COMPUTED_VALUE"""),"")</f>
        <v/>
      </c>
      <c r="AA55" s="89" t="str">
        <f>IFERROR(__xludf.DUMMYFUNCTION("""COMPUTED_VALUE"""),"")</f>
        <v/>
      </c>
      <c r="AB55" s="84" t="str">
        <f>IFERROR(__xludf.DUMMYFUNCTION("""COMPUTED_VALUE"""),"")</f>
        <v/>
      </c>
      <c r="AC55" s="84" t="str">
        <f>IFERROR(__xludf.DUMMYFUNCTION("""COMPUTED_VALUE"""),"")</f>
        <v/>
      </c>
      <c r="AD55" s="89" t="str">
        <f>IFERROR(__xludf.DUMMYFUNCTION("""COMPUTED_VALUE"""),"")</f>
        <v/>
      </c>
      <c r="AE55" s="89" t="str">
        <f>IFERROR(__xludf.DUMMYFUNCTION("""COMPUTED_VALUE"""),"")</f>
        <v/>
      </c>
      <c r="AF55" s="84" t="str">
        <f>IFERROR(__xludf.DUMMYFUNCTION("""COMPUTED_VALUE"""),"")</f>
        <v/>
      </c>
      <c r="AG55" s="89" t="str">
        <f>IFERROR(__xludf.DUMMYFUNCTION("""COMPUTED_VALUE"""),"")</f>
        <v/>
      </c>
      <c r="AH55" s="89" t="str">
        <f>IFERROR(__xludf.DUMMYFUNCTION("""COMPUTED_VALUE"""),"")</f>
        <v/>
      </c>
      <c r="AI55" s="84" t="str">
        <f>IFERROR(__xludf.DUMMYFUNCTION("""COMPUTED_VALUE"""),"")</f>
        <v/>
      </c>
      <c r="AJ55" s="89" t="str">
        <f>IFERROR(__xludf.DUMMYFUNCTION("""COMPUTED_VALUE"""),"")</f>
        <v/>
      </c>
      <c r="AK55" s="84">
        <f>IFERROR(__xludf.DUMMYFUNCTION("""COMPUTED_VALUE"""),0.0)</f>
        <v>0</v>
      </c>
    </row>
    <row r="56" ht="39.75" customHeight="1">
      <c r="A56" s="84" t="str">
        <f t="shared" si="1"/>
        <v/>
      </c>
      <c r="B56" s="82" t="s">
        <v>145</v>
      </c>
      <c r="C56" s="85" t="s">
        <v>146</v>
      </c>
      <c r="D56" s="85">
        <f t="shared" si="2"/>
        <v>8</v>
      </c>
      <c r="E56" s="82" t="s">
        <v>142</v>
      </c>
      <c r="F56" s="86">
        <f t="shared" si="3"/>
        <v>0.19</v>
      </c>
      <c r="G56" s="87">
        <f t="shared" si="4"/>
        <v>720</v>
      </c>
      <c r="H56" s="83">
        <v>855.0</v>
      </c>
      <c r="I56" s="82" t="str">
        <f t="shared" si="5"/>
        <v>特選蘋果,8</v>
      </c>
      <c r="J56" s="84" t="s">
        <v>0</v>
      </c>
      <c r="K56" s="82">
        <v>8.0</v>
      </c>
      <c r="L56" s="84"/>
      <c r="M56" s="85"/>
      <c r="N56" s="84"/>
      <c r="O56" s="85"/>
      <c r="P56" s="84"/>
      <c r="Q56" s="85"/>
      <c r="R56" s="88">
        <f>IFERROR(__xludf.DUMMYFUNCTION("BYCOL($R$2:$AK$2, LAMBDA(header, IFERROR(SUM(FILTER(K56:Q56, J56:P56=header)), """")))
"),8.0)</f>
        <v>8</v>
      </c>
      <c r="S56" s="89" t="str">
        <f>IFERROR(__xludf.DUMMYFUNCTION("""COMPUTED_VALUE"""),"")</f>
        <v/>
      </c>
      <c r="T56" s="89" t="str">
        <f>IFERROR(__xludf.DUMMYFUNCTION("""COMPUTED_VALUE"""),"")</f>
        <v/>
      </c>
      <c r="U56" s="89" t="str">
        <f>IFERROR(__xludf.DUMMYFUNCTION("""COMPUTED_VALUE"""),"")</f>
        <v/>
      </c>
      <c r="V56" s="84" t="str">
        <f>IFERROR(__xludf.DUMMYFUNCTION("""COMPUTED_VALUE"""),"")</f>
        <v/>
      </c>
      <c r="W56" s="84" t="str">
        <f>IFERROR(__xludf.DUMMYFUNCTION("""COMPUTED_VALUE"""),"")</f>
        <v/>
      </c>
      <c r="X56" s="89" t="str">
        <f>IFERROR(__xludf.DUMMYFUNCTION("""COMPUTED_VALUE"""),"")</f>
        <v/>
      </c>
      <c r="Y56" s="89" t="str">
        <f>IFERROR(__xludf.DUMMYFUNCTION("""COMPUTED_VALUE"""),"")</f>
        <v/>
      </c>
      <c r="Z56" s="89" t="str">
        <f>IFERROR(__xludf.DUMMYFUNCTION("""COMPUTED_VALUE"""),"")</f>
        <v/>
      </c>
      <c r="AA56" s="89" t="str">
        <f>IFERROR(__xludf.DUMMYFUNCTION("""COMPUTED_VALUE"""),"")</f>
        <v/>
      </c>
      <c r="AB56" s="84" t="str">
        <f>IFERROR(__xludf.DUMMYFUNCTION("""COMPUTED_VALUE"""),"")</f>
        <v/>
      </c>
      <c r="AC56" s="84" t="str">
        <f>IFERROR(__xludf.DUMMYFUNCTION("""COMPUTED_VALUE"""),"")</f>
        <v/>
      </c>
      <c r="AD56" s="89" t="str">
        <f>IFERROR(__xludf.DUMMYFUNCTION("""COMPUTED_VALUE"""),"")</f>
        <v/>
      </c>
      <c r="AE56" s="89" t="str">
        <f>IFERROR(__xludf.DUMMYFUNCTION("""COMPUTED_VALUE"""),"")</f>
        <v/>
      </c>
      <c r="AF56" s="84" t="str">
        <f>IFERROR(__xludf.DUMMYFUNCTION("""COMPUTED_VALUE"""),"")</f>
        <v/>
      </c>
      <c r="AG56" s="89" t="str">
        <f>IFERROR(__xludf.DUMMYFUNCTION("""COMPUTED_VALUE"""),"")</f>
        <v/>
      </c>
      <c r="AH56" s="89" t="str">
        <f>IFERROR(__xludf.DUMMYFUNCTION("""COMPUTED_VALUE"""),"")</f>
        <v/>
      </c>
      <c r="AI56" s="84" t="str">
        <f>IFERROR(__xludf.DUMMYFUNCTION("""COMPUTED_VALUE"""),"")</f>
        <v/>
      </c>
      <c r="AJ56" s="89" t="str">
        <f>IFERROR(__xludf.DUMMYFUNCTION("""COMPUTED_VALUE"""),"")</f>
        <v/>
      </c>
      <c r="AK56" s="84">
        <f>IFERROR(__xludf.DUMMYFUNCTION("""COMPUTED_VALUE"""),0.0)</f>
        <v>0</v>
      </c>
    </row>
    <row r="57" ht="39.75" customHeight="1">
      <c r="A57" s="84" t="str">
        <f t="shared" si="1"/>
        <v/>
      </c>
      <c r="B57" s="82" t="s">
        <v>147</v>
      </c>
      <c r="C57" s="85" t="s">
        <v>148</v>
      </c>
      <c r="D57" s="85">
        <f t="shared" si="2"/>
        <v>9</v>
      </c>
      <c r="E57" s="82" t="s">
        <v>142</v>
      </c>
      <c r="F57" s="86">
        <f t="shared" si="3"/>
        <v>0.19</v>
      </c>
      <c r="G57" s="87">
        <f t="shared" si="4"/>
        <v>909</v>
      </c>
      <c r="H57" s="83">
        <v>1079.0</v>
      </c>
      <c r="I57" s="82" t="str">
        <f t="shared" si="5"/>
        <v>甜甜蜜,9</v>
      </c>
      <c r="J57" s="84" t="s">
        <v>3</v>
      </c>
      <c r="K57" s="82">
        <v>9.0</v>
      </c>
      <c r="L57" s="84"/>
      <c r="M57" s="85"/>
      <c r="N57" s="84"/>
      <c r="O57" s="85"/>
      <c r="P57" s="84"/>
      <c r="Q57" s="85"/>
      <c r="R57" s="88" t="str">
        <f>IFERROR(__xludf.DUMMYFUNCTION("BYCOL($R$2:$AK$2, LAMBDA(header, IFERROR(SUM(FILTER(K57:Q57, J57:P57=header)), """")))
"),"")</f>
        <v/>
      </c>
      <c r="S57" s="89" t="str">
        <f>IFERROR(__xludf.DUMMYFUNCTION("""COMPUTED_VALUE"""),"")</f>
        <v/>
      </c>
      <c r="T57" s="89" t="str">
        <f>IFERROR(__xludf.DUMMYFUNCTION("""COMPUTED_VALUE"""),"")</f>
        <v/>
      </c>
      <c r="U57" s="89">
        <f>IFERROR(__xludf.DUMMYFUNCTION("""COMPUTED_VALUE"""),9.0)</f>
        <v>9</v>
      </c>
      <c r="V57" s="84" t="str">
        <f>IFERROR(__xludf.DUMMYFUNCTION("""COMPUTED_VALUE"""),"")</f>
        <v/>
      </c>
      <c r="W57" s="84" t="str">
        <f>IFERROR(__xludf.DUMMYFUNCTION("""COMPUTED_VALUE"""),"")</f>
        <v/>
      </c>
      <c r="X57" s="89" t="str">
        <f>IFERROR(__xludf.DUMMYFUNCTION("""COMPUTED_VALUE"""),"")</f>
        <v/>
      </c>
      <c r="Y57" s="89" t="str">
        <f>IFERROR(__xludf.DUMMYFUNCTION("""COMPUTED_VALUE"""),"")</f>
        <v/>
      </c>
      <c r="Z57" s="89" t="str">
        <f>IFERROR(__xludf.DUMMYFUNCTION("""COMPUTED_VALUE"""),"")</f>
        <v/>
      </c>
      <c r="AA57" s="89" t="str">
        <f>IFERROR(__xludf.DUMMYFUNCTION("""COMPUTED_VALUE"""),"")</f>
        <v/>
      </c>
      <c r="AB57" s="84" t="str">
        <f>IFERROR(__xludf.DUMMYFUNCTION("""COMPUTED_VALUE"""),"")</f>
        <v/>
      </c>
      <c r="AC57" s="84" t="str">
        <f>IFERROR(__xludf.DUMMYFUNCTION("""COMPUTED_VALUE"""),"")</f>
        <v/>
      </c>
      <c r="AD57" s="89" t="str">
        <f>IFERROR(__xludf.DUMMYFUNCTION("""COMPUTED_VALUE"""),"")</f>
        <v/>
      </c>
      <c r="AE57" s="89" t="str">
        <f>IFERROR(__xludf.DUMMYFUNCTION("""COMPUTED_VALUE"""),"")</f>
        <v/>
      </c>
      <c r="AF57" s="84" t="str">
        <f>IFERROR(__xludf.DUMMYFUNCTION("""COMPUTED_VALUE"""),"")</f>
        <v/>
      </c>
      <c r="AG57" s="89" t="str">
        <f>IFERROR(__xludf.DUMMYFUNCTION("""COMPUTED_VALUE"""),"")</f>
        <v/>
      </c>
      <c r="AH57" s="89" t="str">
        <f>IFERROR(__xludf.DUMMYFUNCTION("""COMPUTED_VALUE"""),"")</f>
        <v/>
      </c>
      <c r="AI57" s="84" t="str">
        <f>IFERROR(__xludf.DUMMYFUNCTION("""COMPUTED_VALUE"""),"")</f>
        <v/>
      </c>
      <c r="AJ57" s="89" t="str">
        <f>IFERROR(__xludf.DUMMYFUNCTION("""COMPUTED_VALUE"""),"")</f>
        <v/>
      </c>
      <c r="AK57" s="84">
        <f>IFERROR(__xludf.DUMMYFUNCTION("""COMPUTED_VALUE"""),0.0)</f>
        <v>0</v>
      </c>
    </row>
    <row r="58" ht="39.75" customHeight="1">
      <c r="A58" s="84" t="str">
        <f t="shared" si="1"/>
        <v/>
      </c>
      <c r="B58" s="82" t="s">
        <v>149</v>
      </c>
      <c r="C58" s="85" t="s">
        <v>150</v>
      </c>
      <c r="D58" s="85">
        <f t="shared" si="2"/>
        <v>16</v>
      </c>
      <c r="E58" s="82" t="s">
        <v>142</v>
      </c>
      <c r="F58" s="86">
        <f t="shared" si="3"/>
        <v>0.19</v>
      </c>
      <c r="G58" s="87">
        <f t="shared" si="4"/>
        <v>1472</v>
      </c>
      <c r="H58" s="83">
        <v>1748.0</v>
      </c>
      <c r="I58" s="82" t="str">
        <f t="shared" si="5"/>
        <v>特選蘋果,12,哞哞鮮奶,4</v>
      </c>
      <c r="J58" s="84" t="s">
        <v>0</v>
      </c>
      <c r="K58" s="82">
        <v>12.0</v>
      </c>
      <c r="L58" s="84" t="s">
        <v>1</v>
      </c>
      <c r="M58" s="82">
        <v>4.0</v>
      </c>
      <c r="N58" s="84"/>
      <c r="O58" s="85"/>
      <c r="P58" s="84"/>
      <c r="Q58" s="85"/>
      <c r="R58" s="88">
        <f>IFERROR(__xludf.DUMMYFUNCTION("BYCOL($R$2:$AK$2, LAMBDA(header, IFERROR(SUM(FILTER(K58:Q58, J58:P58=header)), """")))
"),12.0)</f>
        <v>12</v>
      </c>
      <c r="S58" s="89">
        <f>IFERROR(__xludf.DUMMYFUNCTION("""COMPUTED_VALUE"""),4.0)</f>
        <v>4</v>
      </c>
      <c r="T58" s="89" t="str">
        <f>IFERROR(__xludf.DUMMYFUNCTION("""COMPUTED_VALUE"""),"")</f>
        <v/>
      </c>
      <c r="U58" s="89" t="str">
        <f>IFERROR(__xludf.DUMMYFUNCTION("""COMPUTED_VALUE"""),"")</f>
        <v/>
      </c>
      <c r="V58" s="84" t="str">
        <f>IFERROR(__xludf.DUMMYFUNCTION("""COMPUTED_VALUE"""),"")</f>
        <v/>
      </c>
      <c r="W58" s="84" t="str">
        <f>IFERROR(__xludf.DUMMYFUNCTION("""COMPUTED_VALUE"""),"")</f>
        <v/>
      </c>
      <c r="X58" s="89" t="str">
        <f>IFERROR(__xludf.DUMMYFUNCTION("""COMPUTED_VALUE"""),"")</f>
        <v/>
      </c>
      <c r="Y58" s="89" t="str">
        <f>IFERROR(__xludf.DUMMYFUNCTION("""COMPUTED_VALUE"""),"")</f>
        <v/>
      </c>
      <c r="Z58" s="89" t="str">
        <f>IFERROR(__xludf.DUMMYFUNCTION("""COMPUTED_VALUE"""),"")</f>
        <v/>
      </c>
      <c r="AA58" s="89" t="str">
        <f>IFERROR(__xludf.DUMMYFUNCTION("""COMPUTED_VALUE"""),"")</f>
        <v/>
      </c>
      <c r="AB58" s="84" t="str">
        <f>IFERROR(__xludf.DUMMYFUNCTION("""COMPUTED_VALUE"""),"")</f>
        <v/>
      </c>
      <c r="AC58" s="84" t="str">
        <f>IFERROR(__xludf.DUMMYFUNCTION("""COMPUTED_VALUE"""),"")</f>
        <v/>
      </c>
      <c r="AD58" s="89" t="str">
        <f>IFERROR(__xludf.DUMMYFUNCTION("""COMPUTED_VALUE"""),"")</f>
        <v/>
      </c>
      <c r="AE58" s="89" t="str">
        <f>IFERROR(__xludf.DUMMYFUNCTION("""COMPUTED_VALUE"""),"")</f>
        <v/>
      </c>
      <c r="AF58" s="84" t="str">
        <f>IFERROR(__xludf.DUMMYFUNCTION("""COMPUTED_VALUE"""),"")</f>
        <v/>
      </c>
      <c r="AG58" s="89" t="str">
        <f>IFERROR(__xludf.DUMMYFUNCTION("""COMPUTED_VALUE"""),"")</f>
        <v/>
      </c>
      <c r="AH58" s="89" t="str">
        <f>IFERROR(__xludf.DUMMYFUNCTION("""COMPUTED_VALUE"""),"")</f>
        <v/>
      </c>
      <c r="AI58" s="84" t="str">
        <f>IFERROR(__xludf.DUMMYFUNCTION("""COMPUTED_VALUE"""),"")</f>
        <v/>
      </c>
      <c r="AJ58" s="89" t="str">
        <f>IFERROR(__xludf.DUMMYFUNCTION("""COMPUTED_VALUE"""),"")</f>
        <v/>
      </c>
      <c r="AK58" s="84">
        <f>IFERROR(__xludf.DUMMYFUNCTION("""COMPUTED_VALUE"""),0.0)</f>
        <v>0</v>
      </c>
    </row>
    <row r="59" ht="39.75" customHeight="1">
      <c r="A59" s="84" t="str">
        <f t="shared" si="1"/>
        <v/>
      </c>
      <c r="B59" s="82" t="s">
        <v>151</v>
      </c>
      <c r="C59" s="85" t="s">
        <v>152</v>
      </c>
      <c r="D59" s="85">
        <f t="shared" si="2"/>
        <v>14</v>
      </c>
      <c r="E59" s="82" t="s">
        <v>142</v>
      </c>
      <c r="F59" s="86">
        <f t="shared" si="3"/>
        <v>0.19</v>
      </c>
      <c r="G59" s="87">
        <f t="shared" si="4"/>
        <v>1606</v>
      </c>
      <c r="H59" s="83">
        <v>1907.0</v>
      </c>
      <c r="I59" s="82" t="str">
        <f t="shared" si="5"/>
        <v>窩心洋芋,9,哞哞鮮奶,5</v>
      </c>
      <c r="J59" s="84" t="s">
        <v>9</v>
      </c>
      <c r="K59" s="82">
        <v>9.0</v>
      </c>
      <c r="L59" s="84" t="s">
        <v>1</v>
      </c>
      <c r="M59" s="82">
        <v>5.0</v>
      </c>
      <c r="N59" s="84"/>
      <c r="O59" s="85"/>
      <c r="P59" s="84"/>
      <c r="Q59" s="85"/>
      <c r="R59" s="88" t="str">
        <f>IFERROR(__xludf.DUMMYFUNCTION("BYCOL($R$2:$AK$2, LAMBDA(header, IFERROR(SUM(FILTER(K59:Q59, J59:P59=header)), """")))
"),"")</f>
        <v/>
      </c>
      <c r="S59" s="89">
        <f>IFERROR(__xludf.DUMMYFUNCTION("""COMPUTED_VALUE"""),5.0)</f>
        <v>5</v>
      </c>
      <c r="T59" s="89" t="str">
        <f>IFERROR(__xludf.DUMMYFUNCTION("""COMPUTED_VALUE"""),"")</f>
        <v/>
      </c>
      <c r="U59" s="89" t="str">
        <f>IFERROR(__xludf.DUMMYFUNCTION("""COMPUTED_VALUE"""),"")</f>
        <v/>
      </c>
      <c r="V59" s="84" t="str">
        <f>IFERROR(__xludf.DUMMYFUNCTION("""COMPUTED_VALUE"""),"")</f>
        <v/>
      </c>
      <c r="W59" s="84" t="str">
        <f>IFERROR(__xludf.DUMMYFUNCTION("""COMPUTED_VALUE"""),"")</f>
        <v/>
      </c>
      <c r="X59" s="89" t="str">
        <f>IFERROR(__xludf.DUMMYFUNCTION("""COMPUTED_VALUE"""),"")</f>
        <v/>
      </c>
      <c r="Y59" s="89" t="str">
        <f>IFERROR(__xludf.DUMMYFUNCTION("""COMPUTED_VALUE"""),"")</f>
        <v/>
      </c>
      <c r="Z59" s="89" t="str">
        <f>IFERROR(__xludf.DUMMYFUNCTION("""COMPUTED_VALUE"""),"")</f>
        <v/>
      </c>
      <c r="AA59" s="89">
        <f>IFERROR(__xludf.DUMMYFUNCTION("""COMPUTED_VALUE"""),9.0)</f>
        <v>9</v>
      </c>
      <c r="AB59" s="84" t="str">
        <f>IFERROR(__xludf.DUMMYFUNCTION("""COMPUTED_VALUE"""),"")</f>
        <v/>
      </c>
      <c r="AC59" s="84" t="str">
        <f>IFERROR(__xludf.DUMMYFUNCTION("""COMPUTED_VALUE"""),"")</f>
        <v/>
      </c>
      <c r="AD59" s="89" t="str">
        <f>IFERROR(__xludf.DUMMYFUNCTION("""COMPUTED_VALUE"""),"")</f>
        <v/>
      </c>
      <c r="AE59" s="89" t="str">
        <f>IFERROR(__xludf.DUMMYFUNCTION("""COMPUTED_VALUE"""),"")</f>
        <v/>
      </c>
      <c r="AF59" s="84" t="str">
        <f>IFERROR(__xludf.DUMMYFUNCTION("""COMPUTED_VALUE"""),"")</f>
        <v/>
      </c>
      <c r="AG59" s="89" t="str">
        <f>IFERROR(__xludf.DUMMYFUNCTION("""COMPUTED_VALUE"""),"")</f>
        <v/>
      </c>
      <c r="AH59" s="89" t="str">
        <f>IFERROR(__xludf.DUMMYFUNCTION("""COMPUTED_VALUE"""),"")</f>
        <v/>
      </c>
      <c r="AI59" s="84" t="str">
        <f>IFERROR(__xludf.DUMMYFUNCTION("""COMPUTED_VALUE"""),"")</f>
        <v/>
      </c>
      <c r="AJ59" s="89" t="str">
        <f>IFERROR(__xludf.DUMMYFUNCTION("""COMPUTED_VALUE"""),"")</f>
        <v/>
      </c>
      <c r="AK59" s="84">
        <f>IFERROR(__xludf.DUMMYFUNCTION("""COMPUTED_VALUE"""),0.0)</f>
        <v>0</v>
      </c>
    </row>
    <row r="60" ht="39.75" customHeight="1">
      <c r="A60" s="84" t="str">
        <f t="shared" si="1"/>
        <v/>
      </c>
      <c r="B60" s="82" t="s">
        <v>153</v>
      </c>
      <c r="C60" s="85" t="s">
        <v>154</v>
      </c>
      <c r="D60" s="85">
        <f t="shared" si="2"/>
        <v>16</v>
      </c>
      <c r="E60" s="82" t="s">
        <v>142</v>
      </c>
      <c r="F60" s="86">
        <f t="shared" si="3"/>
        <v>0.19</v>
      </c>
      <c r="G60" s="87">
        <f t="shared" si="4"/>
        <v>1611</v>
      </c>
      <c r="H60" s="83">
        <v>1913.0</v>
      </c>
      <c r="I60" s="82" t="str">
        <f t="shared" si="5"/>
        <v>暖暖薑,9,特選蘋果,7</v>
      </c>
      <c r="J60" s="84" t="s">
        <v>5</v>
      </c>
      <c r="K60" s="82">
        <v>9.0</v>
      </c>
      <c r="L60" s="84" t="s">
        <v>0</v>
      </c>
      <c r="M60" s="82">
        <v>7.0</v>
      </c>
      <c r="N60" s="84"/>
      <c r="O60" s="85"/>
      <c r="P60" s="84"/>
      <c r="Q60" s="85"/>
      <c r="R60" s="88">
        <f>IFERROR(__xludf.DUMMYFUNCTION("BYCOL($R$2:$AK$2, LAMBDA(header, IFERROR(SUM(FILTER(K60:Q60, J60:P60=header)), """")))
"),7.0)</f>
        <v>7</v>
      </c>
      <c r="S60" s="89" t="str">
        <f>IFERROR(__xludf.DUMMYFUNCTION("""COMPUTED_VALUE"""),"")</f>
        <v/>
      </c>
      <c r="T60" s="89" t="str">
        <f>IFERROR(__xludf.DUMMYFUNCTION("""COMPUTED_VALUE"""),"")</f>
        <v/>
      </c>
      <c r="U60" s="89" t="str">
        <f>IFERROR(__xludf.DUMMYFUNCTION("""COMPUTED_VALUE"""),"")</f>
        <v/>
      </c>
      <c r="V60" s="84" t="str">
        <f>IFERROR(__xludf.DUMMYFUNCTION("""COMPUTED_VALUE"""),"")</f>
        <v/>
      </c>
      <c r="W60" s="84">
        <f>IFERROR(__xludf.DUMMYFUNCTION("""COMPUTED_VALUE"""),9.0)</f>
        <v>9</v>
      </c>
      <c r="X60" s="89" t="str">
        <f>IFERROR(__xludf.DUMMYFUNCTION("""COMPUTED_VALUE"""),"")</f>
        <v/>
      </c>
      <c r="Y60" s="89" t="str">
        <f>IFERROR(__xludf.DUMMYFUNCTION("""COMPUTED_VALUE"""),"")</f>
        <v/>
      </c>
      <c r="Z60" s="89" t="str">
        <f>IFERROR(__xludf.DUMMYFUNCTION("""COMPUTED_VALUE"""),"")</f>
        <v/>
      </c>
      <c r="AA60" s="89" t="str">
        <f>IFERROR(__xludf.DUMMYFUNCTION("""COMPUTED_VALUE"""),"")</f>
        <v/>
      </c>
      <c r="AB60" s="84" t="str">
        <f>IFERROR(__xludf.DUMMYFUNCTION("""COMPUTED_VALUE"""),"")</f>
        <v/>
      </c>
      <c r="AC60" s="84" t="str">
        <f>IFERROR(__xludf.DUMMYFUNCTION("""COMPUTED_VALUE"""),"")</f>
        <v/>
      </c>
      <c r="AD60" s="89" t="str">
        <f>IFERROR(__xludf.DUMMYFUNCTION("""COMPUTED_VALUE"""),"")</f>
        <v/>
      </c>
      <c r="AE60" s="89" t="str">
        <f>IFERROR(__xludf.DUMMYFUNCTION("""COMPUTED_VALUE"""),"")</f>
        <v/>
      </c>
      <c r="AF60" s="84" t="str">
        <f>IFERROR(__xludf.DUMMYFUNCTION("""COMPUTED_VALUE"""),"")</f>
        <v/>
      </c>
      <c r="AG60" s="89" t="str">
        <f>IFERROR(__xludf.DUMMYFUNCTION("""COMPUTED_VALUE"""),"")</f>
        <v/>
      </c>
      <c r="AH60" s="89" t="str">
        <f>IFERROR(__xludf.DUMMYFUNCTION("""COMPUTED_VALUE"""),"")</f>
        <v/>
      </c>
      <c r="AI60" s="84" t="str">
        <f>IFERROR(__xludf.DUMMYFUNCTION("""COMPUTED_VALUE"""),"")</f>
        <v/>
      </c>
      <c r="AJ60" s="89" t="str">
        <f>IFERROR(__xludf.DUMMYFUNCTION("""COMPUTED_VALUE"""),"")</f>
        <v/>
      </c>
      <c r="AK60" s="84">
        <f>IFERROR(__xludf.DUMMYFUNCTION("""COMPUTED_VALUE"""),0.0)</f>
        <v>0</v>
      </c>
    </row>
    <row r="61" ht="39.75" customHeight="1">
      <c r="A61" s="84" t="str">
        <f t="shared" si="1"/>
        <v/>
      </c>
      <c r="B61" s="82" t="s">
        <v>155</v>
      </c>
      <c r="C61" s="85" t="s">
        <v>156</v>
      </c>
      <c r="D61" s="85">
        <f t="shared" si="2"/>
        <v>15</v>
      </c>
      <c r="E61" s="82" t="s">
        <v>142</v>
      </c>
      <c r="F61" s="86">
        <f t="shared" si="3"/>
        <v>0.19</v>
      </c>
      <c r="G61" s="87">
        <f t="shared" si="4"/>
        <v>1620</v>
      </c>
      <c r="H61" s="83">
        <v>1924.0</v>
      </c>
      <c r="I61" s="82" t="str">
        <f t="shared" si="5"/>
        <v>特選蛋,8,萌綠大豆,7</v>
      </c>
      <c r="J61" s="84" t="s">
        <v>7</v>
      </c>
      <c r="K61" s="82">
        <v>8.0</v>
      </c>
      <c r="L61" s="84" t="s">
        <v>2</v>
      </c>
      <c r="M61" s="82">
        <v>7.0</v>
      </c>
      <c r="N61" s="84"/>
      <c r="O61" s="85"/>
      <c r="P61" s="84"/>
      <c r="Q61" s="85"/>
      <c r="R61" s="88" t="str">
        <f>IFERROR(__xludf.DUMMYFUNCTION("BYCOL($R$2:$AK$2, LAMBDA(header, IFERROR(SUM(FILTER(K61:Q61, J61:P61=header)), """")))
"),"")</f>
        <v/>
      </c>
      <c r="S61" s="89" t="str">
        <f>IFERROR(__xludf.DUMMYFUNCTION("""COMPUTED_VALUE"""),"")</f>
        <v/>
      </c>
      <c r="T61" s="89">
        <f>IFERROR(__xludf.DUMMYFUNCTION("""COMPUTED_VALUE"""),7.0)</f>
        <v>7</v>
      </c>
      <c r="U61" s="89" t="str">
        <f>IFERROR(__xludf.DUMMYFUNCTION("""COMPUTED_VALUE"""),"")</f>
        <v/>
      </c>
      <c r="V61" s="84" t="str">
        <f>IFERROR(__xludf.DUMMYFUNCTION("""COMPUTED_VALUE"""),"")</f>
        <v/>
      </c>
      <c r="W61" s="84" t="str">
        <f>IFERROR(__xludf.DUMMYFUNCTION("""COMPUTED_VALUE"""),"")</f>
        <v/>
      </c>
      <c r="X61" s="89" t="str">
        <f>IFERROR(__xludf.DUMMYFUNCTION("""COMPUTED_VALUE"""),"")</f>
        <v/>
      </c>
      <c r="Y61" s="89">
        <f>IFERROR(__xludf.DUMMYFUNCTION("""COMPUTED_VALUE"""),8.0)</f>
        <v>8</v>
      </c>
      <c r="Z61" s="89" t="str">
        <f>IFERROR(__xludf.DUMMYFUNCTION("""COMPUTED_VALUE"""),"")</f>
        <v/>
      </c>
      <c r="AA61" s="89" t="str">
        <f>IFERROR(__xludf.DUMMYFUNCTION("""COMPUTED_VALUE"""),"")</f>
        <v/>
      </c>
      <c r="AB61" s="84" t="str">
        <f>IFERROR(__xludf.DUMMYFUNCTION("""COMPUTED_VALUE"""),"")</f>
        <v/>
      </c>
      <c r="AC61" s="84" t="str">
        <f>IFERROR(__xludf.DUMMYFUNCTION("""COMPUTED_VALUE"""),"")</f>
        <v/>
      </c>
      <c r="AD61" s="89" t="str">
        <f>IFERROR(__xludf.DUMMYFUNCTION("""COMPUTED_VALUE"""),"")</f>
        <v/>
      </c>
      <c r="AE61" s="89" t="str">
        <f>IFERROR(__xludf.DUMMYFUNCTION("""COMPUTED_VALUE"""),"")</f>
        <v/>
      </c>
      <c r="AF61" s="84" t="str">
        <f>IFERROR(__xludf.DUMMYFUNCTION("""COMPUTED_VALUE"""),"")</f>
        <v/>
      </c>
      <c r="AG61" s="89" t="str">
        <f>IFERROR(__xludf.DUMMYFUNCTION("""COMPUTED_VALUE"""),"")</f>
        <v/>
      </c>
      <c r="AH61" s="89" t="str">
        <f>IFERROR(__xludf.DUMMYFUNCTION("""COMPUTED_VALUE"""),"")</f>
        <v/>
      </c>
      <c r="AI61" s="84" t="str">
        <f>IFERROR(__xludf.DUMMYFUNCTION("""COMPUTED_VALUE"""),"")</f>
        <v/>
      </c>
      <c r="AJ61" s="89" t="str">
        <f>IFERROR(__xludf.DUMMYFUNCTION("""COMPUTED_VALUE"""),"")</f>
        <v/>
      </c>
      <c r="AK61" s="84">
        <f>IFERROR(__xludf.DUMMYFUNCTION("""COMPUTED_VALUE"""),0.0)</f>
        <v>0</v>
      </c>
    </row>
    <row r="62" ht="39.75" customHeight="1">
      <c r="A62" s="84" t="str">
        <f t="shared" si="1"/>
        <v/>
      </c>
      <c r="B62" s="82" t="s">
        <v>157</v>
      </c>
      <c r="C62" s="85" t="s">
        <v>158</v>
      </c>
      <c r="D62" s="85">
        <f t="shared" si="2"/>
        <v>16</v>
      </c>
      <c r="E62" s="82" t="s">
        <v>142</v>
      </c>
      <c r="F62" s="86">
        <f t="shared" si="3"/>
        <v>0.19</v>
      </c>
      <c r="G62" s="87">
        <f t="shared" si="4"/>
        <v>1620</v>
      </c>
      <c r="H62" s="83">
        <v>1924.0</v>
      </c>
      <c r="I62" s="82" t="str">
        <f t="shared" si="5"/>
        <v>好眠番茄,9,特選蘋果,7</v>
      </c>
      <c r="J62" s="84" t="s">
        <v>6</v>
      </c>
      <c r="K62" s="82">
        <v>9.0</v>
      </c>
      <c r="L62" s="84" t="s">
        <v>0</v>
      </c>
      <c r="M62" s="82">
        <v>7.0</v>
      </c>
      <c r="N62" s="84"/>
      <c r="O62" s="85"/>
      <c r="P62" s="84"/>
      <c r="Q62" s="85"/>
      <c r="R62" s="88">
        <f>IFERROR(__xludf.DUMMYFUNCTION("BYCOL($R$2:$AK$2, LAMBDA(header, IFERROR(SUM(FILTER(K62:Q62, J62:P62=header)), """")))
"),7.0)</f>
        <v>7</v>
      </c>
      <c r="S62" s="89" t="str">
        <f>IFERROR(__xludf.DUMMYFUNCTION("""COMPUTED_VALUE"""),"")</f>
        <v/>
      </c>
      <c r="T62" s="89" t="str">
        <f>IFERROR(__xludf.DUMMYFUNCTION("""COMPUTED_VALUE"""),"")</f>
        <v/>
      </c>
      <c r="U62" s="89" t="str">
        <f>IFERROR(__xludf.DUMMYFUNCTION("""COMPUTED_VALUE"""),"")</f>
        <v/>
      </c>
      <c r="V62" s="84" t="str">
        <f>IFERROR(__xludf.DUMMYFUNCTION("""COMPUTED_VALUE"""),"")</f>
        <v/>
      </c>
      <c r="W62" s="84" t="str">
        <f>IFERROR(__xludf.DUMMYFUNCTION("""COMPUTED_VALUE"""),"")</f>
        <v/>
      </c>
      <c r="X62" s="89">
        <f>IFERROR(__xludf.DUMMYFUNCTION("""COMPUTED_VALUE"""),9.0)</f>
        <v>9</v>
      </c>
      <c r="Y62" s="89" t="str">
        <f>IFERROR(__xludf.DUMMYFUNCTION("""COMPUTED_VALUE"""),"")</f>
        <v/>
      </c>
      <c r="Z62" s="89" t="str">
        <f>IFERROR(__xludf.DUMMYFUNCTION("""COMPUTED_VALUE"""),"")</f>
        <v/>
      </c>
      <c r="AA62" s="89" t="str">
        <f>IFERROR(__xludf.DUMMYFUNCTION("""COMPUTED_VALUE"""),"")</f>
        <v/>
      </c>
      <c r="AB62" s="84" t="str">
        <f>IFERROR(__xludf.DUMMYFUNCTION("""COMPUTED_VALUE"""),"")</f>
        <v/>
      </c>
      <c r="AC62" s="84" t="str">
        <f>IFERROR(__xludf.DUMMYFUNCTION("""COMPUTED_VALUE"""),"")</f>
        <v/>
      </c>
      <c r="AD62" s="89" t="str">
        <f>IFERROR(__xludf.DUMMYFUNCTION("""COMPUTED_VALUE"""),"")</f>
        <v/>
      </c>
      <c r="AE62" s="89" t="str">
        <f>IFERROR(__xludf.DUMMYFUNCTION("""COMPUTED_VALUE"""),"")</f>
        <v/>
      </c>
      <c r="AF62" s="84" t="str">
        <f>IFERROR(__xludf.DUMMYFUNCTION("""COMPUTED_VALUE"""),"")</f>
        <v/>
      </c>
      <c r="AG62" s="89" t="str">
        <f>IFERROR(__xludf.DUMMYFUNCTION("""COMPUTED_VALUE"""),"")</f>
        <v/>
      </c>
      <c r="AH62" s="89" t="str">
        <f>IFERROR(__xludf.DUMMYFUNCTION("""COMPUTED_VALUE"""),"")</f>
        <v/>
      </c>
      <c r="AI62" s="84" t="str">
        <f>IFERROR(__xludf.DUMMYFUNCTION("""COMPUTED_VALUE"""),"")</f>
        <v/>
      </c>
      <c r="AJ62" s="89" t="str">
        <f>IFERROR(__xludf.DUMMYFUNCTION("""COMPUTED_VALUE"""),"")</f>
        <v/>
      </c>
      <c r="AK62" s="84">
        <f>IFERROR(__xludf.DUMMYFUNCTION("""COMPUTED_VALUE"""),0.0)</f>
        <v>0</v>
      </c>
    </row>
    <row r="63" ht="39.75" customHeight="1">
      <c r="A63" s="84" t="str">
        <f t="shared" si="1"/>
        <v/>
      </c>
      <c r="B63" s="82" t="s">
        <v>159</v>
      </c>
      <c r="C63" s="85" t="s">
        <v>160</v>
      </c>
      <c r="D63" s="85">
        <f t="shared" si="2"/>
        <v>23</v>
      </c>
      <c r="E63" s="82" t="s">
        <v>142</v>
      </c>
      <c r="F63" s="86">
        <f t="shared" si="3"/>
        <v>0.21</v>
      </c>
      <c r="G63" s="87">
        <f t="shared" si="4"/>
        <v>2502</v>
      </c>
      <c r="H63" s="83">
        <v>3015.0</v>
      </c>
      <c r="I63" s="82" t="str">
        <f t="shared" si="5"/>
        <v>純粹油,10,哞哞鮮奶,7,甜甜蜜,6</v>
      </c>
      <c r="J63" s="84" t="s">
        <v>8</v>
      </c>
      <c r="K63" s="82">
        <v>10.0</v>
      </c>
      <c r="L63" s="84" t="s">
        <v>1</v>
      </c>
      <c r="M63" s="82">
        <v>7.0</v>
      </c>
      <c r="N63" s="84" t="s">
        <v>3</v>
      </c>
      <c r="O63" s="82">
        <v>6.0</v>
      </c>
      <c r="P63" s="84"/>
      <c r="Q63" s="85"/>
      <c r="R63" s="88" t="str">
        <f>IFERROR(__xludf.DUMMYFUNCTION("BYCOL($R$2:$AK$2, LAMBDA(header, IFERROR(SUM(FILTER(K63:Q63, J63:P63=header)), """")))
"),"")</f>
        <v/>
      </c>
      <c r="S63" s="89">
        <f>IFERROR(__xludf.DUMMYFUNCTION("""COMPUTED_VALUE"""),7.0)</f>
        <v>7</v>
      </c>
      <c r="T63" s="89" t="str">
        <f>IFERROR(__xludf.DUMMYFUNCTION("""COMPUTED_VALUE"""),"")</f>
        <v/>
      </c>
      <c r="U63" s="89">
        <f>IFERROR(__xludf.DUMMYFUNCTION("""COMPUTED_VALUE"""),6.0)</f>
        <v>6</v>
      </c>
      <c r="V63" s="84" t="str">
        <f>IFERROR(__xludf.DUMMYFUNCTION("""COMPUTED_VALUE"""),"")</f>
        <v/>
      </c>
      <c r="W63" s="84" t="str">
        <f>IFERROR(__xludf.DUMMYFUNCTION("""COMPUTED_VALUE"""),"")</f>
        <v/>
      </c>
      <c r="X63" s="89" t="str">
        <f>IFERROR(__xludf.DUMMYFUNCTION("""COMPUTED_VALUE"""),"")</f>
        <v/>
      </c>
      <c r="Y63" s="89" t="str">
        <f>IFERROR(__xludf.DUMMYFUNCTION("""COMPUTED_VALUE"""),"")</f>
        <v/>
      </c>
      <c r="Z63" s="89">
        <f>IFERROR(__xludf.DUMMYFUNCTION("""COMPUTED_VALUE"""),10.0)</f>
        <v>10</v>
      </c>
      <c r="AA63" s="89" t="str">
        <f>IFERROR(__xludf.DUMMYFUNCTION("""COMPUTED_VALUE"""),"")</f>
        <v/>
      </c>
      <c r="AB63" s="84" t="str">
        <f>IFERROR(__xludf.DUMMYFUNCTION("""COMPUTED_VALUE"""),"")</f>
        <v/>
      </c>
      <c r="AC63" s="84" t="str">
        <f>IFERROR(__xludf.DUMMYFUNCTION("""COMPUTED_VALUE"""),"")</f>
        <v/>
      </c>
      <c r="AD63" s="89" t="str">
        <f>IFERROR(__xludf.DUMMYFUNCTION("""COMPUTED_VALUE"""),"")</f>
        <v/>
      </c>
      <c r="AE63" s="89" t="str">
        <f>IFERROR(__xludf.DUMMYFUNCTION("""COMPUTED_VALUE"""),"")</f>
        <v/>
      </c>
      <c r="AF63" s="84" t="str">
        <f>IFERROR(__xludf.DUMMYFUNCTION("""COMPUTED_VALUE"""),"")</f>
        <v/>
      </c>
      <c r="AG63" s="89" t="str">
        <f>IFERROR(__xludf.DUMMYFUNCTION("""COMPUTED_VALUE"""),"")</f>
        <v/>
      </c>
      <c r="AH63" s="89" t="str">
        <f>IFERROR(__xludf.DUMMYFUNCTION("""COMPUTED_VALUE"""),"")</f>
        <v/>
      </c>
      <c r="AI63" s="84" t="str">
        <f>IFERROR(__xludf.DUMMYFUNCTION("""COMPUTED_VALUE"""),"")</f>
        <v/>
      </c>
      <c r="AJ63" s="89" t="str">
        <f>IFERROR(__xludf.DUMMYFUNCTION("""COMPUTED_VALUE"""),"")</f>
        <v/>
      </c>
      <c r="AK63" s="84">
        <f>IFERROR(__xludf.DUMMYFUNCTION("""COMPUTED_VALUE"""),0.0)</f>
        <v>0</v>
      </c>
    </row>
    <row r="64" ht="39.75" customHeight="1">
      <c r="A64" s="84" t="str">
        <f t="shared" si="1"/>
        <v/>
      </c>
      <c r="B64" s="82" t="s">
        <v>161</v>
      </c>
      <c r="C64" s="85" t="s">
        <v>162</v>
      </c>
      <c r="D64" s="85">
        <f t="shared" si="2"/>
        <v>23</v>
      </c>
      <c r="E64" s="82" t="s">
        <v>142</v>
      </c>
      <c r="F64" s="86">
        <f t="shared" si="3"/>
        <v>0.2</v>
      </c>
      <c r="G64" s="87">
        <f t="shared" si="4"/>
        <v>2708</v>
      </c>
      <c r="H64" s="83">
        <v>3263.0</v>
      </c>
      <c r="I64" s="82" t="str">
        <f t="shared" si="5"/>
        <v>萌綠大豆,15,放鬆可可,8</v>
      </c>
      <c r="J64" s="84" t="s">
        <v>2</v>
      </c>
      <c r="K64" s="82">
        <v>15.0</v>
      </c>
      <c r="L64" s="84" t="s">
        <v>12</v>
      </c>
      <c r="M64" s="82">
        <v>8.0</v>
      </c>
      <c r="N64" s="84"/>
      <c r="O64" s="85"/>
      <c r="P64" s="84"/>
      <c r="Q64" s="85"/>
      <c r="R64" s="88" t="str">
        <f>IFERROR(__xludf.DUMMYFUNCTION("BYCOL($R$2:$AK$2, LAMBDA(header, IFERROR(SUM(FILTER(K64:Q64, J64:P64=header)), """")))
"),"")</f>
        <v/>
      </c>
      <c r="S64" s="89" t="str">
        <f>IFERROR(__xludf.DUMMYFUNCTION("""COMPUTED_VALUE"""),"")</f>
        <v/>
      </c>
      <c r="T64" s="89">
        <f>IFERROR(__xludf.DUMMYFUNCTION("""COMPUTED_VALUE"""),15.0)</f>
        <v>15</v>
      </c>
      <c r="U64" s="89" t="str">
        <f>IFERROR(__xludf.DUMMYFUNCTION("""COMPUTED_VALUE"""),"")</f>
        <v/>
      </c>
      <c r="V64" s="84" t="str">
        <f>IFERROR(__xludf.DUMMYFUNCTION("""COMPUTED_VALUE"""),"")</f>
        <v/>
      </c>
      <c r="W64" s="84" t="str">
        <f>IFERROR(__xludf.DUMMYFUNCTION("""COMPUTED_VALUE"""),"")</f>
        <v/>
      </c>
      <c r="X64" s="89" t="str">
        <f>IFERROR(__xludf.DUMMYFUNCTION("""COMPUTED_VALUE"""),"")</f>
        <v/>
      </c>
      <c r="Y64" s="89" t="str">
        <f>IFERROR(__xludf.DUMMYFUNCTION("""COMPUTED_VALUE"""),"")</f>
        <v/>
      </c>
      <c r="Z64" s="89" t="str">
        <f>IFERROR(__xludf.DUMMYFUNCTION("""COMPUTED_VALUE"""),"")</f>
        <v/>
      </c>
      <c r="AA64" s="89" t="str">
        <f>IFERROR(__xludf.DUMMYFUNCTION("""COMPUTED_VALUE"""),"")</f>
        <v/>
      </c>
      <c r="AB64" s="84" t="str">
        <f>IFERROR(__xludf.DUMMYFUNCTION("""COMPUTED_VALUE"""),"")</f>
        <v/>
      </c>
      <c r="AC64" s="84" t="str">
        <f>IFERROR(__xludf.DUMMYFUNCTION("""COMPUTED_VALUE"""),"")</f>
        <v/>
      </c>
      <c r="AD64" s="89">
        <f>IFERROR(__xludf.DUMMYFUNCTION("""COMPUTED_VALUE"""),8.0)</f>
        <v>8</v>
      </c>
      <c r="AE64" s="89" t="str">
        <f>IFERROR(__xludf.DUMMYFUNCTION("""COMPUTED_VALUE"""),"")</f>
        <v/>
      </c>
      <c r="AF64" s="84" t="str">
        <f>IFERROR(__xludf.DUMMYFUNCTION("""COMPUTED_VALUE"""),"")</f>
        <v/>
      </c>
      <c r="AG64" s="89" t="str">
        <f>IFERROR(__xludf.DUMMYFUNCTION("""COMPUTED_VALUE"""),"")</f>
        <v/>
      </c>
      <c r="AH64" s="89" t="str">
        <f>IFERROR(__xludf.DUMMYFUNCTION("""COMPUTED_VALUE"""),"")</f>
        <v/>
      </c>
      <c r="AI64" s="84" t="str">
        <f>IFERROR(__xludf.DUMMYFUNCTION("""COMPUTED_VALUE"""),"")</f>
        <v/>
      </c>
      <c r="AJ64" s="89" t="str">
        <f>IFERROR(__xludf.DUMMYFUNCTION("""COMPUTED_VALUE"""),"")</f>
        <v/>
      </c>
      <c r="AK64" s="84">
        <f>IFERROR(__xludf.DUMMYFUNCTION("""COMPUTED_VALUE"""),0.0)</f>
        <v>0</v>
      </c>
    </row>
    <row r="65" ht="39.75" customHeight="1">
      <c r="A65" s="84" t="str">
        <f t="shared" si="1"/>
        <v/>
      </c>
      <c r="B65" s="82" t="s">
        <v>163</v>
      </c>
      <c r="C65" s="85" t="s">
        <v>164</v>
      </c>
      <c r="D65" s="85">
        <f t="shared" si="2"/>
        <v>22</v>
      </c>
      <c r="E65" s="82" t="s">
        <v>142</v>
      </c>
      <c r="F65" s="86">
        <f t="shared" si="3"/>
        <v>0.25</v>
      </c>
      <c r="G65" s="87">
        <f t="shared" si="4"/>
        <v>2651</v>
      </c>
      <c r="H65" s="83">
        <v>3314.0</v>
      </c>
      <c r="I65" s="82" t="str">
        <f t="shared" si="5"/>
        <v>特選蘋果,11,放鬆可可,11</v>
      </c>
      <c r="J65" s="84" t="s">
        <v>0</v>
      </c>
      <c r="K65" s="82">
        <v>11.0</v>
      </c>
      <c r="L65" s="84" t="s">
        <v>12</v>
      </c>
      <c r="M65" s="82">
        <v>11.0</v>
      </c>
      <c r="N65" s="84"/>
      <c r="O65" s="82"/>
      <c r="P65" s="84"/>
      <c r="Q65" s="82"/>
      <c r="R65" s="88">
        <f>IFERROR(__xludf.DUMMYFUNCTION("BYCOL($R$2:$AK$2, LAMBDA(header, IFERROR(SUM(FILTER(K65:Q65, J65:P65=header)), """")))
"),11.0)</f>
        <v>11</v>
      </c>
      <c r="S65" s="89" t="str">
        <f>IFERROR(__xludf.DUMMYFUNCTION("""COMPUTED_VALUE"""),"")</f>
        <v/>
      </c>
      <c r="T65" s="89" t="str">
        <f>IFERROR(__xludf.DUMMYFUNCTION("""COMPUTED_VALUE"""),"")</f>
        <v/>
      </c>
      <c r="U65" s="89" t="str">
        <f>IFERROR(__xludf.DUMMYFUNCTION("""COMPUTED_VALUE"""),"")</f>
        <v/>
      </c>
      <c r="V65" s="84" t="str">
        <f>IFERROR(__xludf.DUMMYFUNCTION("""COMPUTED_VALUE"""),"")</f>
        <v/>
      </c>
      <c r="W65" s="84" t="str">
        <f>IFERROR(__xludf.DUMMYFUNCTION("""COMPUTED_VALUE"""),"")</f>
        <v/>
      </c>
      <c r="X65" s="89" t="str">
        <f>IFERROR(__xludf.DUMMYFUNCTION("""COMPUTED_VALUE"""),"")</f>
        <v/>
      </c>
      <c r="Y65" s="89" t="str">
        <f>IFERROR(__xludf.DUMMYFUNCTION("""COMPUTED_VALUE"""),"")</f>
        <v/>
      </c>
      <c r="Z65" s="89" t="str">
        <f>IFERROR(__xludf.DUMMYFUNCTION("""COMPUTED_VALUE"""),"")</f>
        <v/>
      </c>
      <c r="AA65" s="89" t="str">
        <f>IFERROR(__xludf.DUMMYFUNCTION("""COMPUTED_VALUE"""),"")</f>
        <v/>
      </c>
      <c r="AB65" s="84" t="str">
        <f>IFERROR(__xludf.DUMMYFUNCTION("""COMPUTED_VALUE"""),"")</f>
        <v/>
      </c>
      <c r="AC65" s="84" t="str">
        <f>IFERROR(__xludf.DUMMYFUNCTION("""COMPUTED_VALUE"""),"")</f>
        <v/>
      </c>
      <c r="AD65" s="89">
        <f>IFERROR(__xludf.DUMMYFUNCTION("""COMPUTED_VALUE"""),11.0)</f>
        <v>11</v>
      </c>
      <c r="AE65" s="89" t="str">
        <f>IFERROR(__xludf.DUMMYFUNCTION("""COMPUTED_VALUE"""),"")</f>
        <v/>
      </c>
      <c r="AF65" s="84" t="str">
        <f>IFERROR(__xludf.DUMMYFUNCTION("""COMPUTED_VALUE"""),"")</f>
        <v/>
      </c>
      <c r="AG65" s="89" t="str">
        <f>IFERROR(__xludf.DUMMYFUNCTION("""COMPUTED_VALUE"""),"")</f>
        <v/>
      </c>
      <c r="AH65" s="89" t="str">
        <f>IFERROR(__xludf.DUMMYFUNCTION("""COMPUTED_VALUE"""),"")</f>
        <v/>
      </c>
      <c r="AI65" s="84" t="str">
        <f>IFERROR(__xludf.DUMMYFUNCTION("""COMPUTED_VALUE"""),"")</f>
        <v/>
      </c>
      <c r="AJ65" s="89" t="str">
        <f>IFERROR(__xludf.DUMMYFUNCTION("""COMPUTED_VALUE"""),"")</f>
        <v/>
      </c>
      <c r="AK65" s="84">
        <f>IFERROR(__xludf.DUMMYFUNCTION("""COMPUTED_VALUE"""),0.0)</f>
        <v>0</v>
      </c>
    </row>
    <row r="66" ht="39.75" customHeight="1">
      <c r="A66" s="84" t="str">
        <f t="shared" si="1"/>
        <v/>
      </c>
      <c r="B66" s="82" t="s">
        <v>165</v>
      </c>
      <c r="C66" s="85" t="s">
        <v>166</v>
      </c>
      <c r="D66" s="85">
        <f t="shared" si="2"/>
        <v>24</v>
      </c>
      <c r="E66" s="82" t="s">
        <v>142</v>
      </c>
      <c r="F66" s="86">
        <f t="shared" si="3"/>
        <v>0.21</v>
      </c>
      <c r="G66" s="87">
        <f t="shared" si="4"/>
        <v>2803</v>
      </c>
      <c r="H66" s="83">
        <v>3378.0</v>
      </c>
      <c r="I66" s="82" t="str">
        <f t="shared" si="5"/>
        <v>甜甜蜜,9,放鬆可可,8,哞哞鮮奶,7</v>
      </c>
      <c r="J66" s="84" t="s">
        <v>3</v>
      </c>
      <c r="K66" s="82">
        <v>9.0</v>
      </c>
      <c r="L66" s="84" t="s">
        <v>12</v>
      </c>
      <c r="M66" s="82">
        <v>8.0</v>
      </c>
      <c r="N66" s="84" t="s">
        <v>1</v>
      </c>
      <c r="O66" s="82">
        <v>7.0</v>
      </c>
      <c r="P66" s="84"/>
      <c r="Q66" s="85"/>
      <c r="R66" s="88" t="str">
        <f>IFERROR(__xludf.DUMMYFUNCTION("BYCOL($R$2:$AK$2, LAMBDA(header, IFERROR(SUM(FILTER(K66:Q66, J66:P66=header)), """")))
"),"")</f>
        <v/>
      </c>
      <c r="S66" s="89">
        <f>IFERROR(__xludf.DUMMYFUNCTION("""COMPUTED_VALUE"""),7.0)</f>
        <v>7</v>
      </c>
      <c r="T66" s="89" t="str">
        <f>IFERROR(__xludf.DUMMYFUNCTION("""COMPUTED_VALUE"""),"")</f>
        <v/>
      </c>
      <c r="U66" s="89">
        <f>IFERROR(__xludf.DUMMYFUNCTION("""COMPUTED_VALUE"""),9.0)</f>
        <v>9</v>
      </c>
      <c r="V66" s="84" t="str">
        <f>IFERROR(__xludf.DUMMYFUNCTION("""COMPUTED_VALUE"""),"")</f>
        <v/>
      </c>
      <c r="W66" s="84" t="str">
        <f>IFERROR(__xludf.DUMMYFUNCTION("""COMPUTED_VALUE"""),"")</f>
        <v/>
      </c>
      <c r="X66" s="89" t="str">
        <f>IFERROR(__xludf.DUMMYFUNCTION("""COMPUTED_VALUE"""),"")</f>
        <v/>
      </c>
      <c r="Y66" s="89" t="str">
        <f>IFERROR(__xludf.DUMMYFUNCTION("""COMPUTED_VALUE"""),"")</f>
        <v/>
      </c>
      <c r="Z66" s="89" t="str">
        <f>IFERROR(__xludf.DUMMYFUNCTION("""COMPUTED_VALUE"""),"")</f>
        <v/>
      </c>
      <c r="AA66" s="89" t="str">
        <f>IFERROR(__xludf.DUMMYFUNCTION("""COMPUTED_VALUE"""),"")</f>
        <v/>
      </c>
      <c r="AB66" s="84" t="str">
        <f>IFERROR(__xludf.DUMMYFUNCTION("""COMPUTED_VALUE"""),"")</f>
        <v/>
      </c>
      <c r="AC66" s="84" t="str">
        <f>IFERROR(__xludf.DUMMYFUNCTION("""COMPUTED_VALUE"""),"")</f>
        <v/>
      </c>
      <c r="AD66" s="89">
        <f>IFERROR(__xludf.DUMMYFUNCTION("""COMPUTED_VALUE"""),8.0)</f>
        <v>8</v>
      </c>
      <c r="AE66" s="89" t="str">
        <f>IFERROR(__xludf.DUMMYFUNCTION("""COMPUTED_VALUE"""),"")</f>
        <v/>
      </c>
      <c r="AF66" s="84" t="str">
        <f>IFERROR(__xludf.DUMMYFUNCTION("""COMPUTED_VALUE"""),"")</f>
        <v/>
      </c>
      <c r="AG66" s="89" t="str">
        <f>IFERROR(__xludf.DUMMYFUNCTION("""COMPUTED_VALUE"""),"")</f>
        <v/>
      </c>
      <c r="AH66" s="89" t="str">
        <f>IFERROR(__xludf.DUMMYFUNCTION("""COMPUTED_VALUE"""),"")</f>
        <v/>
      </c>
      <c r="AI66" s="84" t="str">
        <f>IFERROR(__xludf.DUMMYFUNCTION("""COMPUTED_VALUE"""),"")</f>
        <v/>
      </c>
      <c r="AJ66" s="89" t="str">
        <f>IFERROR(__xludf.DUMMYFUNCTION("""COMPUTED_VALUE"""),"")</f>
        <v/>
      </c>
      <c r="AK66" s="84">
        <f>IFERROR(__xludf.DUMMYFUNCTION("""COMPUTED_VALUE"""),0.0)</f>
        <v>0</v>
      </c>
    </row>
    <row r="67" ht="39.75" customHeight="1">
      <c r="A67" s="84" t="str">
        <f t="shared" si="1"/>
        <v/>
      </c>
      <c r="B67" s="82" t="s">
        <v>167</v>
      </c>
      <c r="C67" s="85" t="s">
        <v>168</v>
      </c>
      <c r="D67" s="85">
        <f t="shared" si="2"/>
        <v>35</v>
      </c>
      <c r="E67" s="82" t="s">
        <v>142</v>
      </c>
      <c r="F67" s="86">
        <f t="shared" si="3"/>
        <v>0.25</v>
      </c>
      <c r="G67" s="87">
        <f t="shared" si="4"/>
        <v>3787</v>
      </c>
      <c r="H67" s="83">
        <v>4734.0</v>
      </c>
      <c r="I67" s="82" t="str">
        <f t="shared" si="5"/>
        <v>特選蘋果,11,哞哞鮮奶,9,放鬆可可,8,甜甜蜜,7</v>
      </c>
      <c r="J67" s="84" t="s">
        <v>0</v>
      </c>
      <c r="K67" s="82">
        <v>11.0</v>
      </c>
      <c r="L67" s="84" t="s">
        <v>1</v>
      </c>
      <c r="M67" s="82">
        <v>9.0</v>
      </c>
      <c r="N67" s="84" t="s">
        <v>12</v>
      </c>
      <c r="O67" s="82">
        <v>8.0</v>
      </c>
      <c r="P67" s="84" t="s">
        <v>3</v>
      </c>
      <c r="Q67" s="82">
        <v>7.0</v>
      </c>
      <c r="R67" s="88">
        <f>IFERROR(__xludf.DUMMYFUNCTION("BYCOL($R$2:$AK$2, LAMBDA(header, IFERROR(SUM(FILTER(K67:Q67, J67:P67=header)), """")))
"),11.0)</f>
        <v>11</v>
      </c>
      <c r="S67" s="89">
        <f>IFERROR(__xludf.DUMMYFUNCTION("""COMPUTED_VALUE"""),9.0)</f>
        <v>9</v>
      </c>
      <c r="T67" s="89" t="str">
        <f>IFERROR(__xludf.DUMMYFUNCTION("""COMPUTED_VALUE"""),"")</f>
        <v/>
      </c>
      <c r="U67" s="89">
        <f>IFERROR(__xludf.DUMMYFUNCTION("""COMPUTED_VALUE"""),7.0)</f>
        <v>7</v>
      </c>
      <c r="V67" s="84" t="str">
        <f>IFERROR(__xludf.DUMMYFUNCTION("""COMPUTED_VALUE"""),"")</f>
        <v/>
      </c>
      <c r="W67" s="84" t="str">
        <f>IFERROR(__xludf.DUMMYFUNCTION("""COMPUTED_VALUE"""),"")</f>
        <v/>
      </c>
      <c r="X67" s="89" t="str">
        <f>IFERROR(__xludf.DUMMYFUNCTION("""COMPUTED_VALUE"""),"")</f>
        <v/>
      </c>
      <c r="Y67" s="89" t="str">
        <f>IFERROR(__xludf.DUMMYFUNCTION("""COMPUTED_VALUE"""),"")</f>
        <v/>
      </c>
      <c r="Z67" s="89" t="str">
        <f>IFERROR(__xludf.DUMMYFUNCTION("""COMPUTED_VALUE"""),"")</f>
        <v/>
      </c>
      <c r="AA67" s="89" t="str">
        <f>IFERROR(__xludf.DUMMYFUNCTION("""COMPUTED_VALUE"""),"")</f>
        <v/>
      </c>
      <c r="AB67" s="84" t="str">
        <f>IFERROR(__xludf.DUMMYFUNCTION("""COMPUTED_VALUE"""),"")</f>
        <v/>
      </c>
      <c r="AC67" s="84" t="str">
        <f>IFERROR(__xludf.DUMMYFUNCTION("""COMPUTED_VALUE"""),"")</f>
        <v/>
      </c>
      <c r="AD67" s="89">
        <f>IFERROR(__xludf.DUMMYFUNCTION("""COMPUTED_VALUE"""),8.0)</f>
        <v>8</v>
      </c>
      <c r="AE67" s="89" t="str">
        <f>IFERROR(__xludf.DUMMYFUNCTION("""COMPUTED_VALUE"""),"")</f>
        <v/>
      </c>
      <c r="AF67" s="84" t="str">
        <f>IFERROR(__xludf.DUMMYFUNCTION("""COMPUTED_VALUE"""),"")</f>
        <v/>
      </c>
      <c r="AG67" s="89" t="str">
        <f>IFERROR(__xludf.DUMMYFUNCTION("""COMPUTED_VALUE"""),"")</f>
        <v/>
      </c>
      <c r="AH67" s="89" t="str">
        <f>IFERROR(__xludf.DUMMYFUNCTION("""COMPUTED_VALUE"""),"")</f>
        <v/>
      </c>
      <c r="AI67" s="84" t="str">
        <f>IFERROR(__xludf.DUMMYFUNCTION("""COMPUTED_VALUE"""),"")</f>
        <v/>
      </c>
      <c r="AJ67" s="89" t="str">
        <f>IFERROR(__xludf.DUMMYFUNCTION("""COMPUTED_VALUE"""),"")</f>
        <v/>
      </c>
      <c r="AK67" s="84" t="str">
        <f>IFERROR(__xludf.DUMMYFUNCTION("""COMPUTED_VALUE"""),"")</f>
        <v/>
      </c>
    </row>
    <row r="68" ht="39.75" customHeight="1">
      <c r="A68" s="84" t="str">
        <f t="shared" si="1"/>
        <v/>
      </c>
      <c r="B68" s="82" t="s">
        <v>169</v>
      </c>
      <c r="C68" s="85" t="s">
        <v>170</v>
      </c>
      <c r="D68" s="85">
        <f t="shared" si="2"/>
        <v>35</v>
      </c>
      <c r="E68" s="82" t="s">
        <v>142</v>
      </c>
      <c r="F68" s="86">
        <f t="shared" si="3"/>
        <v>0.25</v>
      </c>
      <c r="G68" s="87">
        <f t="shared" si="4"/>
        <v>3937</v>
      </c>
      <c r="H68" s="83">
        <v>4921.0</v>
      </c>
      <c r="I68" s="82" t="str">
        <f t="shared" si="5"/>
        <v>甜甜蜜,14,暖暖薑,12,放鬆可可,5,特選蛋,4</v>
      </c>
      <c r="J68" s="84" t="s">
        <v>3</v>
      </c>
      <c r="K68" s="82">
        <v>14.0</v>
      </c>
      <c r="L68" s="84" t="s">
        <v>5</v>
      </c>
      <c r="M68" s="82">
        <v>12.0</v>
      </c>
      <c r="N68" s="84" t="s">
        <v>12</v>
      </c>
      <c r="O68" s="82">
        <v>5.0</v>
      </c>
      <c r="P68" s="84" t="s">
        <v>7</v>
      </c>
      <c r="Q68" s="82">
        <v>4.0</v>
      </c>
      <c r="R68" s="88" t="str">
        <f>IFERROR(__xludf.DUMMYFUNCTION("BYCOL($R$2:$AK$2, LAMBDA(header, IFERROR(SUM(FILTER(K68:Q68, J68:P68=header)), """")))
"),"")</f>
        <v/>
      </c>
      <c r="S68" s="89" t="str">
        <f>IFERROR(__xludf.DUMMYFUNCTION("""COMPUTED_VALUE"""),"")</f>
        <v/>
      </c>
      <c r="T68" s="89" t="str">
        <f>IFERROR(__xludf.DUMMYFUNCTION("""COMPUTED_VALUE"""),"")</f>
        <v/>
      </c>
      <c r="U68" s="89">
        <f>IFERROR(__xludf.DUMMYFUNCTION("""COMPUTED_VALUE"""),14.0)</f>
        <v>14</v>
      </c>
      <c r="V68" s="84" t="str">
        <f>IFERROR(__xludf.DUMMYFUNCTION("""COMPUTED_VALUE"""),"")</f>
        <v/>
      </c>
      <c r="W68" s="84">
        <f>IFERROR(__xludf.DUMMYFUNCTION("""COMPUTED_VALUE"""),12.0)</f>
        <v>12</v>
      </c>
      <c r="X68" s="89" t="str">
        <f>IFERROR(__xludf.DUMMYFUNCTION("""COMPUTED_VALUE"""),"")</f>
        <v/>
      </c>
      <c r="Y68" s="89">
        <f>IFERROR(__xludf.DUMMYFUNCTION("""COMPUTED_VALUE"""),4.0)</f>
        <v>4</v>
      </c>
      <c r="Z68" s="89" t="str">
        <f>IFERROR(__xludf.DUMMYFUNCTION("""COMPUTED_VALUE"""),"")</f>
        <v/>
      </c>
      <c r="AA68" s="89" t="str">
        <f>IFERROR(__xludf.DUMMYFUNCTION("""COMPUTED_VALUE"""),"")</f>
        <v/>
      </c>
      <c r="AB68" s="84" t="str">
        <f>IFERROR(__xludf.DUMMYFUNCTION("""COMPUTED_VALUE"""),"")</f>
        <v/>
      </c>
      <c r="AC68" s="84" t="str">
        <f>IFERROR(__xludf.DUMMYFUNCTION("""COMPUTED_VALUE"""),"")</f>
        <v/>
      </c>
      <c r="AD68" s="89">
        <f>IFERROR(__xludf.DUMMYFUNCTION("""COMPUTED_VALUE"""),5.0)</f>
        <v>5</v>
      </c>
      <c r="AE68" s="89" t="str">
        <f>IFERROR(__xludf.DUMMYFUNCTION("""COMPUTED_VALUE"""),"")</f>
        <v/>
      </c>
      <c r="AF68" s="84" t="str">
        <f>IFERROR(__xludf.DUMMYFUNCTION("""COMPUTED_VALUE"""),"")</f>
        <v/>
      </c>
      <c r="AG68" s="89" t="str">
        <f>IFERROR(__xludf.DUMMYFUNCTION("""COMPUTED_VALUE"""),"")</f>
        <v/>
      </c>
      <c r="AH68" s="89" t="str">
        <f>IFERROR(__xludf.DUMMYFUNCTION("""COMPUTED_VALUE"""),"")</f>
        <v/>
      </c>
      <c r="AI68" s="84" t="str">
        <f>IFERROR(__xludf.DUMMYFUNCTION("""COMPUTED_VALUE"""),"")</f>
        <v/>
      </c>
      <c r="AJ68" s="89" t="str">
        <f>IFERROR(__xludf.DUMMYFUNCTION("""COMPUTED_VALUE"""),"")</f>
        <v/>
      </c>
      <c r="AK68" s="84" t="str">
        <f>IFERROR(__xludf.DUMMYFUNCTION("""COMPUTED_VALUE"""),"")</f>
        <v/>
      </c>
    </row>
    <row r="69" ht="39.75" customHeight="1">
      <c r="A69" s="84" t="str">
        <f t="shared" si="1"/>
        <v/>
      </c>
      <c r="B69" s="82" t="s">
        <v>171</v>
      </c>
      <c r="C69" s="85" t="s">
        <v>172</v>
      </c>
      <c r="D69" s="85">
        <f t="shared" si="2"/>
        <v>35</v>
      </c>
      <c r="E69" s="82" t="s">
        <v>142</v>
      </c>
      <c r="F69" s="86">
        <f t="shared" si="3"/>
        <v>0.25</v>
      </c>
      <c r="G69" s="87">
        <f t="shared" si="4"/>
        <v>4052</v>
      </c>
      <c r="H69" s="83">
        <v>5065.0</v>
      </c>
      <c r="I69" s="82" t="str">
        <f t="shared" si="5"/>
        <v>特選蘋果,15,暖暖薑,11,品鮮蘑菇,9</v>
      </c>
      <c r="J69" s="84" t="s">
        <v>0</v>
      </c>
      <c r="K69" s="82">
        <v>15.0</v>
      </c>
      <c r="L69" s="84" t="s">
        <v>5</v>
      </c>
      <c r="M69" s="82">
        <v>11.0</v>
      </c>
      <c r="N69" s="84" t="s">
        <v>15</v>
      </c>
      <c r="O69" s="82">
        <v>9.0</v>
      </c>
      <c r="P69" s="84"/>
      <c r="Q69" s="85"/>
      <c r="R69" s="88">
        <f>IFERROR(__xludf.DUMMYFUNCTION("BYCOL($R$2:$AK$2, LAMBDA(header, IFERROR(SUM(FILTER(K69:Q69, J69:P69=header)), """")))
"),15.0)</f>
        <v>15</v>
      </c>
      <c r="S69" s="89" t="str">
        <f>IFERROR(__xludf.DUMMYFUNCTION("""COMPUTED_VALUE"""),"")</f>
        <v/>
      </c>
      <c r="T69" s="89" t="str">
        <f>IFERROR(__xludf.DUMMYFUNCTION("""COMPUTED_VALUE"""),"")</f>
        <v/>
      </c>
      <c r="U69" s="89" t="str">
        <f>IFERROR(__xludf.DUMMYFUNCTION("""COMPUTED_VALUE"""),"")</f>
        <v/>
      </c>
      <c r="V69" s="84" t="str">
        <f>IFERROR(__xludf.DUMMYFUNCTION("""COMPUTED_VALUE"""),"")</f>
        <v/>
      </c>
      <c r="W69" s="84">
        <f>IFERROR(__xludf.DUMMYFUNCTION("""COMPUTED_VALUE"""),11.0)</f>
        <v>11</v>
      </c>
      <c r="X69" s="89" t="str">
        <f>IFERROR(__xludf.DUMMYFUNCTION("""COMPUTED_VALUE"""),"")</f>
        <v/>
      </c>
      <c r="Y69" s="89" t="str">
        <f>IFERROR(__xludf.DUMMYFUNCTION("""COMPUTED_VALUE"""),"")</f>
        <v/>
      </c>
      <c r="Z69" s="89" t="str">
        <f>IFERROR(__xludf.DUMMYFUNCTION("""COMPUTED_VALUE"""),"")</f>
        <v/>
      </c>
      <c r="AA69" s="89" t="str">
        <f>IFERROR(__xludf.DUMMYFUNCTION("""COMPUTED_VALUE"""),"")</f>
        <v/>
      </c>
      <c r="AB69" s="84" t="str">
        <f>IFERROR(__xludf.DUMMYFUNCTION("""COMPUTED_VALUE"""),"")</f>
        <v/>
      </c>
      <c r="AC69" s="84" t="str">
        <f>IFERROR(__xludf.DUMMYFUNCTION("""COMPUTED_VALUE"""),"")</f>
        <v/>
      </c>
      <c r="AD69" s="89" t="str">
        <f>IFERROR(__xludf.DUMMYFUNCTION("""COMPUTED_VALUE"""),"")</f>
        <v/>
      </c>
      <c r="AE69" s="89" t="str">
        <f>IFERROR(__xludf.DUMMYFUNCTION("""COMPUTED_VALUE"""),"")</f>
        <v/>
      </c>
      <c r="AF69" s="84" t="str">
        <f>IFERROR(__xludf.DUMMYFUNCTION("""COMPUTED_VALUE"""),"")</f>
        <v/>
      </c>
      <c r="AG69" s="89">
        <f>IFERROR(__xludf.DUMMYFUNCTION("""COMPUTED_VALUE"""),9.0)</f>
        <v>9</v>
      </c>
      <c r="AH69" s="89" t="str">
        <f>IFERROR(__xludf.DUMMYFUNCTION("""COMPUTED_VALUE"""),"")</f>
        <v/>
      </c>
      <c r="AI69" s="84" t="str">
        <f>IFERROR(__xludf.DUMMYFUNCTION("""COMPUTED_VALUE"""),"")</f>
        <v/>
      </c>
      <c r="AJ69" s="89" t="str">
        <f>IFERROR(__xludf.DUMMYFUNCTION("""COMPUTED_VALUE"""),"")</f>
        <v/>
      </c>
      <c r="AK69" s="84">
        <f>IFERROR(__xludf.DUMMYFUNCTION("""COMPUTED_VALUE"""),0.0)</f>
        <v>0</v>
      </c>
    </row>
    <row r="70" ht="39.75" customHeight="1">
      <c r="A70" s="84" t="str">
        <f t="shared" si="1"/>
        <v/>
      </c>
      <c r="B70" s="82" t="s">
        <v>173</v>
      </c>
      <c r="C70" s="85" t="s">
        <v>174</v>
      </c>
      <c r="D70" s="85">
        <f t="shared" si="2"/>
        <v>35</v>
      </c>
      <c r="E70" s="82" t="s">
        <v>142</v>
      </c>
      <c r="F70" s="86">
        <f t="shared" si="3"/>
        <v>0.35</v>
      </c>
      <c r="G70" s="87">
        <f t="shared" si="4"/>
        <v>4109</v>
      </c>
      <c r="H70" s="83">
        <v>5547.0</v>
      </c>
      <c r="I70" s="82" t="str">
        <f t="shared" si="5"/>
        <v>萌綠大豆,16,純粹油,12,放鬆可可,7</v>
      </c>
      <c r="J70" s="84" t="s">
        <v>2</v>
      </c>
      <c r="K70" s="82">
        <v>16.0</v>
      </c>
      <c r="L70" s="84" t="s">
        <v>8</v>
      </c>
      <c r="M70" s="82">
        <v>12.0</v>
      </c>
      <c r="N70" s="84" t="s">
        <v>12</v>
      </c>
      <c r="O70" s="82">
        <v>7.0</v>
      </c>
      <c r="P70" s="84"/>
      <c r="Q70" s="85"/>
      <c r="R70" s="88" t="str">
        <f>IFERROR(__xludf.DUMMYFUNCTION("BYCOL($R$2:$AK$2, LAMBDA(header, IFERROR(SUM(FILTER(K70:Q70, J70:P70=header)), """")))
"),"")</f>
        <v/>
      </c>
      <c r="S70" s="89" t="str">
        <f>IFERROR(__xludf.DUMMYFUNCTION("""COMPUTED_VALUE"""),"")</f>
        <v/>
      </c>
      <c r="T70" s="89">
        <f>IFERROR(__xludf.DUMMYFUNCTION("""COMPUTED_VALUE"""),16.0)</f>
        <v>16</v>
      </c>
      <c r="U70" s="89" t="str">
        <f>IFERROR(__xludf.DUMMYFUNCTION("""COMPUTED_VALUE"""),"")</f>
        <v/>
      </c>
      <c r="V70" s="84" t="str">
        <f>IFERROR(__xludf.DUMMYFUNCTION("""COMPUTED_VALUE"""),"")</f>
        <v/>
      </c>
      <c r="W70" s="84" t="str">
        <f>IFERROR(__xludf.DUMMYFUNCTION("""COMPUTED_VALUE"""),"")</f>
        <v/>
      </c>
      <c r="X70" s="89" t="str">
        <f>IFERROR(__xludf.DUMMYFUNCTION("""COMPUTED_VALUE"""),"")</f>
        <v/>
      </c>
      <c r="Y70" s="89" t="str">
        <f>IFERROR(__xludf.DUMMYFUNCTION("""COMPUTED_VALUE"""),"")</f>
        <v/>
      </c>
      <c r="Z70" s="89">
        <f>IFERROR(__xludf.DUMMYFUNCTION("""COMPUTED_VALUE"""),12.0)</f>
        <v>12</v>
      </c>
      <c r="AA70" s="89" t="str">
        <f>IFERROR(__xludf.DUMMYFUNCTION("""COMPUTED_VALUE"""),"")</f>
        <v/>
      </c>
      <c r="AB70" s="84" t="str">
        <f>IFERROR(__xludf.DUMMYFUNCTION("""COMPUTED_VALUE"""),"")</f>
        <v/>
      </c>
      <c r="AC70" s="84" t="str">
        <f>IFERROR(__xludf.DUMMYFUNCTION("""COMPUTED_VALUE"""),"")</f>
        <v/>
      </c>
      <c r="AD70" s="89">
        <f>IFERROR(__xludf.DUMMYFUNCTION("""COMPUTED_VALUE"""),7.0)</f>
        <v>7</v>
      </c>
      <c r="AE70" s="89" t="str">
        <f>IFERROR(__xludf.DUMMYFUNCTION("""COMPUTED_VALUE"""),"")</f>
        <v/>
      </c>
      <c r="AF70" s="84" t="str">
        <f>IFERROR(__xludf.DUMMYFUNCTION("""COMPUTED_VALUE"""),"")</f>
        <v/>
      </c>
      <c r="AG70" s="89" t="str">
        <f>IFERROR(__xludf.DUMMYFUNCTION("""COMPUTED_VALUE"""),"")</f>
        <v/>
      </c>
      <c r="AH70" s="89" t="str">
        <f>IFERROR(__xludf.DUMMYFUNCTION("""COMPUTED_VALUE"""),"")</f>
        <v/>
      </c>
      <c r="AI70" s="84" t="str">
        <f>IFERROR(__xludf.DUMMYFUNCTION("""COMPUTED_VALUE"""),"")</f>
        <v/>
      </c>
      <c r="AJ70" s="89" t="str">
        <f>IFERROR(__xludf.DUMMYFUNCTION("""COMPUTED_VALUE"""),"")</f>
        <v/>
      </c>
      <c r="AK70" s="84">
        <f>IFERROR(__xludf.DUMMYFUNCTION("""COMPUTED_VALUE"""),0.0)</f>
        <v>0</v>
      </c>
    </row>
    <row r="71" ht="39.75" customHeight="1">
      <c r="A71" s="84" t="str">
        <f t="shared" si="1"/>
        <v/>
      </c>
      <c r="B71" s="82" t="s">
        <v>175</v>
      </c>
      <c r="C71" s="85" t="s">
        <v>176</v>
      </c>
      <c r="D71" s="85">
        <f t="shared" si="2"/>
        <v>36</v>
      </c>
      <c r="E71" s="82" t="s">
        <v>142</v>
      </c>
      <c r="F71" s="86">
        <f t="shared" si="3"/>
        <v>0.35</v>
      </c>
      <c r="G71" s="87">
        <f t="shared" si="4"/>
        <v>4480</v>
      </c>
      <c r="H71" s="83">
        <v>6048.0</v>
      </c>
      <c r="I71" s="82" t="str">
        <f t="shared" si="5"/>
        <v>萌綠玉米,15,純粹油,14,哞哞鮮奶,7</v>
      </c>
      <c r="J71" s="84" t="s">
        <v>11</v>
      </c>
      <c r="K71" s="82">
        <v>15.0</v>
      </c>
      <c r="L71" s="84" t="s">
        <v>8</v>
      </c>
      <c r="M71" s="82">
        <v>14.0</v>
      </c>
      <c r="N71" s="84" t="s">
        <v>1</v>
      </c>
      <c r="O71" s="82">
        <v>7.0</v>
      </c>
      <c r="P71" s="84"/>
      <c r="Q71" s="82"/>
      <c r="R71" s="88" t="str">
        <f>IFERROR(__xludf.DUMMYFUNCTION("BYCOL($R$2:$AK$2, LAMBDA(header, IFERROR(SUM(FILTER(K71:Q71, J71:P71=header)), """")))
"),"")</f>
        <v/>
      </c>
      <c r="S71" s="89">
        <f>IFERROR(__xludf.DUMMYFUNCTION("""COMPUTED_VALUE"""),7.0)</f>
        <v>7</v>
      </c>
      <c r="T71" s="89" t="str">
        <f>IFERROR(__xludf.DUMMYFUNCTION("""COMPUTED_VALUE"""),"")</f>
        <v/>
      </c>
      <c r="U71" s="89" t="str">
        <f>IFERROR(__xludf.DUMMYFUNCTION("""COMPUTED_VALUE"""),"")</f>
        <v/>
      </c>
      <c r="V71" s="84" t="str">
        <f>IFERROR(__xludf.DUMMYFUNCTION("""COMPUTED_VALUE"""),"")</f>
        <v/>
      </c>
      <c r="W71" s="84" t="str">
        <f>IFERROR(__xludf.DUMMYFUNCTION("""COMPUTED_VALUE"""),"")</f>
        <v/>
      </c>
      <c r="X71" s="89" t="str">
        <f>IFERROR(__xludf.DUMMYFUNCTION("""COMPUTED_VALUE"""),"")</f>
        <v/>
      </c>
      <c r="Y71" s="89" t="str">
        <f>IFERROR(__xludf.DUMMYFUNCTION("""COMPUTED_VALUE"""),"")</f>
        <v/>
      </c>
      <c r="Z71" s="89">
        <f>IFERROR(__xludf.DUMMYFUNCTION("""COMPUTED_VALUE"""),14.0)</f>
        <v>14</v>
      </c>
      <c r="AA71" s="89" t="str">
        <f>IFERROR(__xludf.DUMMYFUNCTION("""COMPUTED_VALUE"""),"")</f>
        <v/>
      </c>
      <c r="AB71" s="84" t="str">
        <f>IFERROR(__xludf.DUMMYFUNCTION("""COMPUTED_VALUE"""),"")</f>
        <v/>
      </c>
      <c r="AC71" s="84">
        <f>IFERROR(__xludf.DUMMYFUNCTION("""COMPUTED_VALUE"""),15.0)</f>
        <v>15</v>
      </c>
      <c r="AD71" s="89" t="str">
        <f>IFERROR(__xludf.DUMMYFUNCTION("""COMPUTED_VALUE"""),"")</f>
        <v/>
      </c>
      <c r="AE71" s="89" t="str">
        <f>IFERROR(__xludf.DUMMYFUNCTION("""COMPUTED_VALUE"""),"")</f>
        <v/>
      </c>
      <c r="AF71" s="84" t="str">
        <f>IFERROR(__xludf.DUMMYFUNCTION("""COMPUTED_VALUE"""),"")</f>
        <v/>
      </c>
      <c r="AG71" s="89" t="str">
        <f>IFERROR(__xludf.DUMMYFUNCTION("""COMPUTED_VALUE"""),"")</f>
        <v/>
      </c>
      <c r="AH71" s="89" t="str">
        <f>IFERROR(__xludf.DUMMYFUNCTION("""COMPUTED_VALUE"""),"")</f>
        <v/>
      </c>
      <c r="AI71" s="84" t="str">
        <f>IFERROR(__xludf.DUMMYFUNCTION("""COMPUTED_VALUE"""),"")</f>
        <v/>
      </c>
      <c r="AJ71" s="89" t="str">
        <f>IFERROR(__xludf.DUMMYFUNCTION("""COMPUTED_VALUE"""),"")</f>
        <v/>
      </c>
      <c r="AK71" s="84">
        <f>IFERROR(__xludf.DUMMYFUNCTION("""COMPUTED_VALUE"""),0.0)</f>
        <v>0</v>
      </c>
    </row>
    <row r="72" ht="39.75" customHeight="1">
      <c r="A72" s="84" t="str">
        <f t="shared" si="1"/>
        <v/>
      </c>
      <c r="B72" s="82" t="s">
        <v>177</v>
      </c>
      <c r="C72" s="85" t="s">
        <v>178</v>
      </c>
      <c r="D72" s="85">
        <f t="shared" si="2"/>
        <v>42</v>
      </c>
      <c r="E72" s="82" t="s">
        <v>142</v>
      </c>
      <c r="F72" s="86">
        <f t="shared" si="3"/>
        <v>0.35</v>
      </c>
      <c r="G72" s="87">
        <f t="shared" si="4"/>
        <v>5032</v>
      </c>
      <c r="H72" s="83">
        <v>6793.0</v>
      </c>
      <c r="I72" s="82" t="str">
        <f t="shared" si="5"/>
        <v>醒腦咖啡豆,16,哞哞鮮奶,14,甜甜蜜,12</v>
      </c>
      <c r="J72" s="84" t="s">
        <v>13</v>
      </c>
      <c r="K72" s="82">
        <v>16.0</v>
      </c>
      <c r="L72" s="84" t="s">
        <v>1</v>
      </c>
      <c r="M72" s="82">
        <v>14.0</v>
      </c>
      <c r="N72" s="84" t="s">
        <v>3</v>
      </c>
      <c r="O72" s="82">
        <v>12.0</v>
      </c>
      <c r="P72" s="84"/>
      <c r="Q72" s="82"/>
      <c r="R72" s="88" t="str">
        <f>IFERROR(__xludf.DUMMYFUNCTION("BYCOL($R$2:$AK$2, LAMBDA(header, IFERROR(SUM(FILTER(K72:Q72, J72:P72=header)), """")))
"),"")</f>
        <v/>
      </c>
      <c r="S72" s="89">
        <f>IFERROR(__xludf.DUMMYFUNCTION("""COMPUTED_VALUE"""),14.0)</f>
        <v>14</v>
      </c>
      <c r="T72" s="89" t="str">
        <f>IFERROR(__xludf.DUMMYFUNCTION("""COMPUTED_VALUE"""),"")</f>
        <v/>
      </c>
      <c r="U72" s="89">
        <f>IFERROR(__xludf.DUMMYFUNCTION("""COMPUTED_VALUE"""),12.0)</f>
        <v>12</v>
      </c>
      <c r="V72" s="84" t="str">
        <f>IFERROR(__xludf.DUMMYFUNCTION("""COMPUTED_VALUE"""),"")</f>
        <v/>
      </c>
      <c r="W72" s="84" t="str">
        <f>IFERROR(__xludf.DUMMYFUNCTION("""COMPUTED_VALUE"""),"")</f>
        <v/>
      </c>
      <c r="X72" s="89" t="str">
        <f>IFERROR(__xludf.DUMMYFUNCTION("""COMPUTED_VALUE"""),"")</f>
        <v/>
      </c>
      <c r="Y72" s="89" t="str">
        <f>IFERROR(__xludf.DUMMYFUNCTION("""COMPUTED_VALUE"""),"")</f>
        <v/>
      </c>
      <c r="Z72" s="89" t="str">
        <f>IFERROR(__xludf.DUMMYFUNCTION("""COMPUTED_VALUE"""),"")</f>
        <v/>
      </c>
      <c r="AA72" s="89" t="str">
        <f>IFERROR(__xludf.DUMMYFUNCTION("""COMPUTED_VALUE"""),"")</f>
        <v/>
      </c>
      <c r="AB72" s="84" t="str">
        <f>IFERROR(__xludf.DUMMYFUNCTION("""COMPUTED_VALUE"""),"")</f>
        <v/>
      </c>
      <c r="AC72" s="84" t="str">
        <f>IFERROR(__xludf.DUMMYFUNCTION("""COMPUTED_VALUE"""),"")</f>
        <v/>
      </c>
      <c r="AD72" s="89" t="str">
        <f>IFERROR(__xludf.DUMMYFUNCTION("""COMPUTED_VALUE"""),"")</f>
        <v/>
      </c>
      <c r="AE72" s="89">
        <f>IFERROR(__xludf.DUMMYFUNCTION("""COMPUTED_VALUE"""),16.0)</f>
        <v>16</v>
      </c>
      <c r="AF72" s="84" t="str">
        <f>IFERROR(__xludf.DUMMYFUNCTION("""COMPUTED_VALUE"""),"")</f>
        <v/>
      </c>
      <c r="AG72" s="89" t="str">
        <f>IFERROR(__xludf.DUMMYFUNCTION("""COMPUTED_VALUE"""),"")</f>
        <v/>
      </c>
      <c r="AH72" s="89" t="str">
        <f>IFERROR(__xludf.DUMMYFUNCTION("""COMPUTED_VALUE"""),"")</f>
        <v/>
      </c>
      <c r="AI72" s="84" t="str">
        <f>IFERROR(__xludf.DUMMYFUNCTION("""COMPUTED_VALUE"""),"")</f>
        <v/>
      </c>
      <c r="AJ72" s="89" t="str">
        <f>IFERROR(__xludf.DUMMYFUNCTION("""COMPUTED_VALUE"""),"")</f>
        <v/>
      </c>
      <c r="AK72" s="84">
        <f>IFERROR(__xludf.DUMMYFUNCTION("""COMPUTED_VALUE"""),0.0)</f>
        <v>0</v>
      </c>
    </row>
    <row r="73" ht="39.75" customHeight="1">
      <c r="A73" s="84" t="str">
        <f t="shared" si="1"/>
        <v/>
      </c>
      <c r="B73" s="82" t="s">
        <v>179</v>
      </c>
      <c r="C73" s="85" t="s">
        <v>180</v>
      </c>
      <c r="D73" s="85">
        <f t="shared" si="2"/>
        <v>40</v>
      </c>
      <c r="E73" s="82" t="s">
        <v>142</v>
      </c>
      <c r="F73" s="86">
        <f t="shared" si="3"/>
        <v>0.35</v>
      </c>
      <c r="G73" s="87">
        <f t="shared" si="4"/>
        <v>5278</v>
      </c>
      <c r="H73" s="83">
        <v>7125.0</v>
      </c>
      <c r="I73" s="82" t="str">
        <f t="shared" si="5"/>
        <v>萌綠玉米,14,醒腦咖啡豆,14,哞哞鮮奶,12</v>
      </c>
      <c r="J73" s="84" t="s">
        <v>11</v>
      </c>
      <c r="K73" s="82">
        <v>14.0</v>
      </c>
      <c r="L73" s="84" t="s">
        <v>13</v>
      </c>
      <c r="M73" s="82">
        <v>14.0</v>
      </c>
      <c r="N73" s="84" t="s">
        <v>1</v>
      </c>
      <c r="O73" s="82">
        <v>12.0</v>
      </c>
      <c r="P73" s="84"/>
      <c r="Q73" s="82"/>
      <c r="R73" s="88" t="str">
        <f>IFERROR(__xludf.DUMMYFUNCTION("BYCOL($R$2:$AK$2, LAMBDA(header, IFERROR(SUM(FILTER(K73:Q73, J73:P73=header)), """")))
"),"")</f>
        <v/>
      </c>
      <c r="S73" s="89">
        <f>IFERROR(__xludf.DUMMYFUNCTION("""COMPUTED_VALUE"""),12.0)</f>
        <v>12</v>
      </c>
      <c r="T73" s="89" t="str">
        <f>IFERROR(__xludf.DUMMYFUNCTION("""COMPUTED_VALUE"""),"")</f>
        <v/>
      </c>
      <c r="U73" s="89" t="str">
        <f>IFERROR(__xludf.DUMMYFUNCTION("""COMPUTED_VALUE"""),"")</f>
        <v/>
      </c>
      <c r="V73" s="84" t="str">
        <f>IFERROR(__xludf.DUMMYFUNCTION("""COMPUTED_VALUE"""),"")</f>
        <v/>
      </c>
      <c r="W73" s="84" t="str">
        <f>IFERROR(__xludf.DUMMYFUNCTION("""COMPUTED_VALUE"""),"")</f>
        <v/>
      </c>
      <c r="X73" s="89" t="str">
        <f>IFERROR(__xludf.DUMMYFUNCTION("""COMPUTED_VALUE"""),"")</f>
        <v/>
      </c>
      <c r="Y73" s="89" t="str">
        <f>IFERROR(__xludf.DUMMYFUNCTION("""COMPUTED_VALUE"""),"")</f>
        <v/>
      </c>
      <c r="Z73" s="89" t="str">
        <f>IFERROR(__xludf.DUMMYFUNCTION("""COMPUTED_VALUE"""),"")</f>
        <v/>
      </c>
      <c r="AA73" s="89" t="str">
        <f>IFERROR(__xludf.DUMMYFUNCTION("""COMPUTED_VALUE"""),"")</f>
        <v/>
      </c>
      <c r="AB73" s="84" t="str">
        <f>IFERROR(__xludf.DUMMYFUNCTION("""COMPUTED_VALUE"""),"")</f>
        <v/>
      </c>
      <c r="AC73" s="84">
        <f>IFERROR(__xludf.DUMMYFUNCTION("""COMPUTED_VALUE"""),14.0)</f>
        <v>14</v>
      </c>
      <c r="AD73" s="89" t="str">
        <f>IFERROR(__xludf.DUMMYFUNCTION("""COMPUTED_VALUE"""),"")</f>
        <v/>
      </c>
      <c r="AE73" s="89">
        <f>IFERROR(__xludf.DUMMYFUNCTION("""COMPUTED_VALUE"""),14.0)</f>
        <v>14</v>
      </c>
      <c r="AF73" s="84" t="str">
        <f>IFERROR(__xludf.DUMMYFUNCTION("""COMPUTED_VALUE"""),"")</f>
        <v/>
      </c>
      <c r="AG73" s="89" t="str">
        <f>IFERROR(__xludf.DUMMYFUNCTION("""COMPUTED_VALUE"""),"")</f>
        <v/>
      </c>
      <c r="AH73" s="89" t="str">
        <f>IFERROR(__xludf.DUMMYFUNCTION("""COMPUTED_VALUE"""),"")</f>
        <v/>
      </c>
      <c r="AI73" s="84" t="str">
        <f>IFERROR(__xludf.DUMMYFUNCTION("""COMPUTED_VALUE"""),"")</f>
        <v/>
      </c>
      <c r="AJ73" s="89" t="str">
        <f>IFERROR(__xludf.DUMMYFUNCTION("""COMPUTED_VALUE"""),"")</f>
        <v/>
      </c>
      <c r="AK73" s="84">
        <f>IFERROR(__xludf.DUMMYFUNCTION("""COMPUTED_VALUE"""),0.0)</f>
        <v>0</v>
      </c>
    </row>
    <row r="74" ht="39.75" customHeight="1">
      <c r="A74" s="84" t="str">
        <f t="shared" si="1"/>
        <v/>
      </c>
      <c r="B74" s="82" t="s">
        <v>181</v>
      </c>
      <c r="C74" s="85" t="s">
        <v>182</v>
      </c>
      <c r="D74" s="85">
        <f t="shared" si="2"/>
        <v>55</v>
      </c>
      <c r="E74" s="82" t="s">
        <v>142</v>
      </c>
      <c r="F74" s="86">
        <f t="shared" si="3"/>
        <v>0.35</v>
      </c>
      <c r="G74" s="87">
        <f t="shared" si="4"/>
        <v>5625</v>
      </c>
      <c r="H74" s="83">
        <v>7594.0</v>
      </c>
      <c r="I74" s="82" t="str">
        <f t="shared" si="5"/>
        <v>甜甜蜜,20,特選蛋,15,特選蘋果,10,哞哞鮮奶,10</v>
      </c>
      <c r="J74" s="84" t="s">
        <v>3</v>
      </c>
      <c r="K74" s="82">
        <v>20.0</v>
      </c>
      <c r="L74" s="84" t="s">
        <v>7</v>
      </c>
      <c r="M74" s="82">
        <v>15.0</v>
      </c>
      <c r="N74" s="84" t="s">
        <v>0</v>
      </c>
      <c r="O74" s="82">
        <v>10.0</v>
      </c>
      <c r="P74" s="84" t="s">
        <v>1</v>
      </c>
      <c r="Q74" s="82">
        <v>10.0</v>
      </c>
      <c r="R74" s="88">
        <f>IFERROR(__xludf.DUMMYFUNCTION("BYCOL($R$2:$AK$2, LAMBDA(header, IFERROR(SUM(FILTER(K74:Q74, J74:P74=header)), """")))
"),10.0)</f>
        <v>10</v>
      </c>
      <c r="S74" s="89">
        <f>IFERROR(__xludf.DUMMYFUNCTION("""COMPUTED_VALUE"""),10.0)</f>
        <v>10</v>
      </c>
      <c r="T74" s="89" t="str">
        <f>IFERROR(__xludf.DUMMYFUNCTION("""COMPUTED_VALUE"""),"")</f>
        <v/>
      </c>
      <c r="U74" s="89">
        <f>IFERROR(__xludf.DUMMYFUNCTION("""COMPUTED_VALUE"""),20.0)</f>
        <v>20</v>
      </c>
      <c r="V74" s="84" t="str">
        <f>IFERROR(__xludf.DUMMYFUNCTION("""COMPUTED_VALUE"""),"")</f>
        <v/>
      </c>
      <c r="W74" s="84" t="str">
        <f>IFERROR(__xludf.DUMMYFUNCTION("""COMPUTED_VALUE"""),"")</f>
        <v/>
      </c>
      <c r="X74" s="89" t="str">
        <f>IFERROR(__xludf.DUMMYFUNCTION("""COMPUTED_VALUE"""),"")</f>
        <v/>
      </c>
      <c r="Y74" s="89">
        <f>IFERROR(__xludf.DUMMYFUNCTION("""COMPUTED_VALUE"""),15.0)</f>
        <v>15</v>
      </c>
      <c r="Z74" s="89" t="str">
        <f>IFERROR(__xludf.DUMMYFUNCTION("""COMPUTED_VALUE"""),"")</f>
        <v/>
      </c>
      <c r="AA74" s="89" t="str">
        <f>IFERROR(__xludf.DUMMYFUNCTION("""COMPUTED_VALUE"""),"")</f>
        <v/>
      </c>
      <c r="AB74" s="84" t="str">
        <f>IFERROR(__xludf.DUMMYFUNCTION("""COMPUTED_VALUE"""),"")</f>
        <v/>
      </c>
      <c r="AC74" s="84" t="str">
        <f>IFERROR(__xludf.DUMMYFUNCTION("""COMPUTED_VALUE"""),"")</f>
        <v/>
      </c>
      <c r="AD74" s="89" t="str">
        <f>IFERROR(__xludf.DUMMYFUNCTION("""COMPUTED_VALUE"""),"")</f>
        <v/>
      </c>
      <c r="AE74" s="89" t="str">
        <f>IFERROR(__xludf.DUMMYFUNCTION("""COMPUTED_VALUE"""),"")</f>
        <v/>
      </c>
      <c r="AF74" s="84" t="str">
        <f>IFERROR(__xludf.DUMMYFUNCTION("""COMPUTED_VALUE"""),"")</f>
        <v/>
      </c>
      <c r="AG74" s="89" t="str">
        <f>IFERROR(__xludf.DUMMYFUNCTION("""COMPUTED_VALUE"""),"")</f>
        <v/>
      </c>
      <c r="AH74" s="89" t="str">
        <f>IFERROR(__xludf.DUMMYFUNCTION("""COMPUTED_VALUE"""),"")</f>
        <v/>
      </c>
      <c r="AI74" s="84" t="str">
        <f>IFERROR(__xludf.DUMMYFUNCTION("""COMPUTED_VALUE"""),"")</f>
        <v/>
      </c>
      <c r="AJ74" s="89" t="str">
        <f>IFERROR(__xludf.DUMMYFUNCTION("""COMPUTED_VALUE"""),"")</f>
        <v/>
      </c>
      <c r="AK74" s="84" t="str">
        <f>IFERROR(__xludf.DUMMYFUNCTION("""COMPUTED_VALUE"""),"")</f>
        <v/>
      </c>
    </row>
    <row r="75" ht="39.75" customHeight="1">
      <c r="A75" s="84" t="str">
        <f t="shared" si="1"/>
        <v/>
      </c>
      <c r="B75" s="82" t="s">
        <v>183</v>
      </c>
      <c r="C75" s="82" t="s">
        <v>184</v>
      </c>
      <c r="D75" s="85">
        <f t="shared" si="2"/>
        <v>48</v>
      </c>
      <c r="E75" s="82" t="s">
        <v>142</v>
      </c>
      <c r="F75" s="86">
        <f t="shared" si="3"/>
        <v>0.35</v>
      </c>
      <c r="G75" s="87">
        <f t="shared" si="4"/>
        <v>6048</v>
      </c>
      <c r="H75" s="83">
        <v>8165.0</v>
      </c>
      <c r="I75" s="82" t="str">
        <f t="shared" si="5"/>
        <v>嫩亮酪梨,18,好眠番茄,16,哞哞鮮奶,14</v>
      </c>
      <c r="J75" s="84" t="s">
        <v>14</v>
      </c>
      <c r="K75" s="82">
        <v>18.0</v>
      </c>
      <c r="L75" s="84" t="s">
        <v>6</v>
      </c>
      <c r="M75" s="82">
        <v>16.0</v>
      </c>
      <c r="N75" s="84" t="s">
        <v>1</v>
      </c>
      <c r="O75" s="82">
        <v>14.0</v>
      </c>
      <c r="P75" s="84"/>
      <c r="Q75" s="85"/>
      <c r="R75" s="88"/>
      <c r="S75" s="84">
        <v>14.0</v>
      </c>
      <c r="T75" s="89"/>
      <c r="U75" s="89"/>
      <c r="V75" s="84"/>
      <c r="W75" s="84"/>
      <c r="X75" s="84">
        <v>16.0</v>
      </c>
      <c r="Y75" s="89"/>
      <c r="Z75" s="89"/>
      <c r="AA75" s="89"/>
      <c r="AB75" s="84"/>
      <c r="AC75" s="84"/>
      <c r="AD75" s="89"/>
      <c r="AE75" s="89"/>
      <c r="AF75" s="84">
        <v>18.0</v>
      </c>
      <c r="AG75" s="89"/>
      <c r="AH75" s="89"/>
      <c r="AI75" s="84"/>
      <c r="AJ75" s="89"/>
      <c r="AK75" s="84"/>
    </row>
    <row r="76" ht="39.75" customHeight="1">
      <c r="A76" s="84" t="str">
        <f t="shared" si="1"/>
        <v/>
      </c>
      <c r="B76" s="82" t="s">
        <v>185</v>
      </c>
      <c r="C76" s="85" t="s">
        <v>186</v>
      </c>
      <c r="D76" s="85">
        <f t="shared" si="2"/>
        <v>67</v>
      </c>
      <c r="E76" s="82" t="s">
        <v>142</v>
      </c>
      <c r="F76" s="86">
        <f t="shared" si="3"/>
        <v>0.48</v>
      </c>
      <c r="G76" s="87">
        <f t="shared" si="4"/>
        <v>7382</v>
      </c>
      <c r="H76" s="83">
        <v>10925.0</v>
      </c>
      <c r="I76" s="82" t="str">
        <f t="shared" si="5"/>
        <v>特選蘋果,20,暖暖薑,20,萌綠玉米,18,哞哞鮮奶,9</v>
      </c>
      <c r="J76" s="84" t="s">
        <v>0</v>
      </c>
      <c r="K76" s="82">
        <v>20.0</v>
      </c>
      <c r="L76" s="84" t="s">
        <v>5</v>
      </c>
      <c r="M76" s="82">
        <v>20.0</v>
      </c>
      <c r="N76" s="84" t="s">
        <v>11</v>
      </c>
      <c r="O76" s="82">
        <v>18.0</v>
      </c>
      <c r="P76" s="84" t="s">
        <v>1</v>
      </c>
      <c r="Q76" s="82">
        <v>9.0</v>
      </c>
      <c r="R76" s="88">
        <f>IFERROR(__xludf.DUMMYFUNCTION("BYCOL($R$2:$AK$2, LAMBDA(header, IFERROR(SUM(FILTER(K76:Q76, J76:P76=header)), """")))
"),20.0)</f>
        <v>20</v>
      </c>
      <c r="S76" s="89">
        <f>IFERROR(__xludf.DUMMYFUNCTION("""COMPUTED_VALUE"""),9.0)</f>
        <v>9</v>
      </c>
      <c r="T76" s="89" t="str">
        <f>IFERROR(__xludf.DUMMYFUNCTION("""COMPUTED_VALUE"""),"")</f>
        <v/>
      </c>
      <c r="U76" s="89" t="str">
        <f>IFERROR(__xludf.DUMMYFUNCTION("""COMPUTED_VALUE"""),"")</f>
        <v/>
      </c>
      <c r="V76" s="84" t="str">
        <f>IFERROR(__xludf.DUMMYFUNCTION("""COMPUTED_VALUE"""),"")</f>
        <v/>
      </c>
      <c r="W76" s="84">
        <f>IFERROR(__xludf.DUMMYFUNCTION("""COMPUTED_VALUE"""),20.0)</f>
        <v>20</v>
      </c>
      <c r="X76" s="89" t="str">
        <f>IFERROR(__xludf.DUMMYFUNCTION("""COMPUTED_VALUE"""),"")</f>
        <v/>
      </c>
      <c r="Y76" s="89" t="str">
        <f>IFERROR(__xludf.DUMMYFUNCTION("""COMPUTED_VALUE"""),"")</f>
        <v/>
      </c>
      <c r="Z76" s="89" t="str">
        <f>IFERROR(__xludf.DUMMYFUNCTION("""COMPUTED_VALUE"""),"")</f>
        <v/>
      </c>
      <c r="AA76" s="89" t="str">
        <f>IFERROR(__xludf.DUMMYFUNCTION("""COMPUTED_VALUE"""),"")</f>
        <v/>
      </c>
      <c r="AB76" s="84" t="str">
        <f>IFERROR(__xludf.DUMMYFUNCTION("""COMPUTED_VALUE"""),"")</f>
        <v/>
      </c>
      <c r="AC76" s="84">
        <f>IFERROR(__xludf.DUMMYFUNCTION("""COMPUTED_VALUE"""),18.0)</f>
        <v>18</v>
      </c>
      <c r="AD76" s="89" t="str">
        <f>IFERROR(__xludf.DUMMYFUNCTION("""COMPUTED_VALUE"""),"")</f>
        <v/>
      </c>
      <c r="AE76" s="89" t="str">
        <f>IFERROR(__xludf.DUMMYFUNCTION("""COMPUTED_VALUE"""),"")</f>
        <v/>
      </c>
      <c r="AF76" s="84" t="str">
        <f>IFERROR(__xludf.DUMMYFUNCTION("""COMPUTED_VALUE"""),"")</f>
        <v/>
      </c>
      <c r="AG76" s="89" t="str">
        <f>IFERROR(__xludf.DUMMYFUNCTION("""COMPUTED_VALUE"""),"")</f>
        <v/>
      </c>
      <c r="AH76" s="89" t="str">
        <f>IFERROR(__xludf.DUMMYFUNCTION("""COMPUTED_VALUE"""),"")</f>
        <v/>
      </c>
      <c r="AI76" s="84" t="str">
        <f>IFERROR(__xludf.DUMMYFUNCTION("""COMPUTED_VALUE"""),"")</f>
        <v/>
      </c>
      <c r="AJ76" s="89" t="str">
        <f>IFERROR(__xludf.DUMMYFUNCTION("""COMPUTED_VALUE"""),"")</f>
        <v/>
      </c>
      <c r="AK76" s="84" t="str">
        <f>IFERROR(__xludf.DUMMYFUNCTION("""COMPUTED_VALUE"""),"")</f>
        <v/>
      </c>
    </row>
    <row r="77" ht="39.75" customHeight="1">
      <c r="A77" s="84" t="str">
        <f t="shared" si="1"/>
        <v/>
      </c>
      <c r="B77" s="82" t="s">
        <v>187</v>
      </c>
      <c r="C77" s="85" t="s">
        <v>188</v>
      </c>
      <c r="D77" s="85">
        <f t="shared" si="2"/>
        <v>77</v>
      </c>
      <c r="E77" s="82" t="s">
        <v>142</v>
      </c>
      <c r="F77" s="86">
        <f t="shared" si="3"/>
        <v>0.48</v>
      </c>
      <c r="G77" s="87">
        <f t="shared" si="4"/>
        <v>9347</v>
      </c>
      <c r="H77" s="83">
        <v>13834.0</v>
      </c>
      <c r="I77" s="82" t="str">
        <f t="shared" si="5"/>
        <v>放鬆可可,25,特選蛋,25,甜甜蜜,17,哞哞鮮奶,10</v>
      </c>
      <c r="J77" s="84" t="s">
        <v>12</v>
      </c>
      <c r="K77" s="82">
        <v>25.0</v>
      </c>
      <c r="L77" s="84" t="s">
        <v>7</v>
      </c>
      <c r="M77" s="82">
        <v>25.0</v>
      </c>
      <c r="N77" s="84" t="s">
        <v>3</v>
      </c>
      <c r="O77" s="82">
        <v>17.0</v>
      </c>
      <c r="P77" s="84" t="s">
        <v>1</v>
      </c>
      <c r="Q77" s="82">
        <v>10.0</v>
      </c>
      <c r="R77" s="88" t="str">
        <f>IFERROR(__xludf.DUMMYFUNCTION("BYCOL($R$2:$AK$2, LAMBDA(header, IFERROR(SUM(FILTER(K77:Q77, J77:P77=header)), """")))
"),"")</f>
        <v/>
      </c>
      <c r="S77" s="89">
        <f>IFERROR(__xludf.DUMMYFUNCTION("""COMPUTED_VALUE"""),10.0)</f>
        <v>10</v>
      </c>
      <c r="T77" s="89" t="str">
        <f>IFERROR(__xludf.DUMMYFUNCTION("""COMPUTED_VALUE"""),"")</f>
        <v/>
      </c>
      <c r="U77" s="89">
        <f>IFERROR(__xludf.DUMMYFUNCTION("""COMPUTED_VALUE"""),17.0)</f>
        <v>17</v>
      </c>
      <c r="V77" s="84" t="str">
        <f>IFERROR(__xludf.DUMMYFUNCTION("""COMPUTED_VALUE"""),"")</f>
        <v/>
      </c>
      <c r="W77" s="84" t="str">
        <f>IFERROR(__xludf.DUMMYFUNCTION("""COMPUTED_VALUE"""),"")</f>
        <v/>
      </c>
      <c r="X77" s="89" t="str">
        <f>IFERROR(__xludf.DUMMYFUNCTION("""COMPUTED_VALUE"""),"")</f>
        <v/>
      </c>
      <c r="Y77" s="89">
        <f>IFERROR(__xludf.DUMMYFUNCTION("""COMPUTED_VALUE"""),25.0)</f>
        <v>25</v>
      </c>
      <c r="Z77" s="89" t="str">
        <f>IFERROR(__xludf.DUMMYFUNCTION("""COMPUTED_VALUE"""),"")</f>
        <v/>
      </c>
      <c r="AA77" s="89" t="str">
        <f>IFERROR(__xludf.DUMMYFUNCTION("""COMPUTED_VALUE"""),"")</f>
        <v/>
      </c>
      <c r="AB77" s="84" t="str">
        <f>IFERROR(__xludf.DUMMYFUNCTION("""COMPUTED_VALUE"""),"")</f>
        <v/>
      </c>
      <c r="AC77" s="84" t="str">
        <f>IFERROR(__xludf.DUMMYFUNCTION("""COMPUTED_VALUE"""),"")</f>
        <v/>
      </c>
      <c r="AD77" s="89">
        <f>IFERROR(__xludf.DUMMYFUNCTION("""COMPUTED_VALUE"""),25.0)</f>
        <v>25</v>
      </c>
      <c r="AE77" s="89" t="str">
        <f>IFERROR(__xludf.DUMMYFUNCTION("""COMPUTED_VALUE"""),"")</f>
        <v/>
      </c>
      <c r="AF77" s="84" t="str">
        <f>IFERROR(__xludf.DUMMYFUNCTION("""COMPUTED_VALUE"""),"")</f>
        <v/>
      </c>
      <c r="AG77" s="89" t="str">
        <f>IFERROR(__xludf.DUMMYFUNCTION("""COMPUTED_VALUE"""),"")</f>
        <v/>
      </c>
      <c r="AH77" s="89" t="str">
        <f>IFERROR(__xludf.DUMMYFUNCTION("""COMPUTED_VALUE"""),"")</f>
        <v/>
      </c>
      <c r="AI77" s="84" t="str">
        <f>IFERROR(__xludf.DUMMYFUNCTION("""COMPUTED_VALUE"""),"")</f>
        <v/>
      </c>
      <c r="AJ77" s="89" t="str">
        <f>IFERROR(__xludf.DUMMYFUNCTION("""COMPUTED_VALUE"""),"")</f>
        <v/>
      </c>
      <c r="AK77" s="84" t="str">
        <f>IFERROR(__xludf.DUMMYFUNCTION("""COMPUTED_VALUE"""),"")</f>
        <v/>
      </c>
    </row>
    <row r="78" ht="39.75" customHeight="1">
      <c r="A78" s="84" t="str">
        <f t="shared" si="1"/>
        <v/>
      </c>
      <c r="B78" s="82" t="s">
        <v>189</v>
      </c>
      <c r="C78" s="85" t="s">
        <v>190</v>
      </c>
      <c r="D78" s="85">
        <f t="shared" si="2"/>
        <v>87</v>
      </c>
      <c r="E78" s="82" t="s">
        <v>142</v>
      </c>
      <c r="F78" s="86">
        <f t="shared" si="3"/>
        <v>0.61</v>
      </c>
      <c r="G78" s="87">
        <f t="shared" si="4"/>
        <v>10866</v>
      </c>
      <c r="H78" s="83">
        <v>17494.0</v>
      </c>
      <c r="I78" s="82" t="str">
        <f t="shared" si="5"/>
        <v>特選蘋果,35,暖暖薑,20,粗枝大蔥,20,醒腦咖啡豆,12</v>
      </c>
      <c r="J78" s="84" t="s">
        <v>0</v>
      </c>
      <c r="K78" s="82">
        <v>35.0</v>
      </c>
      <c r="L78" s="84" t="s">
        <v>5</v>
      </c>
      <c r="M78" s="82">
        <v>20.0</v>
      </c>
      <c r="N78" s="84" t="s">
        <v>16</v>
      </c>
      <c r="O78" s="82">
        <v>20.0</v>
      </c>
      <c r="P78" s="84" t="s">
        <v>13</v>
      </c>
      <c r="Q78" s="82">
        <v>12.0</v>
      </c>
      <c r="R78" s="88">
        <f>IFERROR(__xludf.DUMMYFUNCTION("BYCOL($R$2:$AK$2, LAMBDA(header, IFERROR(SUM(FILTER(K78:Q78, J78:P78=header)), """")))
"),35.0)</f>
        <v>35</v>
      </c>
      <c r="S78" s="89" t="str">
        <f>IFERROR(__xludf.DUMMYFUNCTION("""COMPUTED_VALUE"""),"")</f>
        <v/>
      </c>
      <c r="T78" s="89" t="str">
        <f>IFERROR(__xludf.DUMMYFUNCTION("""COMPUTED_VALUE"""),"")</f>
        <v/>
      </c>
      <c r="U78" s="89" t="str">
        <f>IFERROR(__xludf.DUMMYFUNCTION("""COMPUTED_VALUE"""),"")</f>
        <v/>
      </c>
      <c r="V78" s="84" t="str">
        <f>IFERROR(__xludf.DUMMYFUNCTION("""COMPUTED_VALUE"""),"")</f>
        <v/>
      </c>
      <c r="W78" s="84">
        <f>IFERROR(__xludf.DUMMYFUNCTION("""COMPUTED_VALUE"""),20.0)</f>
        <v>20</v>
      </c>
      <c r="X78" s="89" t="str">
        <f>IFERROR(__xludf.DUMMYFUNCTION("""COMPUTED_VALUE"""),"")</f>
        <v/>
      </c>
      <c r="Y78" s="89" t="str">
        <f>IFERROR(__xludf.DUMMYFUNCTION("""COMPUTED_VALUE"""),"")</f>
        <v/>
      </c>
      <c r="Z78" s="89" t="str">
        <f>IFERROR(__xludf.DUMMYFUNCTION("""COMPUTED_VALUE"""),"")</f>
        <v/>
      </c>
      <c r="AA78" s="89" t="str">
        <f>IFERROR(__xludf.DUMMYFUNCTION("""COMPUTED_VALUE"""),"")</f>
        <v/>
      </c>
      <c r="AB78" s="84" t="str">
        <f>IFERROR(__xludf.DUMMYFUNCTION("""COMPUTED_VALUE"""),"")</f>
        <v/>
      </c>
      <c r="AC78" s="84" t="str">
        <f>IFERROR(__xludf.DUMMYFUNCTION("""COMPUTED_VALUE"""),"")</f>
        <v/>
      </c>
      <c r="AD78" s="89" t="str">
        <f>IFERROR(__xludf.DUMMYFUNCTION("""COMPUTED_VALUE"""),"")</f>
        <v/>
      </c>
      <c r="AE78" s="89">
        <f>IFERROR(__xludf.DUMMYFUNCTION("""COMPUTED_VALUE"""),12.0)</f>
        <v>12</v>
      </c>
      <c r="AF78" s="84" t="str">
        <f>IFERROR(__xludf.DUMMYFUNCTION("""COMPUTED_VALUE"""),"")</f>
        <v/>
      </c>
      <c r="AG78" s="89" t="str">
        <f>IFERROR(__xludf.DUMMYFUNCTION("""COMPUTED_VALUE"""),"")</f>
        <v/>
      </c>
      <c r="AH78" s="89">
        <f>IFERROR(__xludf.DUMMYFUNCTION("""COMPUTED_VALUE"""),20.0)</f>
        <v>20</v>
      </c>
      <c r="AI78" s="84" t="str">
        <f>IFERROR(__xludf.DUMMYFUNCTION("""COMPUTED_VALUE"""),"")</f>
        <v/>
      </c>
      <c r="AJ78" s="89" t="str">
        <f>IFERROR(__xludf.DUMMYFUNCTION("""COMPUTED_VALUE"""),"")</f>
        <v/>
      </c>
      <c r="AK78" s="84" t="str">
        <f>IFERROR(__xludf.DUMMYFUNCTION("""COMPUTED_VALUE"""),"")</f>
        <v/>
      </c>
    </row>
    <row r="79" ht="39.75" customHeight="1">
      <c r="A79" s="84" t="str">
        <f t="shared" si="1"/>
        <v/>
      </c>
      <c r="B79" s="82" t="s">
        <v>191</v>
      </c>
      <c r="C79" s="85" t="s">
        <v>192</v>
      </c>
      <c r="D79" s="85">
        <f t="shared" si="2"/>
        <v>102</v>
      </c>
      <c r="E79" s="82" t="s">
        <v>142</v>
      </c>
      <c r="F79" s="86">
        <f t="shared" si="3"/>
        <v>0.61</v>
      </c>
      <c r="G79" s="87">
        <f t="shared" si="4"/>
        <v>12972</v>
      </c>
      <c r="H79" s="83">
        <v>20885.0</v>
      </c>
      <c r="I79" s="82" t="str">
        <f t="shared" si="5"/>
        <v>放鬆可可,30,哞哞鮮奶,26,醒腦咖啡豆,24,甜甜蜜,22</v>
      </c>
      <c r="J79" s="84" t="s">
        <v>12</v>
      </c>
      <c r="K79" s="82">
        <v>30.0</v>
      </c>
      <c r="L79" s="84" t="s">
        <v>1</v>
      </c>
      <c r="M79" s="82">
        <v>26.0</v>
      </c>
      <c r="N79" s="84" t="s">
        <v>13</v>
      </c>
      <c r="O79" s="82">
        <v>24.0</v>
      </c>
      <c r="P79" s="84" t="s">
        <v>3</v>
      </c>
      <c r="Q79" s="82">
        <v>22.0</v>
      </c>
      <c r="R79" s="88" t="str">
        <f>IFERROR(__xludf.DUMMYFUNCTION("BYCOL($R$2:$AK$2, LAMBDA(header, IFERROR(SUM(FILTER(K79:Q79, J79:P79=header)), """")))
"),"")</f>
        <v/>
      </c>
      <c r="S79" s="89">
        <f>IFERROR(__xludf.DUMMYFUNCTION("""COMPUTED_VALUE"""),26.0)</f>
        <v>26</v>
      </c>
      <c r="T79" s="89" t="str">
        <f>IFERROR(__xludf.DUMMYFUNCTION("""COMPUTED_VALUE"""),"")</f>
        <v/>
      </c>
      <c r="U79" s="89">
        <f>IFERROR(__xludf.DUMMYFUNCTION("""COMPUTED_VALUE"""),22.0)</f>
        <v>22</v>
      </c>
      <c r="V79" s="84" t="str">
        <f>IFERROR(__xludf.DUMMYFUNCTION("""COMPUTED_VALUE"""),"")</f>
        <v/>
      </c>
      <c r="W79" s="84" t="str">
        <f>IFERROR(__xludf.DUMMYFUNCTION("""COMPUTED_VALUE"""),"")</f>
        <v/>
      </c>
      <c r="X79" s="89" t="str">
        <f>IFERROR(__xludf.DUMMYFUNCTION("""COMPUTED_VALUE"""),"")</f>
        <v/>
      </c>
      <c r="Y79" s="89" t="str">
        <f>IFERROR(__xludf.DUMMYFUNCTION("""COMPUTED_VALUE"""),"")</f>
        <v/>
      </c>
      <c r="Z79" s="89" t="str">
        <f>IFERROR(__xludf.DUMMYFUNCTION("""COMPUTED_VALUE"""),"")</f>
        <v/>
      </c>
      <c r="AA79" s="89" t="str">
        <f>IFERROR(__xludf.DUMMYFUNCTION("""COMPUTED_VALUE"""),"")</f>
        <v/>
      </c>
      <c r="AB79" s="84" t="str">
        <f>IFERROR(__xludf.DUMMYFUNCTION("""COMPUTED_VALUE"""),"")</f>
        <v/>
      </c>
      <c r="AC79" s="84" t="str">
        <f>IFERROR(__xludf.DUMMYFUNCTION("""COMPUTED_VALUE"""),"")</f>
        <v/>
      </c>
      <c r="AD79" s="89">
        <f>IFERROR(__xludf.DUMMYFUNCTION("""COMPUTED_VALUE"""),30.0)</f>
        <v>30</v>
      </c>
      <c r="AE79" s="89">
        <f>IFERROR(__xludf.DUMMYFUNCTION("""COMPUTED_VALUE"""),24.0)</f>
        <v>24</v>
      </c>
      <c r="AF79" s="84" t="str">
        <f>IFERROR(__xludf.DUMMYFUNCTION("""COMPUTED_VALUE"""),"")</f>
        <v/>
      </c>
      <c r="AG79" s="89" t="str">
        <f>IFERROR(__xludf.DUMMYFUNCTION("""COMPUTED_VALUE"""),"")</f>
        <v/>
      </c>
      <c r="AH79" s="89" t="str">
        <f>IFERROR(__xludf.DUMMYFUNCTION("""COMPUTED_VALUE"""),"")</f>
        <v/>
      </c>
      <c r="AI79" s="84" t="str">
        <f>IFERROR(__xludf.DUMMYFUNCTION("""COMPUTED_VALUE"""),"")</f>
        <v/>
      </c>
      <c r="AJ79" s="89" t="str">
        <f>IFERROR(__xludf.DUMMYFUNCTION("""COMPUTED_VALUE"""),"")</f>
        <v/>
      </c>
      <c r="AK79" s="84" t="str">
        <f>IFERROR(__xludf.DUMMYFUNCTION("""COMPUTED_VALUE"""),"")</f>
        <v/>
      </c>
    </row>
    <row r="80" ht="39.75" customHeight="1">
      <c r="A80" s="84" t="str">
        <f t="shared" si="1"/>
        <v/>
      </c>
      <c r="B80" s="82" t="s">
        <v>193</v>
      </c>
      <c r="C80" s="82" t="s">
        <v>194</v>
      </c>
      <c r="D80" s="85">
        <f t="shared" si="2"/>
        <v>103</v>
      </c>
      <c r="E80" s="82" t="s">
        <v>142</v>
      </c>
      <c r="F80" s="86">
        <f t="shared" si="3"/>
        <v>0.78</v>
      </c>
      <c r="G80" s="87">
        <f t="shared" si="4"/>
        <v>13682</v>
      </c>
      <c r="H80" s="83">
        <v>24354.0</v>
      </c>
      <c r="I80" s="82" t="str">
        <f t="shared" si="5"/>
        <v>沉甸甸南瓜,18,特選蛋,24,甜甜蜜,32,好眠番茄,29</v>
      </c>
      <c r="J80" s="84" t="s">
        <v>17</v>
      </c>
      <c r="K80" s="82">
        <v>18.0</v>
      </c>
      <c r="L80" s="84" t="s">
        <v>7</v>
      </c>
      <c r="M80" s="82">
        <v>24.0</v>
      </c>
      <c r="N80" s="84" t="s">
        <v>3</v>
      </c>
      <c r="O80" s="82">
        <v>32.0</v>
      </c>
      <c r="P80" s="84" t="s">
        <v>6</v>
      </c>
      <c r="Q80" s="82">
        <v>29.0</v>
      </c>
      <c r="R80" s="88"/>
      <c r="S80" s="89"/>
      <c r="T80" s="89"/>
      <c r="U80" s="84">
        <v>32.0</v>
      </c>
      <c r="V80" s="84"/>
      <c r="W80" s="84"/>
      <c r="X80" s="84">
        <v>29.0</v>
      </c>
      <c r="Y80" s="84">
        <v>24.0</v>
      </c>
      <c r="Z80" s="89"/>
      <c r="AA80" s="89"/>
      <c r="AB80" s="84"/>
      <c r="AC80" s="84"/>
      <c r="AD80" s="89"/>
      <c r="AE80" s="89"/>
      <c r="AF80" s="84"/>
      <c r="AG80" s="89"/>
      <c r="AH80" s="89"/>
      <c r="AI80" s="84">
        <v>18.0</v>
      </c>
      <c r="AJ80" s="89"/>
      <c r="AK80" s="84"/>
    </row>
    <row r="81" ht="39.75" customHeight="1">
      <c r="A81" s="84" t="str">
        <f t="shared" si="1"/>
        <v/>
      </c>
      <c r="B81" s="82" t="s">
        <v>195</v>
      </c>
      <c r="C81" s="82" t="s">
        <v>196</v>
      </c>
      <c r="D81" s="85">
        <f t="shared" si="2"/>
        <v>115</v>
      </c>
      <c r="E81" s="82" t="s">
        <v>142</v>
      </c>
      <c r="F81" s="86">
        <f t="shared" si="3"/>
        <v>0.78</v>
      </c>
      <c r="G81" s="87">
        <f t="shared" si="4"/>
        <v>14317</v>
      </c>
      <c r="H81" s="83">
        <v>25484.0</v>
      </c>
      <c r="I81" s="82" t="str">
        <f t="shared" si="5"/>
        <v>甜甜蜜,38,萌綠玉米,28,純粹油,28,放鬆可可,21</v>
      </c>
      <c r="J81" s="84" t="s">
        <v>3</v>
      </c>
      <c r="K81" s="82">
        <v>38.0</v>
      </c>
      <c r="L81" s="84" t="s">
        <v>11</v>
      </c>
      <c r="M81" s="82">
        <v>28.0</v>
      </c>
      <c r="N81" s="84" t="s">
        <v>8</v>
      </c>
      <c r="O81" s="82">
        <v>28.0</v>
      </c>
      <c r="P81" s="84" t="s">
        <v>12</v>
      </c>
      <c r="Q81" s="82">
        <v>21.0</v>
      </c>
      <c r="R81" s="88"/>
      <c r="S81" s="89"/>
      <c r="T81" s="89"/>
      <c r="U81" s="84">
        <v>38.0</v>
      </c>
      <c r="V81" s="84"/>
      <c r="W81" s="84"/>
      <c r="X81" s="84"/>
      <c r="Y81" s="84"/>
      <c r="Z81" s="84">
        <v>28.0</v>
      </c>
      <c r="AA81" s="89"/>
      <c r="AB81" s="84"/>
      <c r="AC81" s="84">
        <v>28.0</v>
      </c>
      <c r="AD81" s="84">
        <v>21.0</v>
      </c>
      <c r="AE81" s="89"/>
      <c r="AF81" s="84"/>
      <c r="AG81" s="89"/>
      <c r="AH81" s="89"/>
      <c r="AI81" s="84"/>
      <c r="AJ81" s="89"/>
      <c r="AK81" s="84"/>
    </row>
    <row r="82" ht="39.75" customHeight="1">
      <c r="A82" s="84"/>
      <c r="B82" s="82"/>
      <c r="C82" s="82"/>
      <c r="D82" s="85"/>
      <c r="E82" s="82"/>
      <c r="F82" s="86"/>
      <c r="G82" s="87"/>
      <c r="H82" s="83"/>
      <c r="I82" s="82"/>
      <c r="J82" s="84"/>
      <c r="K82" s="82"/>
      <c r="L82" s="84"/>
      <c r="M82" s="82"/>
      <c r="N82" s="84"/>
      <c r="O82" s="82"/>
      <c r="P82" s="84"/>
      <c r="Q82" s="82"/>
      <c r="R82" s="88"/>
      <c r="S82" s="89"/>
      <c r="T82" s="89"/>
      <c r="U82" s="84"/>
      <c r="V82" s="84"/>
      <c r="W82" s="84"/>
      <c r="X82" s="84"/>
      <c r="Y82" s="84"/>
      <c r="Z82" s="84"/>
      <c r="AA82" s="89"/>
      <c r="AB82" s="84"/>
      <c r="AC82" s="84"/>
      <c r="AD82" s="84"/>
      <c r="AE82" s="89"/>
      <c r="AF82" s="84"/>
      <c r="AG82" s="89"/>
      <c r="AH82" s="89"/>
      <c r="AI82" s="84"/>
      <c r="AJ82" s="89"/>
      <c r="AK82" s="84"/>
    </row>
  </sheetData>
  <autoFilter ref="$A$2:$AK$82">
    <sortState ref="A2:AK82">
      <sortCondition ref="E2:E82"/>
      <sortCondition ref="H2:H82"/>
      <sortCondition ref="D2:D82"/>
    </sortState>
  </autoFilter>
  <conditionalFormatting sqref="A1:I2 J1:J82 K1:K2 L1:L82 M1:M2 N1:N82 O1:O2 P1:P82 Q1:AK2">
    <cfRule type="cellIs" dxfId="0" priority="1" operator="equal">
      <formula>"特選蘋果"</formula>
    </cfRule>
  </conditionalFormatting>
  <conditionalFormatting sqref="A1:I2 J1:J82 K1:K2 L1:L82 M1:M2 N1:N82 O1:O2 P1:P82 Q1:AK2">
    <cfRule type="cellIs" dxfId="1" priority="2" operator="equal">
      <formula>"哞哞鮮奶"</formula>
    </cfRule>
  </conditionalFormatting>
  <conditionalFormatting sqref="A1:I2 J1:J82 K1:K2 L1:L82 M1:M2 N1:N82 O1:O2 P1:P82 Q1:AK2">
    <cfRule type="cellIs" dxfId="2" priority="3" operator="equal">
      <formula>"萌綠大豆"</formula>
    </cfRule>
  </conditionalFormatting>
  <conditionalFormatting sqref="A1:I2 J1:J82 K1:K2 L1:L82 M1:M2 N1:N82 O1:O2 P1:P82 Q1:AK2">
    <cfRule type="cellIs" dxfId="3" priority="4" operator="equal">
      <formula>"甜甜蜜"</formula>
    </cfRule>
  </conditionalFormatting>
  <conditionalFormatting sqref="A1:I2 J1:J82 K1:K2 L1:L82 M1:M2 N1:N82 O1:O2 P1:P82 Q1:AK2">
    <cfRule type="cellIs" dxfId="4" priority="5" operator="equal">
      <formula>"豆製肉"</formula>
    </cfRule>
  </conditionalFormatting>
  <conditionalFormatting sqref="A1:I2 J1:J82 K1:K2 L1:L82 M1:M2 N1:N82 O1:O2 P1:P82 Q1:AK2">
    <cfRule type="cellIs" dxfId="5" priority="6" operator="equal">
      <formula>"暖暖薑"</formula>
    </cfRule>
  </conditionalFormatting>
  <conditionalFormatting sqref="A1:I2 J1:J82 K1:K2 L1:L82 M1:M2 N1:N82 O1:O2 P1:P82 Q1:AK2">
    <cfRule type="cellIs" dxfId="6" priority="7" operator="equal">
      <formula>"好眠番茄"</formula>
    </cfRule>
  </conditionalFormatting>
  <conditionalFormatting sqref="A1:I2 J1:J82 K1:K2 L1:L82 M1:M2 N1:N82 O1:O2 P1:P82 Q1:AK2">
    <cfRule type="cellIs" dxfId="7" priority="8" operator="equal">
      <formula>"特選蛋"</formula>
    </cfRule>
  </conditionalFormatting>
  <conditionalFormatting sqref="A1:I2 J1:J82 K1:K2 L1:L82 M1:M2 N1:N82 O1:O2 P1:P82 Q1:AK2">
    <cfRule type="cellIs" dxfId="8" priority="9" operator="equal">
      <formula>"純粹油"</formula>
    </cfRule>
  </conditionalFormatting>
  <conditionalFormatting sqref="A1:I2 J1:J82 K1:K2 L1:L82 M1:M2 N1:N82 O1:O2 P1:P82 Q1:AK2">
    <cfRule type="cellIs" dxfId="9" priority="10" operator="equal">
      <formula>"火辣香草"</formula>
    </cfRule>
  </conditionalFormatting>
  <conditionalFormatting sqref="A1:I2 J1:J82 K1:K2 L1:L82 M1:M2 N1:N82 O1:O2 P1:P82 Q1:AK2">
    <cfRule type="cellIs" dxfId="10" priority="11" operator="equal">
      <formula>"放鬆可可"</formula>
    </cfRule>
  </conditionalFormatting>
  <conditionalFormatting sqref="A1:I2 J1:J82 K1:K2 L1:L82 M1:M2 N1:N82 O1:O2 P1:P82 Q1:AK2">
    <cfRule type="cellIs" dxfId="11" priority="12" operator="equal">
      <formula>"窩心洋芋"</formula>
    </cfRule>
  </conditionalFormatting>
  <conditionalFormatting sqref="A1:I2 J1:J82 K1:K2 L1:L82 M1:M2 N1:N82 O1:O2 P1:P82 Q1:AK2">
    <cfRule type="cellIs" dxfId="12" priority="13" operator="equal">
      <formula>"品鮮蘑菇"</formula>
    </cfRule>
  </conditionalFormatting>
  <conditionalFormatting sqref="A1:I2 J1:J82 K1:K2 L1:L82 M1:M2 N1:N82 O1:O2 P1:P82 Q1:AK2">
    <cfRule type="cellIs" dxfId="13" priority="14" operator="equal">
      <formula>"粗枝大蔥"</formula>
    </cfRule>
  </conditionalFormatting>
  <conditionalFormatting sqref="A1:I2 J1:J82 K1:K2 L1:L82 M1:M2 N1:N82 O1:O2 P1:P82 Q1:AK2">
    <cfRule type="cellIs" dxfId="14" priority="15" operator="equal">
      <formula>"美味尾巴"</formula>
    </cfRule>
  </conditionalFormatting>
  <conditionalFormatting sqref="A1:I2 J1:J82 K1:K2 L1:L82 M1:M2 N1:N82 O1:O2 P1:P82 Q1:AK2">
    <cfRule type="cellIs" dxfId="15" priority="16" operator="equal">
      <formula>"萌綠玉米"</formula>
    </cfRule>
  </conditionalFormatting>
  <dataValidations>
    <dataValidation type="list" allowBlank="1" showErrorMessage="1" sqref="E3:E82">
      <formula1>"咖哩、濃湯,沙拉,點心、飲料"</formula1>
    </dataValidation>
    <dataValidation type="list" allowBlank="1" sqref="R2:AK2 J3:J82 L3:L82 N3:N82 P3:P82">
      <formula1>'食材'!$B$2:$B$21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9.38"/>
    <col customWidth="1" min="3" max="3" width="27.13"/>
    <col customWidth="1" min="4" max="4" width="8.5"/>
    <col customWidth="1" min="5" max="5" width="13.5"/>
    <col customWidth="1" min="6" max="6" width="11.88"/>
    <col customWidth="1" min="7" max="7" width="12.25"/>
  </cols>
  <sheetData>
    <row r="1">
      <c r="A1" s="90" t="s">
        <v>197</v>
      </c>
      <c r="B1" s="90" t="s">
        <v>198</v>
      </c>
      <c r="C1" s="91" t="s">
        <v>199</v>
      </c>
      <c r="D1" s="92" t="s">
        <v>200</v>
      </c>
      <c r="E1" s="92" t="s">
        <v>201</v>
      </c>
      <c r="F1" s="92" t="s">
        <v>202</v>
      </c>
      <c r="G1" s="92" t="s">
        <v>203</v>
      </c>
    </row>
    <row r="2">
      <c r="A2" s="90">
        <v>1.0</v>
      </c>
      <c r="B2" s="90" t="s">
        <v>16</v>
      </c>
      <c r="C2" s="91" t="s">
        <v>204</v>
      </c>
      <c r="D2" s="92"/>
      <c r="E2" s="92">
        <v>30.0</v>
      </c>
      <c r="F2" s="92">
        <v>185.0</v>
      </c>
      <c r="G2" s="93">
        <v>45124.0</v>
      </c>
    </row>
    <row r="3">
      <c r="A3" s="90">
        <v>2.0</v>
      </c>
      <c r="B3" s="90" t="s">
        <v>15</v>
      </c>
      <c r="C3" s="91" t="s">
        <v>205</v>
      </c>
      <c r="D3" s="92"/>
      <c r="E3" s="92">
        <v>30.0</v>
      </c>
      <c r="F3" s="92">
        <v>167.0</v>
      </c>
      <c r="G3" s="93">
        <v>45124.0</v>
      </c>
    </row>
    <row r="4">
      <c r="A4" s="90">
        <v>3.0</v>
      </c>
      <c r="B4" s="90" t="s">
        <v>7</v>
      </c>
      <c r="C4" s="91" t="s">
        <v>206</v>
      </c>
      <c r="D4" s="92"/>
      <c r="E4" s="92">
        <v>1.0</v>
      </c>
      <c r="F4" s="92">
        <v>115.0</v>
      </c>
      <c r="G4" s="93">
        <v>45124.0</v>
      </c>
    </row>
    <row r="5">
      <c r="A5" s="90">
        <v>4.0</v>
      </c>
      <c r="B5" s="90" t="s">
        <v>9</v>
      </c>
      <c r="C5" s="91" t="s">
        <v>207</v>
      </c>
      <c r="D5" s="92"/>
      <c r="E5" s="92">
        <v>30.0</v>
      </c>
      <c r="F5" s="92">
        <v>124.0</v>
      </c>
      <c r="G5" s="93">
        <v>45124.0</v>
      </c>
    </row>
    <row r="6">
      <c r="A6" s="90">
        <v>5.0</v>
      </c>
      <c r="B6" s="90" t="s">
        <v>0</v>
      </c>
      <c r="C6" s="91" t="s">
        <v>208</v>
      </c>
      <c r="D6" s="92"/>
      <c r="E6" s="92">
        <v>1.0</v>
      </c>
      <c r="F6" s="92">
        <v>90.0</v>
      </c>
      <c r="G6" s="93">
        <v>45124.0</v>
      </c>
    </row>
    <row r="7">
      <c r="A7" s="90">
        <v>6.0</v>
      </c>
      <c r="B7" s="90" t="s">
        <v>10</v>
      </c>
      <c r="C7" s="91" t="s">
        <v>209</v>
      </c>
      <c r="D7" s="92"/>
      <c r="E7" s="92">
        <v>1.0</v>
      </c>
      <c r="F7" s="92">
        <v>130.0</v>
      </c>
      <c r="G7" s="93">
        <v>45124.0</v>
      </c>
    </row>
    <row r="8">
      <c r="A8" s="90">
        <v>7.0</v>
      </c>
      <c r="B8" s="90" t="s">
        <v>4</v>
      </c>
      <c r="C8" s="91" t="s">
        <v>210</v>
      </c>
      <c r="D8" s="92"/>
      <c r="E8" s="92">
        <v>1.0</v>
      </c>
      <c r="F8" s="92">
        <v>103.0</v>
      </c>
      <c r="G8" s="93">
        <v>45124.0</v>
      </c>
    </row>
    <row r="9">
      <c r="A9" s="90">
        <v>8.0</v>
      </c>
      <c r="B9" s="90" t="s">
        <v>1</v>
      </c>
      <c r="C9" s="91" t="s">
        <v>211</v>
      </c>
      <c r="D9" s="92"/>
      <c r="E9" s="92">
        <v>1.0</v>
      </c>
      <c r="F9" s="92">
        <v>98.0</v>
      </c>
      <c r="G9" s="93">
        <v>45124.0</v>
      </c>
    </row>
    <row r="10">
      <c r="A10" s="90">
        <v>9.0</v>
      </c>
      <c r="B10" s="90" t="s">
        <v>3</v>
      </c>
      <c r="C10" s="91" t="s">
        <v>212</v>
      </c>
      <c r="D10" s="92"/>
      <c r="E10" s="92">
        <v>1.0</v>
      </c>
      <c r="F10" s="92">
        <v>101.0</v>
      </c>
      <c r="G10" s="93">
        <v>45124.0</v>
      </c>
    </row>
    <row r="11">
      <c r="A11" s="90">
        <v>10.0</v>
      </c>
      <c r="B11" s="90" t="s">
        <v>8</v>
      </c>
      <c r="C11" s="91" t="s">
        <v>213</v>
      </c>
      <c r="D11" s="92"/>
      <c r="E11" s="92">
        <v>1.0</v>
      </c>
      <c r="F11" s="92">
        <v>121.0</v>
      </c>
      <c r="G11" s="93">
        <v>45124.0</v>
      </c>
    </row>
    <row r="12">
      <c r="A12" s="90">
        <v>11.0</v>
      </c>
      <c r="B12" s="90" t="s">
        <v>5</v>
      </c>
      <c r="C12" s="91" t="s">
        <v>214</v>
      </c>
      <c r="D12" s="92"/>
      <c r="E12" s="92">
        <v>1.0</v>
      </c>
      <c r="F12" s="92">
        <v>109.0</v>
      </c>
      <c r="G12" s="93">
        <v>45124.0</v>
      </c>
    </row>
    <row r="13">
      <c r="A13" s="90">
        <v>12.0</v>
      </c>
      <c r="B13" s="90" t="s">
        <v>6</v>
      </c>
      <c r="C13" s="91" t="s">
        <v>215</v>
      </c>
      <c r="D13" s="92"/>
      <c r="E13" s="92">
        <v>1.0</v>
      </c>
      <c r="F13" s="92">
        <v>110.0</v>
      </c>
      <c r="G13" s="93">
        <v>45124.0</v>
      </c>
    </row>
    <row r="14">
      <c r="A14" s="90">
        <v>13.0</v>
      </c>
      <c r="B14" s="90" t="s">
        <v>12</v>
      </c>
      <c r="C14" s="91" t="s">
        <v>216</v>
      </c>
      <c r="D14" s="92"/>
      <c r="E14" s="92">
        <v>1.0</v>
      </c>
      <c r="F14" s="92">
        <v>151.0</v>
      </c>
      <c r="G14" s="93">
        <v>45124.0</v>
      </c>
    </row>
    <row r="15">
      <c r="A15" s="90">
        <v>14.0</v>
      </c>
      <c r="B15" s="90" t="s">
        <v>18</v>
      </c>
      <c r="C15" s="91" t="s">
        <v>217</v>
      </c>
      <c r="D15" s="92"/>
      <c r="E15" s="92">
        <v>30.0</v>
      </c>
      <c r="F15" s="92">
        <v>342.0</v>
      </c>
      <c r="G15" s="93">
        <v>45124.0</v>
      </c>
    </row>
    <row r="16">
      <c r="A16" s="90">
        <v>15.0</v>
      </c>
      <c r="B16" s="90" t="s">
        <v>2</v>
      </c>
      <c r="C16" s="91" t="s">
        <v>218</v>
      </c>
      <c r="D16" s="92"/>
      <c r="E16" s="92">
        <v>1.0</v>
      </c>
      <c r="F16" s="92">
        <v>100.0</v>
      </c>
      <c r="G16" s="93">
        <v>45124.0</v>
      </c>
    </row>
    <row r="17">
      <c r="A17" s="90">
        <v>16.0</v>
      </c>
      <c r="B17" s="90" t="s">
        <v>11</v>
      </c>
      <c r="C17" s="91" t="s">
        <v>219</v>
      </c>
      <c r="D17" s="92" t="str">
        <f t="shared" ref="D17:D20" si="1">IMAGE("https://www.serebii.net/pokemonsleep/ingredients/"&amp;SUBSTITUTE(LOWER(C17)," ","",)&amp;".png")</f>
        <v/>
      </c>
      <c r="E17" s="92">
        <v>1.0</v>
      </c>
      <c r="F17" s="92">
        <v>140.0</v>
      </c>
      <c r="G17" s="93">
        <v>45315.0</v>
      </c>
    </row>
    <row r="18">
      <c r="A18" s="90">
        <v>17.0</v>
      </c>
      <c r="B18" s="90" t="s">
        <v>13</v>
      </c>
      <c r="C18" s="91" t="s">
        <v>220</v>
      </c>
      <c r="D18" s="92" t="str">
        <f t="shared" si="1"/>
        <v/>
      </c>
      <c r="E18" s="92">
        <v>1.0</v>
      </c>
      <c r="F18" s="92">
        <v>153.0</v>
      </c>
      <c r="G18" s="94">
        <v>45566.0</v>
      </c>
    </row>
    <row r="19">
      <c r="A19" s="90">
        <v>18.0</v>
      </c>
      <c r="B19" s="90" t="s">
        <v>17</v>
      </c>
      <c r="C19" s="91" t="s">
        <v>221</v>
      </c>
      <c r="D19" s="92" t="str">
        <f t="shared" si="1"/>
        <v/>
      </c>
      <c r="E19" s="92">
        <v>1.0</v>
      </c>
      <c r="F19" s="92">
        <v>250.0</v>
      </c>
      <c r="G19" s="93">
        <v>45952.0</v>
      </c>
    </row>
    <row r="20">
      <c r="A20" s="90">
        <v>19.0</v>
      </c>
      <c r="B20" s="90" t="s">
        <v>14</v>
      </c>
      <c r="C20" s="91" t="s">
        <v>222</v>
      </c>
      <c r="D20" s="92" t="str">
        <f t="shared" si="1"/>
        <v/>
      </c>
      <c r="E20" s="92"/>
      <c r="F20" s="92">
        <v>162.0</v>
      </c>
      <c r="G20" s="93">
        <v>45967.0</v>
      </c>
    </row>
    <row r="21">
      <c r="A21" s="90"/>
      <c r="B21" s="90"/>
      <c r="C21" s="91"/>
      <c r="D21" s="92"/>
      <c r="E21" s="92"/>
      <c r="F21" s="92"/>
      <c r="G21" s="94"/>
    </row>
  </sheetData>
  <autoFilter ref="$A$1:$G$21">
    <sortState ref="A1:G21">
      <sortCondition ref="A1:A21"/>
      <sortCondition ref="G1:G21"/>
      <sortCondition ref="F1:F2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7.75"/>
    <col customWidth="1" min="3" max="3" width="16.0"/>
    <col customWidth="1" min="4" max="4" width="6.88"/>
    <col customWidth="1" min="5" max="8" width="3.13"/>
    <col customWidth="1" min="9" max="9" width="4.25"/>
    <col customWidth="1" min="10" max="154" width="2.63"/>
  </cols>
  <sheetData>
    <row r="1" ht="15.0" customHeight="1">
      <c r="A1" s="95" t="str">
        <f t="array" ref="A1">XLOOKUP("拌拌咖哩",'食譜'!B:B,'食譜'!A:A,"")</f>
        <v/>
      </c>
      <c r="B1" s="5"/>
      <c r="C1" s="5"/>
      <c r="D1" s="5"/>
      <c r="E1" s="5"/>
      <c r="F1" s="5"/>
      <c r="G1" s="5"/>
      <c r="H1" s="5"/>
      <c r="I1" s="96"/>
      <c r="J1" s="97"/>
      <c r="K1" s="9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1"/>
      <c r="DW1" s="1"/>
      <c r="DX1" s="1"/>
      <c r="DY1" s="1"/>
      <c r="DZ1" s="1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1"/>
      <c r="EM1" s="1"/>
      <c r="EN1" s="1"/>
      <c r="EO1" s="1"/>
      <c r="EP1" s="1"/>
      <c r="EQ1" s="2"/>
      <c r="ER1" s="2"/>
      <c r="ES1" s="2"/>
      <c r="ET1" s="2"/>
      <c r="EU1" s="2"/>
      <c r="EV1" s="2"/>
      <c r="EW1" s="2"/>
      <c r="EX1" s="2"/>
    </row>
    <row r="2" ht="15.0" customHeight="1">
      <c r="A2" s="14"/>
      <c r="I2" s="98"/>
      <c r="J2" s="99"/>
      <c r="K2" s="10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2"/>
      <c r="EE2" s="2"/>
      <c r="EF2" s="2"/>
      <c r="EG2" s="2"/>
      <c r="EH2" s="2"/>
      <c r="EI2" s="2"/>
      <c r="EJ2" s="2"/>
      <c r="EK2" s="2"/>
      <c r="EL2" s="1"/>
      <c r="EM2" s="102"/>
      <c r="EN2" s="102"/>
      <c r="EO2" s="103"/>
      <c r="EP2" s="103"/>
      <c r="EQ2" s="104"/>
      <c r="ER2" s="104"/>
      <c r="ES2" s="104"/>
      <c r="ET2" s="104"/>
      <c r="EU2" s="104"/>
      <c r="EV2" s="104"/>
      <c r="EW2" s="104"/>
      <c r="EX2" s="105"/>
    </row>
    <row r="3" ht="16.5" customHeight="1">
      <c r="A3" s="106">
        <f t="array" ref="A3">XLOOKUP(C3,'食譜'!$B:$B,'食譜'!$F:$F,"")</f>
        <v>0.16</v>
      </c>
      <c r="B3" s="107" t="str">
        <f t="array" ref="B3">XLOOKUP(C3,'食譜'!$B:$B,'食譜'!$A:$A,"")</f>
        <v/>
      </c>
      <c r="C3" s="108" t="str">
        <f>IFERROR(__xludf.DUMMYFUNCTION("TOCOL(SPLIT(TEXTJOIN("""",TRUE,TOCOL(FILTER('食譜'!$B:$B&amp;""--"", '食譜'!$E:$E=""咖哩、濃湯"",'食譜'!$B:$B&lt;&gt;""拌拌咖哩"")),"""","""",""""),""-"",TRUE,FALSE))"),"特選蘋果咖哩")</f>
        <v>特選蘋果咖哩</v>
      </c>
      <c r="D3" s="109">
        <f t="array" ref="D3">XLOOKUP(C3,'食譜'!$B:$B,'食譜'!$H:$H,"")</f>
        <v>728</v>
      </c>
      <c r="E3" s="110" t="str">
        <f t="array" ref="E3">XLOOKUP(XLOOKUP(C3,'食譜'!$B:$B,'食譜'!$J:$J,""),'食材'!$B:$B,'食材'!$D:$D,"")</f>
        <v/>
      </c>
      <c r="F3" s="110" t="str">
        <f t="array" ref="F3">XLOOKUP(XLOOKUP(C3,'食譜'!$B:$B,'食譜'!$L:$L,""),'食材'!$B:$B,'食材'!$D:$D,"")</f>
        <v/>
      </c>
      <c r="G3" s="110" t="str">
        <f t="array" ref="G3">XLOOKUP(XLOOKUP(C3,'食譜'!$B:$B,'食譜'!$N:$N,""),'食材'!$B:$B,'食材'!$D:$D,"")</f>
        <v/>
      </c>
      <c r="H3" s="110" t="str">
        <f t="array" ref="H3">XLOOKUP(XLOOKUP(C3,'食譜'!$B:$B,'食譜'!$P:$P,""),'食材'!$B:$B,'食材'!$D:$D,"")</f>
        <v/>
      </c>
      <c r="I3" s="111">
        <f t="array" ref="I3">XLOOKUP(C3,'食譜'!$B:$B,'食譜'!$D:$D,"")</f>
        <v>7</v>
      </c>
      <c r="J3" s="99"/>
      <c r="K3" s="10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112"/>
      <c r="BY3" s="113"/>
      <c r="BZ3" s="4" t="str">
        <f t="array" ref="BZ3">XLOOKUP(BZ10,'食譜'!$B:$B,'食譜'!$F:$F,"")</f>
        <v/>
      </c>
      <c r="CA3" s="5"/>
      <c r="CB3" s="5"/>
      <c r="CC3" s="6"/>
      <c r="CD3" s="4" t="str">
        <f t="array" ref="CD3">XLOOKUP(CD10,'食譜'!$B:$B,'食譜'!$F:$F,"")</f>
        <v/>
      </c>
      <c r="CE3" s="5"/>
      <c r="CF3" s="5"/>
      <c r="CG3" s="6"/>
      <c r="CH3" s="4" t="str">
        <f t="array" ref="CH3">XLOOKUP(CH10,'食譜'!$B:$B,'食譜'!$F:$F,"")</f>
        <v/>
      </c>
      <c r="CI3" s="5"/>
      <c r="CJ3" s="5"/>
      <c r="CK3" s="6"/>
      <c r="CL3" s="4" t="str">
        <f t="array" ref="CL3">XLOOKUP(CL10,'食譜'!$B:$B,'食譜'!$F:$F,"")</f>
        <v/>
      </c>
      <c r="CM3" s="5"/>
      <c r="CN3" s="5"/>
      <c r="CO3" s="6"/>
      <c r="CP3" s="4" t="str">
        <f t="array" ref="CP3">XLOOKUP(CP10,'食譜'!$B:$B,'食譜'!$F:$F,"")</f>
        <v/>
      </c>
      <c r="CQ3" s="5"/>
      <c r="CR3" s="5"/>
      <c r="CS3" s="6"/>
      <c r="CT3" s="4" t="str">
        <f t="array" ref="CT3">XLOOKUP(CT10,'食譜'!$B:$B,'食譜'!$F:$F,"")</f>
        <v/>
      </c>
      <c r="CU3" s="5"/>
      <c r="CV3" s="5"/>
      <c r="CW3" s="6"/>
      <c r="CX3" s="4" t="str">
        <f t="array" ref="CX3">XLOOKUP(CX10,'食譜'!$B:$B,'食譜'!$F:$F,"")</f>
        <v/>
      </c>
      <c r="CY3" s="5"/>
      <c r="CZ3" s="5"/>
      <c r="DA3" s="6"/>
      <c r="DB3" s="4" t="str">
        <f t="array" ref="DB3">XLOOKUP(DB10,'食譜'!$B:$B,'食譜'!$F:$F,"")</f>
        <v/>
      </c>
      <c r="DC3" s="5"/>
      <c r="DD3" s="5"/>
      <c r="DE3" s="6"/>
      <c r="DF3" s="4" t="str">
        <f t="array" ref="DF3">XLOOKUP(DF10,'食譜'!$B:$B,'食譜'!$F:$F,"")</f>
        <v/>
      </c>
      <c r="DG3" s="5"/>
      <c r="DH3" s="5"/>
      <c r="DI3" s="6"/>
      <c r="DJ3" s="4" t="str">
        <f t="array" ref="DJ3">XLOOKUP(DJ10,'食譜'!$B:$B,'食譜'!$F:$F,"")</f>
        <v/>
      </c>
      <c r="DK3" s="5"/>
      <c r="DL3" s="5"/>
      <c r="DM3" s="6"/>
      <c r="DN3" s="4" t="str">
        <f t="array" ref="DN3">XLOOKUP(DN10,'食譜'!$B:$B,'食譜'!$F:$F,"")</f>
        <v/>
      </c>
      <c r="DO3" s="5"/>
      <c r="DP3" s="5"/>
      <c r="DQ3" s="6"/>
      <c r="DR3" s="4" t="str">
        <f t="array" ref="DR3">XLOOKUP(DR10,'食譜'!$B:$B,'食譜'!$F:$F,"")</f>
        <v/>
      </c>
      <c r="DS3" s="5"/>
      <c r="DT3" s="5"/>
      <c r="DU3" s="6"/>
      <c r="DV3" s="4" t="str">
        <f t="array" ref="DV3">XLOOKUP(DV10,'食譜'!$B:$B,'食譜'!$F:$F,"")</f>
        <v/>
      </c>
      <c r="DW3" s="5"/>
      <c r="DX3" s="5"/>
      <c r="DY3" s="6"/>
      <c r="DZ3" s="4" t="str">
        <f t="array" ref="DZ3">XLOOKUP(DZ10,'食譜'!$B:$B,'食譜'!$F:$F,"")</f>
        <v/>
      </c>
      <c r="EA3" s="5"/>
      <c r="EB3" s="5"/>
      <c r="EC3" s="6"/>
      <c r="ED3" s="1"/>
      <c r="EE3" s="1"/>
      <c r="EF3" s="1"/>
      <c r="EG3" s="1"/>
      <c r="EH3" s="1"/>
      <c r="EI3" s="1"/>
      <c r="EJ3" s="1"/>
      <c r="EK3" s="1"/>
      <c r="EL3" s="1"/>
      <c r="EM3" s="7" t="str">
        <f t="array" ref="EM3">XLOOKUP(EQ3,'食材'!$B:$B,'食材'!$D:$D,"")</f>
        <v/>
      </c>
      <c r="EN3" s="8"/>
      <c r="EO3" s="9">
        <f t="array" ref="EO3">XLOOKUP(EQ3,'食材'!$B:$B,'食材'!$F:$F,"")</f>
        <v>90</v>
      </c>
      <c r="EP3" s="8"/>
      <c r="EQ3" s="10" t="s">
        <v>0</v>
      </c>
      <c r="ER3" s="11"/>
      <c r="ES3" s="11"/>
      <c r="ET3" s="11"/>
      <c r="EU3" s="11"/>
      <c r="EV3" s="11"/>
      <c r="EW3" s="12"/>
      <c r="EX3" s="13"/>
    </row>
    <row r="4" ht="16.5" customHeight="1">
      <c r="A4" s="114"/>
      <c r="B4" s="114"/>
      <c r="C4" s="114"/>
      <c r="D4" s="114"/>
      <c r="E4" s="110">
        <f t="array" ref="E4">XLOOKUP(C3,'食譜'!$B:$B,'食譜'!$K:$K,"")</f>
        <v>7</v>
      </c>
      <c r="F4" s="110" t="str">
        <f t="array" ref="F4">XLOOKUP(C3,'食譜'!$B:$B,'食譜'!$M:$M,"")</f>
        <v/>
      </c>
      <c r="G4" s="110" t="str">
        <f t="array" ref="G4">XLOOKUP(C3,'食譜'!$B:$B,'食譜'!$O:$O,"")</f>
        <v/>
      </c>
      <c r="H4" s="110" t="str">
        <f t="array" ref="H4">XLOOKUP(C3,'食譜'!$B:$B,'食譜'!$Q:$Q,"")</f>
        <v/>
      </c>
      <c r="I4" s="114"/>
      <c r="J4" s="99"/>
      <c r="K4" s="10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115"/>
      <c r="BY4" s="116"/>
      <c r="BZ4" s="14"/>
      <c r="CC4" s="15"/>
      <c r="CD4" s="14"/>
      <c r="CG4" s="15"/>
      <c r="CH4" s="14"/>
      <c r="CK4" s="15"/>
      <c r="CL4" s="14"/>
      <c r="CO4" s="15"/>
      <c r="CP4" s="14"/>
      <c r="CS4" s="15"/>
      <c r="CT4" s="14"/>
      <c r="CW4" s="15"/>
      <c r="CX4" s="14"/>
      <c r="DA4" s="15"/>
      <c r="DB4" s="14"/>
      <c r="DE4" s="15"/>
      <c r="DF4" s="14"/>
      <c r="DI4" s="15"/>
      <c r="DJ4" s="14"/>
      <c r="DM4" s="15"/>
      <c r="DN4" s="14"/>
      <c r="DQ4" s="15"/>
      <c r="DR4" s="14"/>
      <c r="DU4" s="15"/>
      <c r="DV4" s="14"/>
      <c r="DY4" s="15"/>
      <c r="DZ4" s="14"/>
      <c r="EC4" s="15"/>
      <c r="ED4" s="1"/>
      <c r="EE4" s="1"/>
      <c r="EF4" s="1"/>
      <c r="EG4" s="1"/>
      <c r="EH4" s="1"/>
      <c r="EI4" s="1"/>
      <c r="EJ4" s="1"/>
      <c r="EK4" s="1"/>
      <c r="EL4" s="1"/>
      <c r="EM4" s="117"/>
      <c r="EN4" s="98"/>
      <c r="EO4" s="118"/>
      <c r="EP4" s="98"/>
      <c r="EQ4" s="118"/>
      <c r="EW4" s="119"/>
      <c r="EX4" s="13"/>
    </row>
    <row r="5" ht="15.0" customHeight="1">
      <c r="A5" s="106">
        <f t="array" ref="A5">XLOOKUP(C5,'食譜'!$B:$B,'食譜'!$F:$F,"")</f>
        <v>0.19</v>
      </c>
      <c r="B5" s="107" t="str">
        <f t="array" ref="B5">XLOOKUP(C5,'食譜'!$B:$B,'食譜'!$A:$A,"")</f>
        <v/>
      </c>
      <c r="C5" s="108" t="str">
        <f>IFERROR(__xludf.DUMMYFUNCTION("""COMPUTED_VALUE"""),"單純白醬濃湯")</f>
        <v>單純白醬濃湯</v>
      </c>
      <c r="D5" s="109">
        <f t="array" ref="D5">XLOOKUP(C5,'食譜'!$B:$B,'食譜'!$H:$H,"")</f>
        <v>814</v>
      </c>
      <c r="E5" s="110" t="str">
        <f t="array" ref="E5">XLOOKUP(XLOOKUP(C5,'食譜'!$B:$B,'食譜'!$J:$J,""),'食材'!$B:$B,'食材'!$D:$D,"")</f>
        <v/>
      </c>
      <c r="F5" s="110" t="str">
        <f t="array" ref="F5">XLOOKUP(XLOOKUP(C5,'食譜'!$B:$B,'食譜'!$L:$L,""),'食材'!$B:$B,'食材'!$D:$D,"")</f>
        <v/>
      </c>
      <c r="G5" s="110" t="str">
        <f t="array" ref="G5">XLOOKUP(XLOOKUP(C5,'食譜'!$B:$B,'食譜'!$N:$N,""),'食材'!$B:$B,'食材'!$D:$D,"")</f>
        <v/>
      </c>
      <c r="H5" s="110" t="str">
        <f t="array" ref="H5">XLOOKUP(XLOOKUP(C5,'食譜'!$B:$B,'食譜'!$P:$P,""),'食材'!$B:$B,'食材'!$D:$D,"")</f>
        <v/>
      </c>
      <c r="I5" s="111">
        <f t="array" ref="I5">XLOOKUP(C5,'食譜'!$B:$B,'食譜'!$D:$D,"")</f>
        <v>7</v>
      </c>
      <c r="J5" s="99"/>
      <c r="K5" s="10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120"/>
      <c r="BY5" s="121"/>
      <c r="BZ5" s="16"/>
      <c r="CA5" s="17"/>
      <c r="CB5" s="17"/>
      <c r="CC5" s="18"/>
      <c r="CD5" s="16"/>
      <c r="CE5" s="17"/>
      <c r="CF5" s="17"/>
      <c r="CG5" s="18"/>
      <c r="CH5" s="16"/>
      <c r="CI5" s="17"/>
      <c r="CJ5" s="17"/>
      <c r="CK5" s="18"/>
      <c r="CL5" s="16"/>
      <c r="CM5" s="17"/>
      <c r="CN5" s="17"/>
      <c r="CO5" s="18"/>
      <c r="CP5" s="16"/>
      <c r="CQ5" s="17"/>
      <c r="CR5" s="17"/>
      <c r="CS5" s="18"/>
      <c r="CT5" s="16"/>
      <c r="CU5" s="17"/>
      <c r="CV5" s="17"/>
      <c r="CW5" s="18"/>
      <c r="CX5" s="16"/>
      <c r="CY5" s="17"/>
      <c r="CZ5" s="17"/>
      <c r="DA5" s="18"/>
      <c r="DB5" s="16"/>
      <c r="DC5" s="17"/>
      <c r="DD5" s="17"/>
      <c r="DE5" s="18"/>
      <c r="DF5" s="16"/>
      <c r="DG5" s="17"/>
      <c r="DH5" s="17"/>
      <c r="DI5" s="18"/>
      <c r="DJ5" s="16"/>
      <c r="DK5" s="17"/>
      <c r="DL5" s="17"/>
      <c r="DM5" s="18"/>
      <c r="DN5" s="16"/>
      <c r="DO5" s="17"/>
      <c r="DP5" s="17"/>
      <c r="DQ5" s="18"/>
      <c r="DR5" s="16"/>
      <c r="DS5" s="17"/>
      <c r="DT5" s="17"/>
      <c r="DU5" s="18"/>
      <c r="DV5" s="16"/>
      <c r="DW5" s="17"/>
      <c r="DX5" s="17"/>
      <c r="DY5" s="18"/>
      <c r="DZ5" s="16"/>
      <c r="EA5" s="17"/>
      <c r="EB5" s="17"/>
      <c r="EC5" s="18"/>
      <c r="ED5" s="1"/>
      <c r="EE5" s="1"/>
      <c r="EF5" s="1"/>
      <c r="EG5" s="1"/>
      <c r="EH5" s="1"/>
      <c r="EI5" s="1"/>
      <c r="EJ5" s="1"/>
      <c r="EK5" s="1"/>
      <c r="EL5" s="1"/>
      <c r="EM5" s="19"/>
      <c r="EN5" s="20"/>
      <c r="EO5" s="21"/>
      <c r="EP5" s="20"/>
      <c r="EQ5" s="21"/>
      <c r="ER5" s="22"/>
      <c r="ES5" s="22"/>
      <c r="ET5" s="22"/>
      <c r="EU5" s="22"/>
      <c r="EV5" s="22"/>
      <c r="EW5" s="23"/>
      <c r="EX5" s="13"/>
    </row>
    <row r="6" ht="15.0" customHeight="1">
      <c r="A6" s="114"/>
      <c r="B6" s="114"/>
      <c r="C6" s="114"/>
      <c r="D6" s="114"/>
      <c r="E6" s="110">
        <f t="array" ref="E6">XLOOKUP(C5,'食譜'!$B:$B,'食譜'!$K:$K,"")</f>
        <v>7</v>
      </c>
      <c r="F6" s="110" t="str">
        <f t="array" ref="F6">XLOOKUP(C5,'食譜'!$B:$B,'食譜'!$M:$M,"")</f>
        <v/>
      </c>
      <c r="G6" s="110" t="str">
        <f t="array" ref="G6">XLOOKUP(C5,'食譜'!$B:$B,'食譜'!$O:$O,"")</f>
        <v/>
      </c>
      <c r="H6" s="110" t="str">
        <f t="array" ref="H6">XLOOKUP(C5,'食譜'!$B:$B,'食譜'!$Q:$Q,"")</f>
        <v/>
      </c>
      <c r="I6" s="114"/>
      <c r="J6" s="99"/>
      <c r="K6" s="10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122"/>
      <c r="BY6" s="123"/>
      <c r="BZ6" s="24" t="str">
        <f t="array" ref="BZ6">XLOOKUP(BZ10,'食譜'!$B:$B,'食譜'!$H:$H,"")</f>
        <v/>
      </c>
      <c r="CA6" s="25"/>
      <c r="CB6" s="25"/>
      <c r="CC6" s="26"/>
      <c r="CD6" s="24" t="str">
        <f t="array" ref="CD6">XLOOKUP(CD10,'食譜'!$B:$B,'食譜'!$H:$H,"")</f>
        <v/>
      </c>
      <c r="CE6" s="25"/>
      <c r="CF6" s="25"/>
      <c r="CG6" s="26"/>
      <c r="CH6" s="24" t="str">
        <f t="array" ref="CH6">XLOOKUP(CH10,'食譜'!$B:$B,'食譜'!$H:$H,"")</f>
        <v/>
      </c>
      <c r="CI6" s="25"/>
      <c r="CJ6" s="25"/>
      <c r="CK6" s="26"/>
      <c r="CL6" s="24" t="str">
        <f t="array" ref="CL6">XLOOKUP(CL10,'食譜'!$B:$B,'食譜'!$H:$H,"")</f>
        <v/>
      </c>
      <c r="CM6" s="25"/>
      <c r="CN6" s="25"/>
      <c r="CO6" s="26"/>
      <c r="CP6" s="24" t="str">
        <f t="array" ref="CP6">XLOOKUP(CP10,'食譜'!$B:$B,'食譜'!$H:$H,"")</f>
        <v/>
      </c>
      <c r="CQ6" s="25"/>
      <c r="CR6" s="25"/>
      <c r="CS6" s="26"/>
      <c r="CT6" s="24" t="str">
        <f t="array" ref="CT6">XLOOKUP(CT10,'食譜'!$B:$B,'食譜'!$H:$H,"")</f>
        <v/>
      </c>
      <c r="CU6" s="25"/>
      <c r="CV6" s="25"/>
      <c r="CW6" s="26"/>
      <c r="CX6" s="24" t="str">
        <f t="array" ref="CX6">XLOOKUP(CX10,'食譜'!$B:$B,'食譜'!$H:$H,"")</f>
        <v/>
      </c>
      <c r="CY6" s="25"/>
      <c r="CZ6" s="25"/>
      <c r="DA6" s="26"/>
      <c r="DB6" s="24" t="str">
        <f t="array" ref="DB6">XLOOKUP(DB10,'食譜'!$B:$B,'食譜'!$H:$H,"")</f>
        <v/>
      </c>
      <c r="DC6" s="25"/>
      <c r="DD6" s="25"/>
      <c r="DE6" s="26"/>
      <c r="DF6" s="24" t="str">
        <f t="array" ref="DF6">XLOOKUP(DF10,'食譜'!$B:$B,'食譜'!$H:$H,"")</f>
        <v/>
      </c>
      <c r="DG6" s="25"/>
      <c r="DH6" s="25"/>
      <c r="DI6" s="26"/>
      <c r="DJ6" s="24" t="str">
        <f t="array" ref="DJ6">XLOOKUP(DJ10,'食譜'!$B:$B,'食譜'!$H:$H,"")</f>
        <v/>
      </c>
      <c r="DK6" s="25"/>
      <c r="DL6" s="25"/>
      <c r="DM6" s="26"/>
      <c r="DN6" s="24" t="str">
        <f t="array" ref="DN6">XLOOKUP(DN10,'食譜'!$B:$B,'食譜'!$H:$H,"")</f>
        <v/>
      </c>
      <c r="DO6" s="25"/>
      <c r="DP6" s="25"/>
      <c r="DQ6" s="26"/>
      <c r="DR6" s="24" t="str">
        <f t="array" ref="DR6">XLOOKUP(DR10,'食譜'!$B:$B,'食譜'!$H:$H,"")</f>
        <v/>
      </c>
      <c r="DS6" s="25"/>
      <c r="DT6" s="25"/>
      <c r="DU6" s="26"/>
      <c r="DV6" s="24" t="str">
        <f t="array" ref="DV6">XLOOKUP(DV10,'食譜'!$B:$B,'食譜'!$H:$H,"")</f>
        <v/>
      </c>
      <c r="DW6" s="25"/>
      <c r="DX6" s="25"/>
      <c r="DY6" s="26"/>
      <c r="DZ6" s="24" t="str">
        <f t="array" ref="DZ6">XLOOKUP(DZ10,'食譜'!$B:$B,'食譜'!$H:$H,"")</f>
        <v/>
      </c>
      <c r="EA6" s="25"/>
      <c r="EB6" s="25"/>
      <c r="EC6" s="26"/>
      <c r="ED6" s="1"/>
      <c r="EE6" s="1"/>
      <c r="EF6" s="1"/>
      <c r="EG6" s="1"/>
      <c r="EH6" s="1"/>
      <c r="EI6" s="1"/>
      <c r="EJ6" s="1"/>
      <c r="EK6" s="1"/>
      <c r="EL6" s="1"/>
      <c r="EM6" s="7" t="str">
        <f t="array" ref="EM6">XLOOKUP(EQ6,'食材'!$B:$B,'食材'!$D:$D,"")</f>
        <v/>
      </c>
      <c r="EN6" s="8"/>
      <c r="EO6" s="9">
        <f t="array" ref="EO6">XLOOKUP(EQ6,'食材'!$B:$B,'食材'!$F:$F,"")</f>
        <v>98</v>
      </c>
      <c r="EP6" s="8"/>
      <c r="EQ6" s="10" t="s">
        <v>1</v>
      </c>
      <c r="ER6" s="11"/>
      <c r="ES6" s="11"/>
      <c r="ET6" s="11"/>
      <c r="EU6" s="11"/>
      <c r="EV6" s="11"/>
      <c r="EW6" s="12"/>
      <c r="EX6" s="13"/>
    </row>
    <row r="7" ht="15.0" customHeight="1">
      <c r="A7" s="106">
        <f t="array" ref="A7">XLOOKUP(C7,'食譜'!$B:$B,'食譜'!$F:$F,"")</f>
        <v>0.19</v>
      </c>
      <c r="B7" s="107" t="str">
        <f t="array" ref="B7">XLOOKUP(C7,'食譜'!$B:$B,'食譜'!$A:$A,"")</f>
        <v/>
      </c>
      <c r="C7" s="108" t="str">
        <f>IFERROR(__xludf.DUMMYFUNCTION("""COMPUTED_VALUE"""),"寶寶甜蜜咖哩")</f>
        <v>寶寶甜蜜咖哩</v>
      </c>
      <c r="D7" s="109">
        <f t="array" ref="D7">XLOOKUP(C7,'食譜'!$B:$B,'食譜'!$H:$H,"")</f>
        <v>839</v>
      </c>
      <c r="E7" s="110" t="str">
        <f t="array" ref="E7">XLOOKUP(XLOOKUP(C7,'食譜'!$B:$B,'食譜'!$J:$J,""),'食材'!$B:$B,'食材'!$D:$D,"")</f>
        <v/>
      </c>
      <c r="F7" s="110" t="str">
        <f t="array" ref="F7">XLOOKUP(XLOOKUP(C7,'食譜'!$B:$B,'食譜'!$L:$L,""),'食材'!$B:$B,'食材'!$D:$D,"")</f>
        <v/>
      </c>
      <c r="G7" s="110" t="str">
        <f t="array" ref="G7">XLOOKUP(XLOOKUP(C7,'食譜'!$B:$B,'食譜'!$N:$N,""),'食材'!$B:$B,'食材'!$D:$D,"")</f>
        <v/>
      </c>
      <c r="H7" s="110" t="str">
        <f t="array" ref="H7">XLOOKUP(XLOOKUP(C7,'食譜'!$B:$B,'食譜'!$P:$P,""),'食材'!$B:$B,'食材'!$D:$D,"")</f>
        <v/>
      </c>
      <c r="I7" s="111">
        <f t="array" ref="I7">XLOOKUP(C7,'食譜'!$B:$B,'食譜'!$D:$D,"")</f>
        <v>7</v>
      </c>
      <c r="J7" s="99"/>
      <c r="K7" s="10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124"/>
      <c r="BY7" s="125"/>
      <c r="BZ7" s="27" t="str">
        <f t="array" ref="BZ7">XLOOKUP(BZ10,'食譜'!$B:$B,'食譜'!$A:$A,"")</f>
        <v/>
      </c>
      <c r="CA7" s="28"/>
      <c r="CB7" s="28"/>
      <c r="CC7" s="29"/>
      <c r="CD7" s="27" t="str">
        <f t="array" ref="CD7">XLOOKUP(CD10,'食譜'!$B:$B,'食譜'!$A:$A,"")</f>
        <v/>
      </c>
      <c r="CE7" s="28"/>
      <c r="CF7" s="28"/>
      <c r="CG7" s="29"/>
      <c r="CH7" s="27" t="str">
        <f t="array" ref="CH7">XLOOKUP(CH10,'食譜'!$B:$B,'食譜'!$A:$A,"")</f>
        <v/>
      </c>
      <c r="CI7" s="28"/>
      <c r="CJ7" s="28"/>
      <c r="CK7" s="29"/>
      <c r="CL7" s="27" t="str">
        <f t="array" ref="CL7">XLOOKUP(CL10,'食譜'!$B:$B,'食譜'!$A:$A,"")</f>
        <v/>
      </c>
      <c r="CM7" s="28"/>
      <c r="CN7" s="28"/>
      <c r="CO7" s="29"/>
      <c r="CP7" s="27" t="str">
        <f t="array" ref="CP7">XLOOKUP(CP10,'食譜'!$B:$B,'食譜'!$A:$A,"")</f>
        <v/>
      </c>
      <c r="CQ7" s="28"/>
      <c r="CR7" s="28"/>
      <c r="CS7" s="29"/>
      <c r="CT7" s="27" t="str">
        <f t="array" ref="CT7">XLOOKUP(CT10,'食譜'!$B:$B,'食譜'!$A:$A,"")</f>
        <v/>
      </c>
      <c r="CU7" s="28"/>
      <c r="CV7" s="28"/>
      <c r="CW7" s="29"/>
      <c r="CX7" s="27" t="str">
        <f t="array" ref="CX7">XLOOKUP(CX10,'食譜'!$B:$B,'食譜'!$A:$A,"")</f>
        <v/>
      </c>
      <c r="CY7" s="28"/>
      <c r="CZ7" s="28"/>
      <c r="DA7" s="29"/>
      <c r="DB7" s="27" t="str">
        <f t="array" ref="DB7">XLOOKUP(DB10,'食譜'!$B:$B,'食譜'!$A:$A,"")</f>
        <v/>
      </c>
      <c r="DC7" s="28"/>
      <c r="DD7" s="28"/>
      <c r="DE7" s="29"/>
      <c r="DF7" s="27" t="str">
        <f t="array" ref="DF7">XLOOKUP(DF10,'食譜'!$B:$B,'食譜'!$A:$A,"")</f>
        <v/>
      </c>
      <c r="DG7" s="28"/>
      <c r="DH7" s="28"/>
      <c r="DI7" s="29"/>
      <c r="DJ7" s="27" t="str">
        <f t="array" ref="DJ7">XLOOKUP(DJ10,'食譜'!$B:$B,'食譜'!$A:$A,"")</f>
        <v/>
      </c>
      <c r="DK7" s="28"/>
      <c r="DL7" s="28"/>
      <c r="DM7" s="29"/>
      <c r="DN7" s="27" t="str">
        <f t="array" ref="DN7">XLOOKUP(DN10,'食譜'!$B:$B,'食譜'!$A:$A,"")</f>
        <v/>
      </c>
      <c r="DO7" s="28"/>
      <c r="DP7" s="28"/>
      <c r="DQ7" s="29"/>
      <c r="DR7" s="27" t="str">
        <f t="array" ref="DR7">XLOOKUP(DR10,'食譜'!$B:$B,'食譜'!$A:$A,"")</f>
        <v/>
      </c>
      <c r="DS7" s="28"/>
      <c r="DT7" s="28"/>
      <c r="DU7" s="29"/>
      <c r="DV7" s="27" t="str">
        <f t="array" ref="DV7">XLOOKUP(DV10,'食譜'!$B:$B,'食譜'!$A:$A,"")</f>
        <v/>
      </c>
      <c r="DW7" s="28"/>
      <c r="DX7" s="28"/>
      <c r="DY7" s="29"/>
      <c r="DZ7" s="27" t="str">
        <f t="array" ref="DZ7">XLOOKUP(DZ10,'食譜'!$B:$B,'食譜'!$A:$A,"")</f>
        <v/>
      </c>
      <c r="EA7" s="28"/>
      <c r="EB7" s="28"/>
      <c r="EC7" s="29"/>
      <c r="ED7" s="1"/>
      <c r="EE7" s="1"/>
      <c r="EF7" s="1"/>
      <c r="EG7" s="1"/>
      <c r="EH7" s="1"/>
      <c r="EI7" s="1"/>
      <c r="EJ7" s="1"/>
      <c r="EK7" s="1"/>
      <c r="EL7" s="1"/>
      <c r="EM7" s="19"/>
      <c r="EN7" s="20"/>
      <c r="EO7" s="21"/>
      <c r="EP7" s="20"/>
      <c r="EQ7" s="21"/>
      <c r="ER7" s="22"/>
      <c r="ES7" s="22"/>
      <c r="ET7" s="22"/>
      <c r="EU7" s="22"/>
      <c r="EV7" s="22"/>
      <c r="EW7" s="23"/>
      <c r="EX7" s="13"/>
    </row>
    <row r="8" ht="15.0" customHeight="1">
      <c r="A8" s="114"/>
      <c r="B8" s="114"/>
      <c r="C8" s="114"/>
      <c r="D8" s="114"/>
      <c r="E8" s="110">
        <f t="array" ref="E8">XLOOKUP(C7,'食譜'!$B:$B,'食譜'!$K:$K,"")</f>
        <v>7</v>
      </c>
      <c r="F8" s="110" t="str">
        <f t="array" ref="F8">XLOOKUP(C7,'食譜'!$B:$B,'食譜'!$M:$M,"")</f>
        <v/>
      </c>
      <c r="G8" s="110" t="str">
        <f t="array" ref="G8">XLOOKUP(C7,'食譜'!$B:$B,'食譜'!$O:$O,"")</f>
        <v/>
      </c>
      <c r="H8" s="110" t="str">
        <f t="array" ref="H8">XLOOKUP(C7,'食譜'!$B:$B,'食譜'!$Q:$Q,"")</f>
        <v/>
      </c>
      <c r="I8" s="114"/>
      <c r="J8" s="99"/>
      <c r="K8" s="10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126"/>
      <c r="BY8" s="127"/>
      <c r="BZ8" s="14"/>
      <c r="CC8" s="15"/>
      <c r="CD8" s="14"/>
      <c r="CG8" s="15"/>
      <c r="CH8" s="14"/>
      <c r="CK8" s="15"/>
      <c r="CL8" s="14"/>
      <c r="CO8" s="15"/>
      <c r="CP8" s="14"/>
      <c r="CS8" s="15"/>
      <c r="CT8" s="14"/>
      <c r="CW8" s="15"/>
      <c r="CX8" s="14"/>
      <c r="DA8" s="15"/>
      <c r="DB8" s="14"/>
      <c r="DE8" s="15"/>
      <c r="DF8" s="14"/>
      <c r="DI8" s="15"/>
      <c r="DJ8" s="14"/>
      <c r="DM8" s="15"/>
      <c r="DN8" s="14"/>
      <c r="DQ8" s="15"/>
      <c r="DR8" s="14"/>
      <c r="DU8" s="15"/>
      <c r="DV8" s="14"/>
      <c r="DY8" s="15"/>
      <c r="DZ8" s="14"/>
      <c r="EC8" s="15"/>
      <c r="ED8" s="1"/>
      <c r="EE8" s="1"/>
      <c r="EF8" s="1"/>
      <c r="EG8" s="1"/>
      <c r="EH8" s="1"/>
      <c r="EI8" s="1"/>
      <c r="EJ8" s="1"/>
      <c r="EK8" s="1"/>
      <c r="EL8" s="1"/>
      <c r="EM8" s="7" t="str">
        <f t="array" ref="EM8">XLOOKUP(EQ8,'食材'!$B:$B,'食材'!$D:$D,"")</f>
        <v/>
      </c>
      <c r="EN8" s="8"/>
      <c r="EO8" s="9">
        <f t="array" ref="EO8">XLOOKUP(EQ8,'食材'!$B:$B,'食材'!$F:$F,"")</f>
        <v>100</v>
      </c>
      <c r="EP8" s="8"/>
      <c r="EQ8" s="10" t="s">
        <v>2</v>
      </c>
      <c r="ER8" s="11"/>
      <c r="ES8" s="11"/>
      <c r="ET8" s="11"/>
      <c r="EU8" s="11"/>
      <c r="EV8" s="11"/>
      <c r="EW8" s="12"/>
      <c r="EX8" s="13"/>
    </row>
    <row r="9" ht="15.0" customHeight="1">
      <c r="A9" s="106">
        <f t="array" ref="A9">XLOOKUP(C9,'食譜'!$B:$B,'食譜'!$F:$F,"")</f>
        <v>0.19</v>
      </c>
      <c r="B9" s="107" t="str">
        <f t="array" ref="B9">XLOOKUP(C9,'食譜'!$B:$B,'食譜'!$A:$A,"")</f>
        <v/>
      </c>
      <c r="C9" s="108" t="str">
        <f>IFERROR(__xludf.DUMMYFUNCTION("""COMPUTED_VALUE"""),"豆製肉排咖哩")</f>
        <v>豆製肉排咖哩</v>
      </c>
      <c r="D9" s="109">
        <f t="array" ref="D9">XLOOKUP(C9,'食譜'!$B:$B,'食譜'!$H:$H,"")</f>
        <v>856</v>
      </c>
      <c r="E9" s="110" t="str">
        <f t="array" ref="E9">XLOOKUP(XLOOKUP(C9,'食譜'!$B:$B,'食譜'!$J:$J,""),'食材'!$B:$B,'食材'!$D:$D,"")</f>
        <v/>
      </c>
      <c r="F9" s="110" t="str">
        <f t="array" ref="F9">XLOOKUP(XLOOKUP(C9,'食譜'!$B:$B,'食譜'!$L:$L,""),'食材'!$B:$B,'食材'!$D:$D,"")</f>
        <v/>
      </c>
      <c r="G9" s="110" t="str">
        <f t="array" ref="G9">XLOOKUP(XLOOKUP(C9,'食譜'!$B:$B,'食譜'!$N:$N,""),'食材'!$B:$B,'食材'!$D:$D,"")</f>
        <v/>
      </c>
      <c r="H9" s="110" t="str">
        <f t="array" ref="H9">XLOOKUP(XLOOKUP(C9,'食譜'!$B:$B,'食譜'!$P:$P,""),'食材'!$B:$B,'食材'!$D:$D,"")</f>
        <v/>
      </c>
      <c r="I9" s="111">
        <f t="array" ref="I9">XLOOKUP(C9,'食譜'!$B:$B,'食譜'!$D:$D,"")</f>
        <v>7</v>
      </c>
      <c r="J9" s="99"/>
      <c r="K9" s="10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128"/>
      <c r="BY9" s="129"/>
      <c r="BZ9" s="16"/>
      <c r="CA9" s="17"/>
      <c r="CB9" s="17"/>
      <c r="CC9" s="18"/>
      <c r="CD9" s="16"/>
      <c r="CE9" s="17"/>
      <c r="CF9" s="17"/>
      <c r="CG9" s="18"/>
      <c r="CH9" s="16"/>
      <c r="CI9" s="17"/>
      <c r="CJ9" s="17"/>
      <c r="CK9" s="18"/>
      <c r="CL9" s="16"/>
      <c r="CM9" s="17"/>
      <c r="CN9" s="17"/>
      <c r="CO9" s="18"/>
      <c r="CP9" s="16"/>
      <c r="CQ9" s="17"/>
      <c r="CR9" s="17"/>
      <c r="CS9" s="18"/>
      <c r="CT9" s="16"/>
      <c r="CU9" s="17"/>
      <c r="CV9" s="17"/>
      <c r="CW9" s="18"/>
      <c r="CX9" s="16"/>
      <c r="CY9" s="17"/>
      <c r="CZ9" s="17"/>
      <c r="DA9" s="18"/>
      <c r="DB9" s="16"/>
      <c r="DC9" s="17"/>
      <c r="DD9" s="17"/>
      <c r="DE9" s="18"/>
      <c r="DF9" s="16"/>
      <c r="DG9" s="17"/>
      <c r="DH9" s="17"/>
      <c r="DI9" s="18"/>
      <c r="DJ9" s="16"/>
      <c r="DK9" s="17"/>
      <c r="DL9" s="17"/>
      <c r="DM9" s="18"/>
      <c r="DN9" s="16"/>
      <c r="DO9" s="17"/>
      <c r="DP9" s="17"/>
      <c r="DQ9" s="18"/>
      <c r="DR9" s="16"/>
      <c r="DS9" s="17"/>
      <c r="DT9" s="17"/>
      <c r="DU9" s="18"/>
      <c r="DV9" s="16"/>
      <c r="DW9" s="17"/>
      <c r="DX9" s="17"/>
      <c r="DY9" s="18"/>
      <c r="DZ9" s="16"/>
      <c r="EA9" s="17"/>
      <c r="EB9" s="17"/>
      <c r="EC9" s="18"/>
      <c r="ED9" s="1"/>
      <c r="EE9" s="1"/>
      <c r="EF9" s="1"/>
      <c r="EG9" s="1"/>
      <c r="EH9" s="1"/>
      <c r="EI9" s="1"/>
      <c r="EJ9" s="1"/>
      <c r="EK9" s="1"/>
      <c r="EL9" s="1"/>
      <c r="EM9" s="19"/>
      <c r="EN9" s="20"/>
      <c r="EO9" s="21"/>
      <c r="EP9" s="20"/>
      <c r="EQ9" s="21"/>
      <c r="ER9" s="22"/>
      <c r="ES9" s="22"/>
      <c r="ET9" s="22"/>
      <c r="EU9" s="22"/>
      <c r="EV9" s="22"/>
      <c r="EW9" s="23"/>
      <c r="EX9" s="13"/>
    </row>
    <row r="10" ht="15.0" customHeight="1">
      <c r="A10" s="114"/>
      <c r="B10" s="114"/>
      <c r="C10" s="114"/>
      <c r="D10" s="114"/>
      <c r="E10" s="110">
        <f t="array" ref="E10">XLOOKUP(C9,'食譜'!$B:$B,'食譜'!$K:$K,"")</f>
        <v>7</v>
      </c>
      <c r="F10" s="110" t="str">
        <f t="array" ref="F10">XLOOKUP(C9,'食譜'!$B:$B,'食譜'!$M:$M,"")</f>
        <v/>
      </c>
      <c r="G10" s="110" t="str">
        <f t="array" ref="G10">XLOOKUP(C9,'食譜'!$B:$B,'食譜'!$O:$O,"")</f>
        <v/>
      </c>
      <c r="H10" s="110" t="str">
        <f t="array" ref="H10">XLOOKUP(C9,'食譜'!$B:$B,'食譜'!$Q:$Q,"")</f>
        <v/>
      </c>
      <c r="I10" s="114"/>
      <c r="J10" s="130"/>
      <c r="K10" s="131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132"/>
      <c r="BY10" s="133"/>
      <c r="BZ10" s="31"/>
      <c r="CA10" s="28"/>
      <c r="CB10" s="28"/>
      <c r="CC10" s="29"/>
      <c r="CD10" s="31"/>
      <c r="CE10" s="28"/>
      <c r="CF10" s="28"/>
      <c r="CG10" s="29"/>
      <c r="CH10" s="31"/>
      <c r="CI10" s="28"/>
      <c r="CJ10" s="28"/>
      <c r="CK10" s="29"/>
      <c r="CL10" s="31"/>
      <c r="CM10" s="28"/>
      <c r="CN10" s="28"/>
      <c r="CO10" s="29"/>
      <c r="CP10" s="31"/>
      <c r="CQ10" s="28"/>
      <c r="CR10" s="28"/>
      <c r="CS10" s="29"/>
      <c r="CT10" s="31"/>
      <c r="CU10" s="28"/>
      <c r="CV10" s="28"/>
      <c r="CW10" s="29"/>
      <c r="CX10" s="31"/>
      <c r="CY10" s="28"/>
      <c r="CZ10" s="28"/>
      <c r="DA10" s="29"/>
      <c r="DB10" s="31"/>
      <c r="DC10" s="28"/>
      <c r="DD10" s="28"/>
      <c r="DE10" s="29"/>
      <c r="DF10" s="31"/>
      <c r="DG10" s="28"/>
      <c r="DH10" s="28"/>
      <c r="DI10" s="29"/>
      <c r="DJ10" s="31"/>
      <c r="DK10" s="28"/>
      <c r="DL10" s="28"/>
      <c r="DM10" s="29"/>
      <c r="DN10" s="31"/>
      <c r="DO10" s="28"/>
      <c r="DP10" s="28"/>
      <c r="DQ10" s="29"/>
      <c r="DR10" s="31"/>
      <c r="DS10" s="28"/>
      <c r="DT10" s="28"/>
      <c r="DU10" s="29"/>
      <c r="DV10" s="31"/>
      <c r="DW10" s="28"/>
      <c r="DX10" s="28"/>
      <c r="DY10" s="29"/>
      <c r="DZ10" s="31"/>
      <c r="EA10" s="28"/>
      <c r="EB10" s="28"/>
      <c r="EC10" s="29"/>
      <c r="ED10" s="1"/>
      <c r="EE10" s="1"/>
      <c r="EF10" s="1"/>
      <c r="EG10" s="1"/>
      <c r="EH10" s="1"/>
      <c r="EI10" s="1"/>
      <c r="EJ10" s="1"/>
      <c r="EK10" s="1"/>
      <c r="EL10" s="1"/>
      <c r="EM10" s="7" t="str">
        <f t="array" ref="EM10">XLOOKUP(EQ10,'食材'!$B:$B,'食材'!$D:$D,"")</f>
        <v/>
      </c>
      <c r="EN10" s="8"/>
      <c r="EO10" s="9">
        <f t="array" ref="EO10">XLOOKUP(EQ10,'食材'!$B:$B,'食材'!$F:$F,"")</f>
        <v>101</v>
      </c>
      <c r="EP10" s="8"/>
      <c r="EQ10" s="10" t="s">
        <v>3</v>
      </c>
      <c r="ER10" s="11"/>
      <c r="ES10" s="11"/>
      <c r="ET10" s="11"/>
      <c r="EU10" s="11"/>
      <c r="EV10" s="11"/>
      <c r="EW10" s="12"/>
      <c r="EX10" s="13"/>
    </row>
    <row r="11" ht="15.0" customHeight="1">
      <c r="A11" s="106">
        <f t="array" ref="A11">XLOOKUP(C11,'食譜'!$B:$B,'食譜'!$F:$F,"")</f>
        <v>0.19</v>
      </c>
      <c r="B11" s="107" t="str">
        <f t="array" ref="B11">XLOOKUP(C11,'食譜'!$B:$B,'食譜'!$A:$A,"")</f>
        <v/>
      </c>
      <c r="C11" s="108" t="str">
        <f>IFERROR(__xludf.DUMMYFUNCTION("""COMPUTED_VALUE"""),"吃飽飽起司肉排咖哩")</f>
        <v>吃飽飽起司肉排咖哩</v>
      </c>
      <c r="D11" s="109">
        <f t="array" ref="D11">XLOOKUP(C11,'食譜'!$B:$B,'食譜'!$H:$H,"")</f>
        <v>1910</v>
      </c>
      <c r="E11" s="110" t="str">
        <f t="array" ref="E11">XLOOKUP(XLOOKUP(C11,'食譜'!$B:$B,'食譜'!$J:$J,""),'食材'!$B:$B,'食材'!$D:$D,"")</f>
        <v/>
      </c>
      <c r="F11" s="110" t="str">
        <f t="array" ref="F11">XLOOKUP(XLOOKUP(C11,'食譜'!$B:$B,'食譜'!$L:$L,""),'食材'!$B:$B,'食材'!$D:$D,"")</f>
        <v/>
      </c>
      <c r="G11" s="110" t="str">
        <f t="array" ref="G11">XLOOKUP(XLOOKUP(C11,'食譜'!$B:$B,'食譜'!$N:$N,""),'食材'!$B:$B,'食材'!$D:$D,"")</f>
        <v/>
      </c>
      <c r="H11" s="110" t="str">
        <f t="array" ref="H11">XLOOKUP(XLOOKUP(C11,'食譜'!$B:$B,'食譜'!$P:$P,""),'食材'!$B:$B,'食材'!$D:$D,"")</f>
        <v/>
      </c>
      <c r="I11" s="111">
        <f t="array" ref="I11">XLOOKUP(C11,'食譜'!$B:$B,'食譜'!$D:$D,"")</f>
        <v>16</v>
      </c>
      <c r="J11" s="130"/>
      <c r="K11" s="131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134"/>
      <c r="BY11" s="135"/>
      <c r="BZ11" s="16"/>
      <c r="CA11" s="17"/>
      <c r="CB11" s="17"/>
      <c r="CC11" s="18"/>
      <c r="CD11" s="16"/>
      <c r="CE11" s="17"/>
      <c r="CF11" s="17"/>
      <c r="CG11" s="18"/>
      <c r="CH11" s="16"/>
      <c r="CI11" s="17"/>
      <c r="CJ11" s="17"/>
      <c r="CK11" s="18"/>
      <c r="CL11" s="16"/>
      <c r="CM11" s="17"/>
      <c r="CN11" s="17"/>
      <c r="CO11" s="18"/>
      <c r="CP11" s="16"/>
      <c r="CQ11" s="17"/>
      <c r="CR11" s="17"/>
      <c r="CS11" s="18"/>
      <c r="CT11" s="16"/>
      <c r="CU11" s="17"/>
      <c r="CV11" s="17"/>
      <c r="CW11" s="18"/>
      <c r="CX11" s="16"/>
      <c r="CY11" s="17"/>
      <c r="CZ11" s="17"/>
      <c r="DA11" s="18"/>
      <c r="DB11" s="16"/>
      <c r="DC11" s="17"/>
      <c r="DD11" s="17"/>
      <c r="DE11" s="18"/>
      <c r="DF11" s="16"/>
      <c r="DG11" s="17"/>
      <c r="DH11" s="17"/>
      <c r="DI11" s="18"/>
      <c r="DJ11" s="16"/>
      <c r="DK11" s="17"/>
      <c r="DL11" s="17"/>
      <c r="DM11" s="18"/>
      <c r="DN11" s="16"/>
      <c r="DO11" s="17"/>
      <c r="DP11" s="17"/>
      <c r="DQ11" s="18"/>
      <c r="DR11" s="16"/>
      <c r="DS11" s="17"/>
      <c r="DT11" s="17"/>
      <c r="DU11" s="18"/>
      <c r="DV11" s="16"/>
      <c r="DW11" s="17"/>
      <c r="DX11" s="17"/>
      <c r="DY11" s="18"/>
      <c r="DZ11" s="16"/>
      <c r="EA11" s="17"/>
      <c r="EB11" s="17"/>
      <c r="EC11" s="18"/>
      <c r="ED11" s="1"/>
      <c r="EE11" s="1"/>
      <c r="EF11" s="1"/>
      <c r="EG11" s="1"/>
      <c r="EH11" s="1"/>
      <c r="EI11" s="1"/>
      <c r="EJ11" s="1"/>
      <c r="EK11" s="1"/>
      <c r="EL11" s="1"/>
      <c r="EM11" s="19"/>
      <c r="EN11" s="20"/>
      <c r="EO11" s="21"/>
      <c r="EP11" s="20"/>
      <c r="EQ11" s="21"/>
      <c r="ER11" s="22"/>
      <c r="ES11" s="22"/>
      <c r="ET11" s="22"/>
      <c r="EU11" s="22"/>
      <c r="EV11" s="22"/>
      <c r="EW11" s="23"/>
      <c r="EX11" s="13"/>
    </row>
    <row r="12" ht="15.0" customHeight="1">
      <c r="A12" s="114"/>
      <c r="B12" s="114"/>
      <c r="C12" s="114"/>
      <c r="D12" s="114"/>
      <c r="E12" s="110">
        <f t="array" ref="E12">XLOOKUP(C11,'食譜'!$B:$B,'食譜'!$K:$K,"")</f>
        <v>8</v>
      </c>
      <c r="F12" s="110">
        <f t="array" ref="F12">XLOOKUP(C11,'食譜'!$B:$B,'食譜'!$M:$M,"")</f>
        <v>8</v>
      </c>
      <c r="G12" s="110" t="str">
        <f t="array" ref="G12">XLOOKUP(C11,'食譜'!$B:$B,'食譜'!$O:$O,"")</f>
        <v/>
      </c>
      <c r="H12" s="110" t="str">
        <f t="array" ref="H12">XLOOKUP(C11,'食譜'!$B:$B,'食譜'!$Q:$Q,"")</f>
        <v/>
      </c>
      <c r="I12" s="114"/>
      <c r="J12" s="99"/>
      <c r="K12" s="10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34" t="str">
        <f t="array" ref="BX12">XLOOKUP(BV10,'食譜'!$B:$B,'食譜'!$K:$K,"")</f>
        <v/>
      </c>
      <c r="BY12" s="29"/>
      <c r="BZ12" s="32" t="str">
        <f t="array" ref="BZ12">XLOOKUP(XLOOKUP(BZ10,'食譜'!$B:$B,'食譜'!$J:$J,""),'食材'!$B:$B,'食材'!$D:$D,"")</f>
        <v/>
      </c>
      <c r="CA12" s="33"/>
      <c r="CB12" s="34" t="str">
        <f t="array" ref="CB12">XLOOKUP(BZ10,'食譜'!$B:$B,'食譜'!$K:$K,"")</f>
        <v/>
      </c>
      <c r="CC12" s="29"/>
      <c r="CD12" s="32" t="str">
        <f t="array" ref="CD12">XLOOKUP(XLOOKUP(CD10,'食譜'!$B:$B,'食譜'!$J:$J,""),'食材'!$B:$B,'食材'!$D:$D,"")</f>
        <v/>
      </c>
      <c r="CE12" s="33"/>
      <c r="CF12" s="34" t="str">
        <f t="array" ref="CF12">XLOOKUP(CD10,'食譜'!$B:$B,'食譜'!$K:$K,"")</f>
        <v/>
      </c>
      <c r="CG12" s="29"/>
      <c r="CH12" s="32" t="str">
        <f t="array" ref="CH12">XLOOKUP(XLOOKUP(CH10,'食譜'!$B:$B,'食譜'!$J:$J,""),'食材'!$B:$B,'食材'!$D:$D,"")</f>
        <v/>
      </c>
      <c r="CI12" s="33"/>
      <c r="CJ12" s="34" t="str">
        <f t="array" ref="CJ12">XLOOKUP(CH10,'食譜'!$B:$B,'食譜'!$K:$K,"")</f>
        <v/>
      </c>
      <c r="CK12" s="29"/>
      <c r="CL12" s="32" t="str">
        <f t="array" ref="CL12">XLOOKUP(XLOOKUP(CL10,'食譜'!$B:$B,'食譜'!$J:$J,""),'食材'!$B:$B,'食材'!$D:$D,"")</f>
        <v/>
      </c>
      <c r="CM12" s="33"/>
      <c r="CN12" s="34" t="str">
        <f t="array" ref="CN12">XLOOKUP(CL10,'食譜'!$B:$B,'食譜'!$K:$K,"")</f>
        <v/>
      </c>
      <c r="CO12" s="29"/>
      <c r="CP12" s="32" t="str">
        <f t="array" ref="CP12">XLOOKUP(XLOOKUP(CP10,'食譜'!$B:$B,'食譜'!$J:$J,""),'食材'!$B:$B,'食材'!$D:$D,"")</f>
        <v/>
      </c>
      <c r="CQ12" s="33"/>
      <c r="CR12" s="34" t="str">
        <f t="array" ref="CR12">XLOOKUP(CP10,'食譜'!$B:$B,'食譜'!$K:$K,"")</f>
        <v/>
      </c>
      <c r="CS12" s="29"/>
      <c r="CT12" s="32" t="str">
        <f t="array" ref="CT12">XLOOKUP(XLOOKUP(CT10,'食譜'!$B:$B,'食譜'!$J:$J,""),'食材'!$B:$B,'食材'!$D:$D,"")</f>
        <v/>
      </c>
      <c r="CU12" s="33"/>
      <c r="CV12" s="34" t="str">
        <f t="array" ref="CV12">XLOOKUP(CT10,'食譜'!$B:$B,'食譜'!$K:$K,"")</f>
        <v/>
      </c>
      <c r="CW12" s="29"/>
      <c r="CX12" s="32" t="str">
        <f t="array" ref="CX12">XLOOKUP(XLOOKUP(CX10,'食譜'!$B:$B,'食譜'!$J:$J,""),'食材'!$B:$B,'食材'!$D:$D,"")</f>
        <v/>
      </c>
      <c r="CY12" s="33"/>
      <c r="CZ12" s="34" t="str">
        <f t="array" ref="CZ12">XLOOKUP(CX10,'食譜'!$B:$B,'食譜'!$K:$K,"")</f>
        <v/>
      </c>
      <c r="DA12" s="29"/>
      <c r="DB12" s="32" t="str">
        <f t="array" ref="DB12">XLOOKUP(XLOOKUP(DB10,'食譜'!$B:$B,'食譜'!$J:$J,""),'食材'!$B:$B,'食材'!$D:$D,"")</f>
        <v/>
      </c>
      <c r="DC12" s="33"/>
      <c r="DD12" s="34" t="str">
        <f t="array" ref="DD12">XLOOKUP(DB10,'食譜'!$B:$B,'食譜'!$K:$K,"")</f>
        <v/>
      </c>
      <c r="DE12" s="29"/>
      <c r="DF12" s="32" t="str">
        <f t="array" ref="DF12">XLOOKUP(XLOOKUP(DF10,'食譜'!$B:$B,'食譜'!$J:$J,""),'食材'!$B:$B,'食材'!$D:$D,"")</f>
        <v/>
      </c>
      <c r="DG12" s="33"/>
      <c r="DH12" s="34" t="str">
        <f t="array" ref="DH12">XLOOKUP(DF10,'食譜'!$B:$B,'食譜'!$K:$K,"")</f>
        <v/>
      </c>
      <c r="DI12" s="29"/>
      <c r="DJ12" s="32" t="str">
        <f t="array" ref="DJ12">XLOOKUP(XLOOKUP(DJ10,'食譜'!$B:$B,'食譜'!$J:$J,""),'食材'!$B:$B,'食材'!$D:$D,"")</f>
        <v/>
      </c>
      <c r="DK12" s="33"/>
      <c r="DL12" s="34" t="str">
        <f t="array" ref="DL12">XLOOKUP(DJ10,'食譜'!$B:$B,'食譜'!$K:$K,"")</f>
        <v/>
      </c>
      <c r="DM12" s="29"/>
      <c r="DN12" s="32" t="str">
        <f t="array" ref="DN12">XLOOKUP(XLOOKUP(DN10,'食譜'!$B:$B,'食譜'!$J:$J,""),'食材'!$B:$B,'食材'!$D:$D,"")</f>
        <v/>
      </c>
      <c r="DO12" s="33"/>
      <c r="DP12" s="34" t="str">
        <f t="array" ref="DP12">XLOOKUP(DN10,'食譜'!$B:$B,'食譜'!$K:$K,"")</f>
        <v/>
      </c>
      <c r="DQ12" s="29"/>
      <c r="DR12" s="32" t="str">
        <f t="array" ref="DR12">XLOOKUP(XLOOKUP(DR10,'食譜'!$B:$B,'食譜'!$J:$J,""),'食材'!$B:$B,'食材'!$D:$D,"")</f>
        <v/>
      </c>
      <c r="DS12" s="33"/>
      <c r="DT12" s="34" t="str">
        <f t="array" ref="DT12">XLOOKUP(DR10,'食譜'!$B:$B,'食譜'!$K:$K,"")</f>
        <v/>
      </c>
      <c r="DU12" s="29"/>
      <c r="DV12" s="32" t="str">
        <f t="array" ref="DV12">XLOOKUP(XLOOKUP(DV10,'食譜'!$B:$B,'食譜'!$J:$J,""),'食材'!$B:$B,'食材'!$D:$D,"")</f>
        <v/>
      </c>
      <c r="DW12" s="33"/>
      <c r="DX12" s="34" t="str">
        <f t="array" ref="DX12">XLOOKUP(DV10,'食譜'!$B:$B,'食譜'!$K:$K,"")</f>
        <v/>
      </c>
      <c r="DY12" s="29"/>
      <c r="DZ12" s="32" t="str">
        <f t="array" ref="DZ12">XLOOKUP(XLOOKUP(DZ10,'食譜'!$B:$B,'食譜'!$J:$J,""),'食材'!$B:$B,'食材'!$D:$D,"")</f>
        <v/>
      </c>
      <c r="EA12" s="33"/>
      <c r="EB12" s="34" t="str">
        <f t="array" ref="EB12">XLOOKUP(DZ10,'食譜'!$B:$B,'食譜'!$K:$K,"")</f>
        <v/>
      </c>
      <c r="EC12" s="29"/>
      <c r="ED12" s="1"/>
      <c r="EE12" s="1"/>
      <c r="EF12" s="1"/>
      <c r="EG12" s="1"/>
      <c r="EH12" s="1"/>
      <c r="EI12" s="1"/>
      <c r="EJ12" s="1"/>
      <c r="EK12" s="1"/>
      <c r="EL12" s="1"/>
      <c r="EM12" s="7" t="str">
        <f t="array" ref="EM12">XLOOKUP(EQ12,'食材'!$B:$B,'食材'!$D:$D,"")</f>
        <v/>
      </c>
      <c r="EN12" s="8"/>
      <c r="EO12" s="9">
        <f t="array" ref="EO12">XLOOKUP(EQ12,'食材'!$B:$B,'食材'!$F:$F,"")</f>
        <v>103</v>
      </c>
      <c r="EP12" s="8"/>
      <c r="EQ12" s="10" t="s">
        <v>4</v>
      </c>
      <c r="ER12" s="11"/>
      <c r="ES12" s="11"/>
      <c r="ET12" s="11"/>
      <c r="EU12" s="11"/>
      <c r="EV12" s="11"/>
      <c r="EW12" s="12"/>
      <c r="EX12" s="13"/>
    </row>
    <row r="13" ht="15.0" customHeight="1">
      <c r="A13" s="106">
        <f t="array" ref="A13">XLOOKUP(C13,'食譜'!$B:$B,'食譜'!$F:$F,"")</f>
        <v>0.19</v>
      </c>
      <c r="B13" s="107" t="str">
        <f t="array" ref="B13">XLOOKUP(C13,'食譜'!$B:$B,'食譜'!$A:$A,"")</f>
        <v/>
      </c>
      <c r="C13" s="108" t="str">
        <f>IFERROR(__xludf.DUMMYFUNCTION("""COMPUTED_VALUE"""),"日照炸肉排咖哩")</f>
        <v>日照炸肉排咖哩</v>
      </c>
      <c r="D13" s="109">
        <f t="array" ref="D13">XLOOKUP(C13,'食譜'!$B:$B,'食譜'!$H:$H,"")</f>
        <v>1942</v>
      </c>
      <c r="E13" s="110" t="str">
        <f t="array" ref="E13">XLOOKUP(XLOOKUP(C13,'食譜'!$B:$B,'食譜'!$J:$J,""),'食材'!$B:$B,'食材'!$D:$D,"")</f>
        <v/>
      </c>
      <c r="F13" s="110" t="str">
        <f t="array" ref="F13">XLOOKUP(XLOOKUP(C13,'食譜'!$B:$B,'食譜'!$L:$L,""),'食材'!$B:$B,'食材'!$D:$D,"")</f>
        <v/>
      </c>
      <c r="G13" s="110" t="str">
        <f t="array" ref="G13">XLOOKUP(XLOOKUP(C13,'食譜'!$B:$B,'食譜'!$N:$N,""),'食材'!$B:$B,'食材'!$D:$D,"")</f>
        <v/>
      </c>
      <c r="H13" s="110" t="str">
        <f t="array" ref="H13">XLOOKUP(XLOOKUP(C13,'食譜'!$B:$B,'食譜'!$P:$P,""),'食材'!$B:$B,'食材'!$D:$D,"")</f>
        <v/>
      </c>
      <c r="I13" s="111">
        <f t="array" ref="I13">XLOOKUP(C13,'食譜'!$B:$B,'食譜'!$D:$D,"")</f>
        <v>15</v>
      </c>
      <c r="J13" s="99"/>
      <c r="K13" s="10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36"/>
      <c r="BY13" s="18"/>
      <c r="BZ13" s="16"/>
      <c r="CA13" s="35"/>
      <c r="CB13" s="36"/>
      <c r="CC13" s="18"/>
      <c r="CD13" s="16"/>
      <c r="CE13" s="35"/>
      <c r="CF13" s="36"/>
      <c r="CG13" s="18"/>
      <c r="CH13" s="16"/>
      <c r="CI13" s="35"/>
      <c r="CJ13" s="36"/>
      <c r="CK13" s="18"/>
      <c r="CL13" s="16"/>
      <c r="CM13" s="35"/>
      <c r="CN13" s="36"/>
      <c r="CO13" s="18"/>
      <c r="CP13" s="16"/>
      <c r="CQ13" s="35"/>
      <c r="CR13" s="36"/>
      <c r="CS13" s="18"/>
      <c r="CT13" s="16"/>
      <c r="CU13" s="35"/>
      <c r="CV13" s="36"/>
      <c r="CW13" s="18"/>
      <c r="CX13" s="16"/>
      <c r="CY13" s="35"/>
      <c r="CZ13" s="36"/>
      <c r="DA13" s="18"/>
      <c r="DB13" s="16"/>
      <c r="DC13" s="35"/>
      <c r="DD13" s="36"/>
      <c r="DE13" s="18"/>
      <c r="DF13" s="16"/>
      <c r="DG13" s="35"/>
      <c r="DH13" s="36"/>
      <c r="DI13" s="18"/>
      <c r="DJ13" s="16"/>
      <c r="DK13" s="35"/>
      <c r="DL13" s="36"/>
      <c r="DM13" s="18"/>
      <c r="DN13" s="16"/>
      <c r="DO13" s="35"/>
      <c r="DP13" s="36"/>
      <c r="DQ13" s="18"/>
      <c r="DR13" s="16"/>
      <c r="DS13" s="35"/>
      <c r="DT13" s="36"/>
      <c r="DU13" s="18"/>
      <c r="DV13" s="16"/>
      <c r="DW13" s="35"/>
      <c r="DX13" s="36"/>
      <c r="DY13" s="18"/>
      <c r="DZ13" s="16"/>
      <c r="EA13" s="35"/>
      <c r="EB13" s="36"/>
      <c r="EC13" s="18"/>
      <c r="ED13" s="1"/>
      <c r="EE13" s="1"/>
      <c r="EF13" s="1"/>
      <c r="EG13" s="1"/>
      <c r="EH13" s="1"/>
      <c r="EI13" s="1"/>
      <c r="EJ13" s="1"/>
      <c r="EK13" s="1"/>
      <c r="EL13" s="1"/>
      <c r="EM13" s="19"/>
      <c r="EN13" s="20"/>
      <c r="EO13" s="21"/>
      <c r="EP13" s="20"/>
      <c r="EQ13" s="21"/>
      <c r="ER13" s="22"/>
      <c r="ES13" s="22"/>
      <c r="ET13" s="22"/>
      <c r="EU13" s="22"/>
      <c r="EV13" s="22"/>
      <c r="EW13" s="23"/>
      <c r="EX13" s="13"/>
    </row>
    <row r="14" ht="15.0" customHeight="1">
      <c r="A14" s="114"/>
      <c r="B14" s="114"/>
      <c r="C14" s="114"/>
      <c r="D14" s="114"/>
      <c r="E14" s="110">
        <f t="array" ref="E14">XLOOKUP(C13,'食譜'!$B:$B,'食譜'!$K:$K,"")</f>
        <v>10</v>
      </c>
      <c r="F14" s="110">
        <f t="array" ref="F14">XLOOKUP(C13,'食譜'!$B:$B,'食譜'!$M:$M,"")</f>
        <v>5</v>
      </c>
      <c r="G14" s="110" t="str">
        <f t="array" ref="G14">XLOOKUP(C13,'食譜'!$B:$B,'食譜'!$O:$O,"")</f>
        <v/>
      </c>
      <c r="H14" s="110" t="str">
        <f t="array" ref="H14">XLOOKUP(C13,'食譜'!$B:$B,'食譜'!$Q:$Q,"")</f>
        <v/>
      </c>
      <c r="I14" s="114"/>
      <c r="J14" s="99"/>
      <c r="K14" s="10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34" t="str">
        <f t="array" ref="BX14">XLOOKUP(BV10,'食譜'!$B:$B,'食譜'!$M:$M,"")</f>
        <v/>
      </c>
      <c r="BY14" s="29"/>
      <c r="BZ14" s="32" t="str">
        <f t="array" ref="BZ14">XLOOKUP(XLOOKUP(BZ10,'食譜'!$B:$B,'食譜'!$L:$L,""),'食材'!$B:$B,'食材'!$D:$D,"")</f>
        <v/>
      </c>
      <c r="CA14" s="33"/>
      <c r="CB14" s="34" t="str">
        <f t="array" ref="CB14">XLOOKUP(BZ10,'食譜'!$B:$B,'食譜'!$M:$M,"")</f>
        <v/>
      </c>
      <c r="CC14" s="29"/>
      <c r="CD14" s="32" t="str">
        <f t="array" ref="CD14">XLOOKUP(XLOOKUP(CD10,'食譜'!$B:$B,'食譜'!$L:$L,""),'食材'!$B:$B,'食材'!$D:$D,"")</f>
        <v/>
      </c>
      <c r="CE14" s="33"/>
      <c r="CF14" s="34" t="str">
        <f t="array" ref="CF14">XLOOKUP(CD10,'食譜'!$B:$B,'食譜'!$M:$M,"")</f>
        <v/>
      </c>
      <c r="CG14" s="29"/>
      <c r="CH14" s="32" t="str">
        <f t="array" ref="CH14">XLOOKUP(XLOOKUP(CH10,'食譜'!$B:$B,'食譜'!$L:$L,""),'食材'!$B:$B,'食材'!$D:$D,"")</f>
        <v/>
      </c>
      <c r="CI14" s="33"/>
      <c r="CJ14" s="34" t="str">
        <f t="array" ref="CJ14">XLOOKUP(CH10,'食譜'!$B:$B,'食譜'!$M:$M,"")</f>
        <v/>
      </c>
      <c r="CK14" s="29"/>
      <c r="CL14" s="32" t="str">
        <f t="array" ref="CL14">XLOOKUP(XLOOKUP(CL10,'食譜'!$B:$B,'食譜'!$L:$L,""),'食材'!$B:$B,'食材'!$D:$D,"")</f>
        <v/>
      </c>
      <c r="CM14" s="33"/>
      <c r="CN14" s="34" t="str">
        <f t="array" ref="CN14">XLOOKUP(CL10,'食譜'!$B:$B,'食譜'!$M:$M,"")</f>
        <v/>
      </c>
      <c r="CO14" s="29"/>
      <c r="CP14" s="32" t="str">
        <f t="array" ref="CP14">XLOOKUP(XLOOKUP(CP10,'食譜'!$B:$B,'食譜'!$L:$L,""),'食材'!$B:$B,'食材'!$D:$D,"")</f>
        <v/>
      </c>
      <c r="CQ14" s="33"/>
      <c r="CR14" s="34" t="str">
        <f t="array" ref="CR14">XLOOKUP(CP10,'食譜'!$B:$B,'食譜'!$M:$M,"")</f>
        <v/>
      </c>
      <c r="CS14" s="29"/>
      <c r="CT14" s="32" t="str">
        <f t="array" ref="CT14">XLOOKUP(XLOOKUP(CT10,'食譜'!$B:$B,'食譜'!$L:$L,""),'食材'!$B:$B,'食材'!$D:$D,"")</f>
        <v/>
      </c>
      <c r="CU14" s="33"/>
      <c r="CV14" s="34" t="str">
        <f t="array" ref="CV14">XLOOKUP(CT10,'食譜'!$B:$B,'食譜'!$M:$M,"")</f>
        <v/>
      </c>
      <c r="CW14" s="29"/>
      <c r="CX14" s="32" t="str">
        <f t="array" ref="CX14">XLOOKUP(XLOOKUP(CX10,'食譜'!$B:$B,'食譜'!$L:$L,""),'食材'!$B:$B,'食材'!$D:$D,"")</f>
        <v/>
      </c>
      <c r="CY14" s="33"/>
      <c r="CZ14" s="34" t="str">
        <f t="array" ref="CZ14">XLOOKUP(CX10,'食譜'!$B:$B,'食譜'!$M:$M,"")</f>
        <v/>
      </c>
      <c r="DA14" s="29"/>
      <c r="DB14" s="32" t="str">
        <f t="array" ref="DB14">XLOOKUP(XLOOKUP(DB10,'食譜'!$B:$B,'食譜'!$L:$L,""),'食材'!$B:$B,'食材'!$D:$D,"")</f>
        <v/>
      </c>
      <c r="DC14" s="33"/>
      <c r="DD14" s="34" t="str">
        <f t="array" ref="DD14">XLOOKUP(DB10,'食譜'!$B:$B,'食譜'!$M:$M,"")</f>
        <v/>
      </c>
      <c r="DE14" s="29"/>
      <c r="DF14" s="32" t="str">
        <f t="array" ref="DF14">XLOOKUP(XLOOKUP(DF10,'食譜'!$B:$B,'食譜'!$L:$L,""),'食材'!$B:$B,'食材'!$D:$D,"")</f>
        <v/>
      </c>
      <c r="DG14" s="33"/>
      <c r="DH14" s="34" t="str">
        <f t="array" ref="DH14">XLOOKUP(DF10,'食譜'!$B:$B,'食譜'!$M:$M,"")</f>
        <v/>
      </c>
      <c r="DI14" s="29"/>
      <c r="DJ14" s="32" t="str">
        <f t="array" ref="DJ14">XLOOKUP(XLOOKUP(DJ10,'食譜'!$B:$B,'食譜'!$L:$L,""),'食材'!$B:$B,'食材'!$D:$D,"")</f>
        <v/>
      </c>
      <c r="DK14" s="33"/>
      <c r="DL14" s="34" t="str">
        <f t="array" ref="DL14">XLOOKUP(DJ10,'食譜'!$B:$B,'食譜'!$M:$M,"")</f>
        <v/>
      </c>
      <c r="DM14" s="29"/>
      <c r="DN14" s="32" t="str">
        <f t="array" ref="DN14">XLOOKUP(XLOOKUP(DN10,'食譜'!$B:$B,'食譜'!$L:$L,""),'食材'!$B:$B,'食材'!$D:$D,"")</f>
        <v/>
      </c>
      <c r="DO14" s="33"/>
      <c r="DP14" s="34" t="str">
        <f t="array" ref="DP14">XLOOKUP(DN10,'食譜'!$B:$B,'食譜'!$M:$M,"")</f>
        <v/>
      </c>
      <c r="DQ14" s="29"/>
      <c r="DR14" s="32" t="str">
        <f t="array" ref="DR14">XLOOKUP(XLOOKUP(DR10,'食譜'!$B:$B,'食譜'!$L:$L,""),'食材'!$B:$B,'食材'!$D:$D,"")</f>
        <v/>
      </c>
      <c r="DS14" s="33"/>
      <c r="DT14" s="34" t="str">
        <f t="array" ref="DT14">XLOOKUP(DR10,'食譜'!$B:$B,'食譜'!$M:$M,"")</f>
        <v/>
      </c>
      <c r="DU14" s="29"/>
      <c r="DV14" s="32" t="str">
        <f t="array" ref="DV14">XLOOKUP(XLOOKUP(DV10,'食譜'!$B:$B,'食譜'!$L:$L,""),'食材'!$B:$B,'食材'!$D:$D,"")</f>
        <v/>
      </c>
      <c r="DW14" s="33"/>
      <c r="DX14" s="34" t="str">
        <f t="array" ref="DX14">XLOOKUP(DV10,'食譜'!$B:$B,'食譜'!$M:$M,"")</f>
        <v/>
      </c>
      <c r="DY14" s="29"/>
      <c r="DZ14" s="32" t="str">
        <f t="array" ref="DZ14">XLOOKUP(XLOOKUP(DZ10,'食譜'!$B:$B,'食譜'!$L:$L,""),'食材'!$B:$B,'食材'!$D:$D,"")</f>
        <v/>
      </c>
      <c r="EA14" s="33"/>
      <c r="EB14" s="34" t="str">
        <f t="array" ref="EB14">XLOOKUP(DZ10,'食譜'!$B:$B,'食譜'!$M:$M,"")</f>
        <v/>
      </c>
      <c r="EC14" s="29"/>
      <c r="ED14" s="1"/>
      <c r="EE14" s="1"/>
      <c r="EF14" s="1"/>
      <c r="EG14" s="1"/>
      <c r="EH14" s="1"/>
      <c r="EI14" s="1"/>
      <c r="EJ14" s="1"/>
      <c r="EK14" s="1"/>
      <c r="EL14" s="1"/>
      <c r="EM14" s="7" t="str">
        <f t="array" ref="EM14">XLOOKUP(EQ14,'食材'!$B:$B,'食材'!$D:$D,"")</f>
        <v/>
      </c>
      <c r="EN14" s="8"/>
      <c r="EO14" s="9">
        <f t="array" ref="EO14">XLOOKUP(EQ14,'食材'!$B:$B,'食材'!$F:$F,"")</f>
        <v>109</v>
      </c>
      <c r="EP14" s="8"/>
      <c r="EQ14" s="10" t="s">
        <v>5</v>
      </c>
      <c r="ER14" s="11"/>
      <c r="ES14" s="11"/>
      <c r="ET14" s="11"/>
      <c r="EU14" s="11"/>
      <c r="EV14" s="11"/>
      <c r="EW14" s="12"/>
      <c r="EX14" s="13"/>
    </row>
    <row r="15" ht="15.0" customHeight="1">
      <c r="A15" s="106">
        <f t="array" ref="A15">XLOOKUP(C15,'食譜'!$B:$B,'食譜'!$F:$F,"")</f>
        <v>0.19</v>
      </c>
      <c r="B15" s="107" t="str">
        <f t="array" ref="B15">XLOOKUP(C15,'食譜'!$B:$B,'食譜'!$A:$A,"")</f>
        <v/>
      </c>
      <c r="C15" s="108" t="str">
        <f>IFERROR(__xludf.DUMMYFUNCTION("""COMPUTED_VALUE"""),"太陽之力番茄咖哩")</f>
        <v>太陽之力番茄咖哩</v>
      </c>
      <c r="D15" s="109">
        <f t="array" ref="D15">XLOOKUP(C15,'食譜'!$B:$B,'食譜'!$H:$H,"")</f>
        <v>2078</v>
      </c>
      <c r="E15" s="110" t="str">
        <f t="array" ref="E15">XLOOKUP(XLOOKUP(C15,'食譜'!$B:$B,'食譜'!$J:$J,""),'食材'!$B:$B,'食材'!$D:$D,"")</f>
        <v/>
      </c>
      <c r="F15" s="110" t="str">
        <f t="array" ref="F15">XLOOKUP(XLOOKUP(C15,'食譜'!$B:$B,'食譜'!$L:$L,""),'食材'!$B:$B,'食材'!$D:$D,"")</f>
        <v/>
      </c>
      <c r="G15" s="110" t="str">
        <f t="array" ref="G15">XLOOKUP(XLOOKUP(C15,'食譜'!$B:$B,'食譜'!$N:$N,""),'食材'!$B:$B,'食材'!$D:$D,"")</f>
        <v/>
      </c>
      <c r="H15" s="110" t="str">
        <f t="array" ref="H15">XLOOKUP(XLOOKUP(C15,'食譜'!$B:$B,'食譜'!$P:$P,""),'食材'!$B:$B,'食材'!$D:$D,"")</f>
        <v/>
      </c>
      <c r="I15" s="111">
        <f t="array" ref="I15">XLOOKUP(C15,'食譜'!$B:$B,'食譜'!$D:$D,"")</f>
        <v>15</v>
      </c>
      <c r="J15" s="99"/>
      <c r="K15" s="10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36"/>
      <c r="BY15" s="18"/>
      <c r="BZ15" s="16"/>
      <c r="CA15" s="35"/>
      <c r="CB15" s="36"/>
      <c r="CC15" s="18"/>
      <c r="CD15" s="16"/>
      <c r="CE15" s="35"/>
      <c r="CF15" s="36"/>
      <c r="CG15" s="18"/>
      <c r="CH15" s="16"/>
      <c r="CI15" s="35"/>
      <c r="CJ15" s="36"/>
      <c r="CK15" s="18"/>
      <c r="CL15" s="16"/>
      <c r="CM15" s="35"/>
      <c r="CN15" s="36"/>
      <c r="CO15" s="18"/>
      <c r="CP15" s="16"/>
      <c r="CQ15" s="35"/>
      <c r="CR15" s="36"/>
      <c r="CS15" s="18"/>
      <c r="CT15" s="16"/>
      <c r="CU15" s="35"/>
      <c r="CV15" s="36"/>
      <c r="CW15" s="18"/>
      <c r="CX15" s="16"/>
      <c r="CY15" s="35"/>
      <c r="CZ15" s="36"/>
      <c r="DA15" s="18"/>
      <c r="DB15" s="16"/>
      <c r="DC15" s="35"/>
      <c r="DD15" s="36"/>
      <c r="DE15" s="18"/>
      <c r="DF15" s="16"/>
      <c r="DG15" s="35"/>
      <c r="DH15" s="36"/>
      <c r="DI15" s="18"/>
      <c r="DJ15" s="16"/>
      <c r="DK15" s="35"/>
      <c r="DL15" s="36"/>
      <c r="DM15" s="18"/>
      <c r="DN15" s="16"/>
      <c r="DO15" s="35"/>
      <c r="DP15" s="36"/>
      <c r="DQ15" s="18"/>
      <c r="DR15" s="16"/>
      <c r="DS15" s="35"/>
      <c r="DT15" s="36"/>
      <c r="DU15" s="18"/>
      <c r="DV15" s="16"/>
      <c r="DW15" s="35"/>
      <c r="DX15" s="36"/>
      <c r="DY15" s="18"/>
      <c r="DZ15" s="16"/>
      <c r="EA15" s="35"/>
      <c r="EB15" s="36"/>
      <c r="EC15" s="18"/>
      <c r="ED15" s="1"/>
      <c r="EE15" s="1"/>
      <c r="EF15" s="1"/>
      <c r="EG15" s="1"/>
      <c r="EH15" s="1"/>
      <c r="EI15" s="1"/>
      <c r="EJ15" s="1"/>
      <c r="EK15" s="1"/>
      <c r="EL15" s="1"/>
      <c r="EM15" s="19"/>
      <c r="EN15" s="20"/>
      <c r="EO15" s="21"/>
      <c r="EP15" s="20"/>
      <c r="EQ15" s="21"/>
      <c r="ER15" s="22"/>
      <c r="ES15" s="22"/>
      <c r="ET15" s="22"/>
      <c r="EU15" s="22"/>
      <c r="EV15" s="22"/>
      <c r="EW15" s="23"/>
      <c r="EX15" s="13"/>
    </row>
    <row r="16" ht="15.0" customHeight="1">
      <c r="A16" s="114"/>
      <c r="B16" s="114"/>
      <c r="C16" s="114"/>
      <c r="D16" s="114"/>
      <c r="E16" s="110">
        <f t="array" ref="E16">XLOOKUP(C15,'食譜'!$B:$B,'食譜'!$K:$K,"")</f>
        <v>10</v>
      </c>
      <c r="F16" s="110">
        <f t="array" ref="F16">XLOOKUP(C15,'食譜'!$B:$B,'食譜'!$M:$M,"")</f>
        <v>5</v>
      </c>
      <c r="G16" s="110" t="str">
        <f t="array" ref="G16">XLOOKUP(C15,'食譜'!$B:$B,'食譜'!$O:$O,"")</f>
        <v/>
      </c>
      <c r="H16" s="110" t="str">
        <f t="array" ref="H16">XLOOKUP(C15,'食譜'!$B:$B,'食譜'!$Q:$Q,"")</f>
        <v/>
      </c>
      <c r="I16" s="114"/>
      <c r="J16" s="99"/>
      <c r="K16" s="10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34" t="str">
        <f t="array" ref="BX16">XLOOKUP(BV10,'食譜'!$B:$B,'食譜'!$O:$O,"")</f>
        <v/>
      </c>
      <c r="BY16" s="29"/>
      <c r="BZ16" s="32" t="str">
        <f t="array" ref="BZ16">XLOOKUP(XLOOKUP(BZ10,'食譜'!$B:$B,'食譜'!$N:$N,""),'食材'!$B:$B,'食材'!$D:$D,"")</f>
        <v/>
      </c>
      <c r="CA16" s="33"/>
      <c r="CB16" s="34" t="str">
        <f t="array" ref="CB16">XLOOKUP(BZ10,'食譜'!$B:$B,'食譜'!$O:$O,"")</f>
        <v/>
      </c>
      <c r="CC16" s="29"/>
      <c r="CD16" s="32" t="str">
        <f t="array" ref="CD16">XLOOKUP(XLOOKUP(CD10,'食譜'!$B:$B,'食譜'!$N:$N,""),'食材'!$B:$B,'食材'!$D:$D,"")</f>
        <v/>
      </c>
      <c r="CE16" s="33"/>
      <c r="CF16" s="34" t="str">
        <f t="array" ref="CF16">XLOOKUP(CD10,'食譜'!$B:$B,'食譜'!$O:$O,"")</f>
        <v/>
      </c>
      <c r="CG16" s="29"/>
      <c r="CH16" s="32" t="str">
        <f t="array" ref="CH16">XLOOKUP(XLOOKUP(CH10,'食譜'!$B:$B,'食譜'!$N:$N,""),'食材'!$B:$B,'食材'!$D:$D,"")</f>
        <v/>
      </c>
      <c r="CI16" s="33"/>
      <c r="CJ16" s="34" t="str">
        <f t="array" ref="CJ16">XLOOKUP(CH10,'食譜'!$B:$B,'食譜'!$O:$O,"")</f>
        <v/>
      </c>
      <c r="CK16" s="29"/>
      <c r="CL16" s="32" t="str">
        <f t="array" ref="CL16">XLOOKUP(XLOOKUP(CL10,'食譜'!$B:$B,'食譜'!$N:$N,""),'食材'!$B:$B,'食材'!$D:$D,"")</f>
        <v/>
      </c>
      <c r="CM16" s="33"/>
      <c r="CN16" s="34" t="str">
        <f t="array" ref="CN16">XLOOKUP(CL10,'食譜'!$B:$B,'食譜'!$O:$O,"")</f>
        <v/>
      </c>
      <c r="CO16" s="29"/>
      <c r="CP16" s="32" t="str">
        <f t="array" ref="CP16">XLOOKUP(XLOOKUP(CP10,'食譜'!$B:$B,'食譜'!$N:$N,""),'食材'!$B:$B,'食材'!$D:$D,"")</f>
        <v/>
      </c>
      <c r="CQ16" s="33"/>
      <c r="CR16" s="34" t="str">
        <f t="array" ref="CR16">XLOOKUP(CP10,'食譜'!$B:$B,'食譜'!$O:$O,"")</f>
        <v/>
      </c>
      <c r="CS16" s="29"/>
      <c r="CT16" s="32" t="str">
        <f t="array" ref="CT16">XLOOKUP(XLOOKUP(CT10,'食譜'!$B:$B,'食譜'!$N:$N,""),'食材'!$B:$B,'食材'!$D:$D,"")</f>
        <v/>
      </c>
      <c r="CU16" s="33"/>
      <c r="CV16" s="34" t="str">
        <f t="array" ref="CV16">XLOOKUP(CT10,'食譜'!$B:$B,'食譜'!$O:$O,"")</f>
        <v/>
      </c>
      <c r="CW16" s="29"/>
      <c r="CX16" s="32" t="str">
        <f t="array" ref="CX16">XLOOKUP(XLOOKUP(CX10,'食譜'!$B:$B,'食譜'!$N:$N,""),'食材'!$B:$B,'食材'!$D:$D,"")</f>
        <v/>
      </c>
      <c r="CY16" s="33"/>
      <c r="CZ16" s="34" t="str">
        <f t="array" ref="CZ16">XLOOKUP(CX10,'食譜'!$B:$B,'食譜'!$O:$O,"")</f>
        <v/>
      </c>
      <c r="DA16" s="29"/>
      <c r="DB16" s="32" t="str">
        <f t="array" ref="DB16">XLOOKUP(XLOOKUP(DB10,'食譜'!$B:$B,'食譜'!$N:$N,""),'食材'!$B:$B,'食材'!$D:$D,"")</f>
        <v/>
      </c>
      <c r="DC16" s="33"/>
      <c r="DD16" s="34" t="str">
        <f t="array" ref="DD16">XLOOKUP(DB10,'食譜'!$B:$B,'食譜'!$O:$O,"")</f>
        <v/>
      </c>
      <c r="DE16" s="29"/>
      <c r="DF16" s="32" t="str">
        <f t="array" ref="DF16">XLOOKUP(XLOOKUP(DF10,'食譜'!$B:$B,'食譜'!$N:$N,""),'食材'!$B:$B,'食材'!$D:$D,"")</f>
        <v/>
      </c>
      <c r="DG16" s="33"/>
      <c r="DH16" s="34" t="str">
        <f t="array" ref="DH16">XLOOKUP(DF10,'食譜'!$B:$B,'食譜'!$O:$O,"")</f>
        <v/>
      </c>
      <c r="DI16" s="29"/>
      <c r="DJ16" s="32" t="str">
        <f t="array" ref="DJ16">XLOOKUP(XLOOKUP(DJ10,'食譜'!$B:$B,'食譜'!$N:$N,""),'食材'!$B:$B,'食材'!$D:$D,"")</f>
        <v/>
      </c>
      <c r="DK16" s="33"/>
      <c r="DL16" s="34" t="str">
        <f t="array" ref="DL16">XLOOKUP(DJ10,'食譜'!$B:$B,'食譜'!$O:$O,"")</f>
        <v/>
      </c>
      <c r="DM16" s="29"/>
      <c r="DN16" s="32" t="str">
        <f t="array" ref="DN16">XLOOKUP(XLOOKUP(DN10,'食譜'!$B:$B,'食譜'!$N:$N,""),'食材'!$B:$B,'食材'!$D:$D,"")</f>
        <v/>
      </c>
      <c r="DO16" s="33"/>
      <c r="DP16" s="34" t="str">
        <f t="array" ref="DP16">XLOOKUP(DN10,'食譜'!$B:$B,'食譜'!$O:$O,"")</f>
        <v/>
      </c>
      <c r="DQ16" s="29"/>
      <c r="DR16" s="32" t="str">
        <f t="array" ref="DR16">XLOOKUP(XLOOKUP(DR10,'食譜'!$B:$B,'食譜'!$N:$N,""),'食材'!$B:$B,'食材'!$D:$D,"")</f>
        <v/>
      </c>
      <c r="DS16" s="33"/>
      <c r="DT16" s="34" t="str">
        <f t="array" ref="DT16">XLOOKUP(DR10,'食譜'!$B:$B,'食譜'!$O:$O,"")</f>
        <v/>
      </c>
      <c r="DU16" s="29"/>
      <c r="DV16" s="32" t="str">
        <f t="array" ref="DV16">XLOOKUP(XLOOKUP(DV10,'食譜'!$B:$B,'食譜'!$N:$N,""),'食材'!$B:$B,'食材'!$D:$D,"")</f>
        <v/>
      </c>
      <c r="DW16" s="33"/>
      <c r="DX16" s="34" t="str">
        <f t="array" ref="DX16">XLOOKUP(DV10,'食譜'!$B:$B,'食譜'!$O:$O,"")</f>
        <v/>
      </c>
      <c r="DY16" s="29"/>
      <c r="DZ16" s="32" t="str">
        <f t="array" ref="DZ16">XLOOKUP(XLOOKUP(DZ10,'食譜'!$B:$B,'食譜'!$N:$N,""),'食材'!$B:$B,'食材'!$D:$D,"")</f>
        <v/>
      </c>
      <c r="EA16" s="33"/>
      <c r="EB16" s="34" t="str">
        <f t="array" ref="EB16">XLOOKUP(DZ10,'食譜'!$B:$B,'食譜'!$O:$O,"")</f>
        <v/>
      </c>
      <c r="EC16" s="29"/>
      <c r="ED16" s="1"/>
      <c r="EE16" s="1"/>
      <c r="EF16" s="1"/>
      <c r="EG16" s="1"/>
      <c r="EH16" s="1"/>
      <c r="EI16" s="1"/>
      <c r="EJ16" s="1"/>
      <c r="EK16" s="1"/>
      <c r="EL16" s="1"/>
      <c r="EM16" s="7" t="str">
        <f t="array" ref="EM16">XLOOKUP(EQ16,'食材'!$B:$B,'食材'!$D:$D,"")</f>
        <v/>
      </c>
      <c r="EN16" s="8"/>
      <c r="EO16" s="9">
        <f t="array" ref="EO16">XLOOKUP(EQ16,'食材'!$B:$B,'食材'!$F:$F,"")</f>
        <v>110</v>
      </c>
      <c r="EP16" s="8"/>
      <c r="EQ16" s="10" t="s">
        <v>6</v>
      </c>
      <c r="ER16" s="11"/>
      <c r="ES16" s="11"/>
      <c r="ET16" s="11"/>
      <c r="EU16" s="11"/>
      <c r="EV16" s="11"/>
      <c r="EW16" s="12"/>
      <c r="EX16" s="13"/>
    </row>
    <row r="17" ht="15.0" customHeight="1">
      <c r="A17" s="106">
        <f t="array" ref="A17">XLOOKUP(C17,'食譜'!$B:$B,'食譜'!$F:$F,"")</f>
        <v>0.19</v>
      </c>
      <c r="B17" s="107" t="str">
        <f t="array" ref="B17">XLOOKUP(C17,'食譜'!$B:$B,'食譜'!$A:$A,"")</f>
        <v/>
      </c>
      <c r="C17" s="108" t="str">
        <f>IFERROR(__xludf.DUMMYFUNCTION("""COMPUTED_VALUE"""),"入口即化蛋捲咖哩")</f>
        <v>入口即化蛋捲咖哩</v>
      </c>
      <c r="D17" s="109">
        <f t="array" ref="D17">XLOOKUP(C17,'食譜'!$B:$B,'食譜'!$H:$H,"")</f>
        <v>2150</v>
      </c>
      <c r="E17" s="110" t="str">
        <f t="array" ref="E17">XLOOKUP(XLOOKUP(C17,'食譜'!$B:$B,'食譜'!$J:$J,""),'食材'!$B:$B,'食材'!$D:$D,"")</f>
        <v/>
      </c>
      <c r="F17" s="110" t="str">
        <f t="array" ref="F17">XLOOKUP(XLOOKUP(C17,'食譜'!$B:$B,'食譜'!$L:$L,""),'食材'!$B:$B,'食材'!$D:$D,"")</f>
        <v/>
      </c>
      <c r="G17" s="110" t="str">
        <f t="array" ref="G17">XLOOKUP(XLOOKUP(C17,'食譜'!$B:$B,'食譜'!$N:$N,""),'食材'!$B:$B,'食材'!$D:$D,"")</f>
        <v/>
      </c>
      <c r="H17" s="110" t="str">
        <f t="array" ref="H17">XLOOKUP(XLOOKUP(C17,'食譜'!$B:$B,'食譜'!$P:$P,""),'食材'!$B:$B,'食材'!$D:$D,"")</f>
        <v/>
      </c>
      <c r="I17" s="111">
        <f t="array" ref="I17">XLOOKUP(C17,'食譜'!$B:$B,'食譜'!$D:$D,"")</f>
        <v>16</v>
      </c>
      <c r="J17" s="99"/>
      <c r="K17" s="10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36"/>
      <c r="BY17" s="18"/>
      <c r="BZ17" s="16"/>
      <c r="CA17" s="35"/>
      <c r="CB17" s="36"/>
      <c r="CC17" s="18"/>
      <c r="CD17" s="16"/>
      <c r="CE17" s="35"/>
      <c r="CF17" s="36"/>
      <c r="CG17" s="18"/>
      <c r="CH17" s="16"/>
      <c r="CI17" s="35"/>
      <c r="CJ17" s="36"/>
      <c r="CK17" s="18"/>
      <c r="CL17" s="16"/>
      <c r="CM17" s="35"/>
      <c r="CN17" s="36"/>
      <c r="CO17" s="18"/>
      <c r="CP17" s="16"/>
      <c r="CQ17" s="35"/>
      <c r="CR17" s="36"/>
      <c r="CS17" s="18"/>
      <c r="CT17" s="16"/>
      <c r="CU17" s="35"/>
      <c r="CV17" s="36"/>
      <c r="CW17" s="18"/>
      <c r="CX17" s="16"/>
      <c r="CY17" s="35"/>
      <c r="CZ17" s="36"/>
      <c r="DA17" s="18"/>
      <c r="DB17" s="16"/>
      <c r="DC17" s="35"/>
      <c r="DD17" s="36"/>
      <c r="DE17" s="18"/>
      <c r="DF17" s="16"/>
      <c r="DG17" s="35"/>
      <c r="DH17" s="36"/>
      <c r="DI17" s="18"/>
      <c r="DJ17" s="16"/>
      <c r="DK17" s="35"/>
      <c r="DL17" s="36"/>
      <c r="DM17" s="18"/>
      <c r="DN17" s="16"/>
      <c r="DO17" s="35"/>
      <c r="DP17" s="36"/>
      <c r="DQ17" s="18"/>
      <c r="DR17" s="16"/>
      <c r="DS17" s="35"/>
      <c r="DT17" s="36"/>
      <c r="DU17" s="18"/>
      <c r="DV17" s="16"/>
      <c r="DW17" s="35"/>
      <c r="DX17" s="36"/>
      <c r="DY17" s="18"/>
      <c r="DZ17" s="16"/>
      <c r="EA17" s="35"/>
      <c r="EB17" s="36"/>
      <c r="EC17" s="18"/>
      <c r="ED17" s="1"/>
      <c r="EE17" s="1"/>
      <c r="EF17" s="1"/>
      <c r="EG17" s="1"/>
      <c r="EH17" s="1"/>
      <c r="EI17" s="1"/>
      <c r="EJ17" s="1"/>
      <c r="EK17" s="1"/>
      <c r="EL17" s="1"/>
      <c r="EM17" s="19"/>
      <c r="EN17" s="20"/>
      <c r="EO17" s="21"/>
      <c r="EP17" s="20"/>
      <c r="EQ17" s="21"/>
      <c r="ER17" s="22"/>
      <c r="ES17" s="22"/>
      <c r="ET17" s="22"/>
      <c r="EU17" s="22"/>
      <c r="EV17" s="22"/>
      <c r="EW17" s="23"/>
      <c r="EX17" s="13"/>
    </row>
    <row r="18" ht="15.0" customHeight="1">
      <c r="A18" s="114"/>
      <c r="B18" s="114"/>
      <c r="C18" s="114"/>
      <c r="D18" s="114"/>
      <c r="E18" s="110">
        <f t="array" ref="E18">XLOOKUP(C17,'食譜'!$B:$B,'食譜'!$K:$K,"")</f>
        <v>10</v>
      </c>
      <c r="F18" s="110">
        <f t="array" ref="F18">XLOOKUP(C17,'食譜'!$B:$B,'食譜'!$M:$M,"")</f>
        <v>6</v>
      </c>
      <c r="G18" s="110" t="str">
        <f t="array" ref="G18">XLOOKUP(C17,'食譜'!$B:$B,'食譜'!$O:$O,"")</f>
        <v/>
      </c>
      <c r="H18" s="110" t="str">
        <f t="array" ref="H18">XLOOKUP(C17,'食譜'!$B:$B,'食譜'!$Q:$Q,"")</f>
        <v/>
      </c>
      <c r="I18" s="114"/>
      <c r="J18" s="99"/>
      <c r="K18" s="10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34" t="str">
        <f t="array" ref="BX18">XLOOKUP(BV10,'食譜'!$B:$B,'食譜'!$Q:$Q,"")</f>
        <v/>
      </c>
      <c r="BY18" s="29"/>
      <c r="BZ18" s="32" t="str">
        <f t="array" ref="BZ18">XLOOKUP(XLOOKUP(BZ10,'食譜'!$B:$B,'食譜'!$P:$P,""),'食材'!$B:$B,'食材'!$D:$D,"")</f>
        <v/>
      </c>
      <c r="CA18" s="33"/>
      <c r="CB18" s="34" t="str">
        <f t="array" ref="CB18">XLOOKUP(BZ10,'食譜'!$B:$B,'食譜'!$Q:$Q,"")</f>
        <v/>
      </c>
      <c r="CC18" s="29"/>
      <c r="CD18" s="32" t="str">
        <f t="array" ref="CD18">XLOOKUP(XLOOKUP(CD10,'食譜'!$B:$B,'食譜'!$P:$P,""),'食材'!$B:$B,'食材'!$D:$D,"")</f>
        <v/>
      </c>
      <c r="CE18" s="33"/>
      <c r="CF18" s="34" t="str">
        <f t="array" ref="CF18">XLOOKUP(CD10,'食譜'!$B:$B,'食譜'!$Q:$Q,"")</f>
        <v/>
      </c>
      <c r="CG18" s="29"/>
      <c r="CH18" s="32" t="str">
        <f t="array" ref="CH18">XLOOKUP(XLOOKUP(CH10,'食譜'!$B:$B,'食譜'!$P:$P,""),'食材'!$B:$B,'食材'!$D:$D,"")</f>
        <v/>
      </c>
      <c r="CI18" s="33"/>
      <c r="CJ18" s="34" t="str">
        <f t="array" ref="CJ18">XLOOKUP(CH10,'食譜'!$B:$B,'食譜'!$Q:$Q,"")</f>
        <v/>
      </c>
      <c r="CK18" s="29"/>
      <c r="CL18" s="32" t="str">
        <f t="array" ref="CL18">XLOOKUP(XLOOKUP(CL10,'食譜'!$B:$B,'食譜'!$P:$P,""),'食材'!$B:$B,'食材'!$D:$D,"")</f>
        <v/>
      </c>
      <c r="CM18" s="33"/>
      <c r="CN18" s="34" t="str">
        <f t="array" ref="CN18">XLOOKUP(CL10,'食譜'!$B:$B,'食譜'!$Q:$Q,"")</f>
        <v/>
      </c>
      <c r="CO18" s="29"/>
      <c r="CP18" s="32" t="str">
        <f t="array" ref="CP18">XLOOKUP(XLOOKUP(CP10,'食譜'!$B:$B,'食譜'!$P:$P,""),'食材'!$B:$B,'食材'!$D:$D,"")</f>
        <v/>
      </c>
      <c r="CQ18" s="33"/>
      <c r="CR18" s="34" t="str">
        <f t="array" ref="CR18">XLOOKUP(CP10,'食譜'!$B:$B,'食譜'!$Q:$Q,"")</f>
        <v/>
      </c>
      <c r="CS18" s="29"/>
      <c r="CT18" s="32" t="str">
        <f t="array" ref="CT18">XLOOKUP(XLOOKUP(CT10,'食譜'!$B:$B,'食譜'!$P:$P,""),'食材'!$B:$B,'食材'!$D:$D,"")</f>
        <v/>
      </c>
      <c r="CU18" s="33"/>
      <c r="CV18" s="34" t="str">
        <f t="array" ref="CV18">XLOOKUP(CT10,'食譜'!$B:$B,'食譜'!$Q:$Q,"")</f>
        <v/>
      </c>
      <c r="CW18" s="29"/>
      <c r="CX18" s="32" t="str">
        <f t="array" ref="CX18">XLOOKUP(XLOOKUP(CX10,'食譜'!$B:$B,'食譜'!$P:$P,""),'食材'!$B:$B,'食材'!$D:$D,"")</f>
        <v/>
      </c>
      <c r="CY18" s="33"/>
      <c r="CZ18" s="34" t="str">
        <f t="array" ref="CZ18">XLOOKUP(CX10,'食譜'!$B:$B,'食譜'!$Q:$Q,"")</f>
        <v/>
      </c>
      <c r="DA18" s="29"/>
      <c r="DB18" s="32" t="str">
        <f t="array" ref="DB18">XLOOKUP(XLOOKUP(DB10,'食譜'!$B:$B,'食譜'!$P:$P,""),'食材'!$B:$B,'食材'!$D:$D,"")</f>
        <v/>
      </c>
      <c r="DC18" s="33"/>
      <c r="DD18" s="34" t="str">
        <f t="array" ref="DD18">XLOOKUP(DB10,'食譜'!$B:$B,'食譜'!$Q:$Q,"")</f>
        <v/>
      </c>
      <c r="DE18" s="29"/>
      <c r="DF18" s="32" t="str">
        <f t="array" ref="DF18">XLOOKUP(XLOOKUP(DF10,'食譜'!$B:$B,'食譜'!$P:$P,""),'食材'!$B:$B,'食材'!$D:$D,"")</f>
        <v/>
      </c>
      <c r="DG18" s="33"/>
      <c r="DH18" s="34" t="str">
        <f t="array" ref="DH18">XLOOKUP(DF10,'食譜'!$B:$B,'食譜'!$Q:$Q,"")</f>
        <v/>
      </c>
      <c r="DI18" s="29"/>
      <c r="DJ18" s="32" t="str">
        <f t="array" ref="DJ18">XLOOKUP(XLOOKUP(DJ10,'食譜'!$B:$B,'食譜'!$P:$P,""),'食材'!$B:$B,'食材'!$D:$D,"")</f>
        <v/>
      </c>
      <c r="DK18" s="33"/>
      <c r="DL18" s="34" t="str">
        <f t="array" ref="DL18">XLOOKUP(DJ10,'食譜'!$B:$B,'食譜'!$Q:$Q,"")</f>
        <v/>
      </c>
      <c r="DM18" s="29"/>
      <c r="DN18" s="32" t="str">
        <f t="array" ref="DN18">XLOOKUP(XLOOKUP(DN10,'食譜'!$B:$B,'食譜'!$P:$P,""),'食材'!$B:$B,'食材'!$D:$D,"")</f>
        <v/>
      </c>
      <c r="DO18" s="33"/>
      <c r="DP18" s="34" t="str">
        <f t="array" ref="DP18">XLOOKUP(DN10,'食譜'!$B:$B,'食譜'!$Q:$Q,"")</f>
        <v/>
      </c>
      <c r="DQ18" s="29"/>
      <c r="DR18" s="32" t="str">
        <f t="array" ref="DR18">XLOOKUP(XLOOKUP(DR10,'食譜'!$B:$B,'食譜'!$P:$P,""),'食材'!$B:$B,'食材'!$D:$D,"")</f>
        <v/>
      </c>
      <c r="DS18" s="33"/>
      <c r="DT18" s="34" t="str">
        <f t="array" ref="DT18">XLOOKUP(DR10,'食譜'!$B:$B,'食譜'!$Q:$Q,"")</f>
        <v/>
      </c>
      <c r="DU18" s="29"/>
      <c r="DV18" s="32" t="str">
        <f t="array" ref="DV18">XLOOKUP(XLOOKUP(DV10,'食譜'!$B:$B,'食譜'!$P:$P,""),'食材'!$B:$B,'食材'!$D:$D,"")</f>
        <v/>
      </c>
      <c r="DW18" s="33"/>
      <c r="DX18" s="34" t="str">
        <f t="array" ref="DX18">XLOOKUP(DV10,'食譜'!$B:$B,'食譜'!$Q:$Q,"")</f>
        <v/>
      </c>
      <c r="DY18" s="29"/>
      <c r="DZ18" s="32" t="str">
        <f t="array" ref="DZ18">XLOOKUP(XLOOKUP(DZ10,'食譜'!$B:$B,'食譜'!$P:$P,""),'食材'!$B:$B,'食材'!$D:$D,"")</f>
        <v/>
      </c>
      <c r="EA18" s="33"/>
      <c r="EB18" s="34" t="str">
        <f t="array" ref="EB18">XLOOKUP(DZ10,'食譜'!$B:$B,'食譜'!$Q:$Q,"")</f>
        <v/>
      </c>
      <c r="EC18" s="29"/>
      <c r="ED18" s="1"/>
      <c r="EE18" s="1"/>
      <c r="EF18" s="1"/>
      <c r="EG18" s="1"/>
      <c r="EH18" s="1"/>
      <c r="EI18" s="1"/>
      <c r="EJ18" s="1"/>
      <c r="EK18" s="1"/>
      <c r="EL18" s="1"/>
      <c r="EM18" s="7" t="str">
        <f t="array" ref="EM18">XLOOKUP(EQ18,'食材'!$B:$B,'食材'!$D:$D,"")</f>
        <v/>
      </c>
      <c r="EN18" s="8"/>
      <c r="EO18" s="9">
        <f t="array" ref="EO18">XLOOKUP(EQ18,'食材'!$B:$B,'食材'!$F:$F,"")</f>
        <v>115</v>
      </c>
      <c r="EP18" s="8"/>
      <c r="EQ18" s="10" t="s">
        <v>7</v>
      </c>
      <c r="ER18" s="11"/>
      <c r="ES18" s="11"/>
      <c r="ET18" s="11"/>
      <c r="EU18" s="11"/>
      <c r="EV18" s="11"/>
      <c r="EW18" s="12"/>
      <c r="EX18" s="13"/>
    </row>
    <row r="19" ht="15.0" customHeight="1">
      <c r="A19" s="106">
        <f t="array" ref="A19">XLOOKUP(C19,'食譜'!$B:$B,'食譜'!$F:$F,"")</f>
        <v>0.2</v>
      </c>
      <c r="B19" s="107" t="str">
        <f t="array" ref="B19">XLOOKUP(C19,'食譜'!$B:$B,'食譜'!$A:$A,"")</f>
        <v/>
      </c>
      <c r="C19" s="108" t="str">
        <f>IFERROR(__xludf.DUMMYFUNCTION("""COMPUTED_VALUE"""),"窩心白醬濃湯")</f>
        <v>窩心白醬濃湯</v>
      </c>
      <c r="D19" s="109">
        <f t="array" ref="D19">XLOOKUP(C19,'食譜'!$B:$B,'食譜'!$H:$H,"")</f>
        <v>3181</v>
      </c>
      <c r="E19" s="110" t="str">
        <f t="array" ref="E19">XLOOKUP(XLOOKUP(C19,'食譜'!$B:$B,'食譜'!$J:$J,""),'食材'!$B:$B,'食材'!$D:$D,"")</f>
        <v/>
      </c>
      <c r="F19" s="110" t="str">
        <f t="array" ref="F19">XLOOKUP(XLOOKUP(C19,'食譜'!$B:$B,'食譜'!$L:$L,""),'食材'!$B:$B,'食材'!$D:$D,"")</f>
        <v/>
      </c>
      <c r="G19" s="110" t="str">
        <f t="array" ref="G19">XLOOKUP(XLOOKUP(C19,'食譜'!$B:$B,'食譜'!$N:$N,""),'食材'!$B:$B,'食材'!$D:$D,"")</f>
        <v/>
      </c>
      <c r="H19" s="110" t="str">
        <f t="array" ref="H19">XLOOKUP(XLOOKUP(C19,'食譜'!$B:$B,'食譜'!$P:$P,""),'食材'!$B:$B,'食材'!$D:$D,"")</f>
        <v/>
      </c>
      <c r="I19" s="111">
        <f t="array" ref="I19">XLOOKUP(C19,'食譜'!$B:$B,'食譜'!$D:$D,"")</f>
        <v>22</v>
      </c>
      <c r="J19" s="99"/>
      <c r="K19" s="10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36"/>
      <c r="BY19" s="18"/>
      <c r="BZ19" s="16"/>
      <c r="CA19" s="35"/>
      <c r="CB19" s="36"/>
      <c r="CC19" s="18"/>
      <c r="CD19" s="16"/>
      <c r="CE19" s="35"/>
      <c r="CF19" s="36"/>
      <c r="CG19" s="18"/>
      <c r="CH19" s="16"/>
      <c r="CI19" s="35"/>
      <c r="CJ19" s="36"/>
      <c r="CK19" s="18"/>
      <c r="CL19" s="16"/>
      <c r="CM19" s="35"/>
      <c r="CN19" s="36"/>
      <c r="CO19" s="18"/>
      <c r="CP19" s="16"/>
      <c r="CQ19" s="35"/>
      <c r="CR19" s="36"/>
      <c r="CS19" s="18"/>
      <c r="CT19" s="16"/>
      <c r="CU19" s="35"/>
      <c r="CV19" s="36"/>
      <c r="CW19" s="18"/>
      <c r="CX19" s="16"/>
      <c r="CY19" s="35"/>
      <c r="CZ19" s="36"/>
      <c r="DA19" s="18"/>
      <c r="DB19" s="16"/>
      <c r="DC19" s="35"/>
      <c r="DD19" s="36"/>
      <c r="DE19" s="18"/>
      <c r="DF19" s="16"/>
      <c r="DG19" s="35"/>
      <c r="DH19" s="36"/>
      <c r="DI19" s="18"/>
      <c r="DJ19" s="16"/>
      <c r="DK19" s="35"/>
      <c r="DL19" s="36"/>
      <c r="DM19" s="18"/>
      <c r="DN19" s="16"/>
      <c r="DO19" s="35"/>
      <c r="DP19" s="36"/>
      <c r="DQ19" s="18"/>
      <c r="DR19" s="16"/>
      <c r="DS19" s="35"/>
      <c r="DT19" s="36"/>
      <c r="DU19" s="18"/>
      <c r="DV19" s="16"/>
      <c r="DW19" s="35"/>
      <c r="DX19" s="36"/>
      <c r="DY19" s="18"/>
      <c r="DZ19" s="16"/>
      <c r="EA19" s="35"/>
      <c r="EB19" s="36"/>
      <c r="EC19" s="18"/>
      <c r="ED19" s="1"/>
      <c r="EE19" s="1"/>
      <c r="EF19" s="1"/>
      <c r="EG19" s="1"/>
      <c r="EH19" s="1"/>
      <c r="EI19" s="1"/>
      <c r="EJ19" s="1"/>
      <c r="EK19" s="1"/>
      <c r="EL19" s="1"/>
      <c r="EM19" s="19"/>
      <c r="EN19" s="20"/>
      <c r="EO19" s="21"/>
      <c r="EP19" s="20"/>
      <c r="EQ19" s="21"/>
      <c r="ER19" s="22"/>
      <c r="ES19" s="22"/>
      <c r="ET19" s="22"/>
      <c r="EU19" s="22"/>
      <c r="EV19" s="22"/>
      <c r="EW19" s="23"/>
      <c r="EX19" s="13"/>
    </row>
    <row r="20" ht="15.0" customHeight="1">
      <c r="A20" s="114"/>
      <c r="B20" s="114"/>
      <c r="C20" s="114"/>
      <c r="D20" s="114"/>
      <c r="E20" s="110">
        <f t="array" ref="E20">XLOOKUP(C19,'食譜'!$B:$B,'食譜'!$K:$K,"")</f>
        <v>10</v>
      </c>
      <c r="F20" s="110">
        <f t="array" ref="F20">XLOOKUP(C19,'食譜'!$B:$B,'食譜'!$M:$M,"")</f>
        <v>8</v>
      </c>
      <c r="G20" s="110">
        <f t="array" ref="G20">XLOOKUP(C19,'食譜'!$B:$B,'食譜'!$O:$O,"")</f>
        <v>4</v>
      </c>
      <c r="H20" s="110" t="str">
        <f t="array" ref="H20">XLOOKUP(C19,'食譜'!$B:$B,'食譜'!$Q:$Q,"")</f>
        <v/>
      </c>
      <c r="I20" s="114"/>
      <c r="J20" s="99"/>
      <c r="K20" s="10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136"/>
      <c r="BY20" s="137"/>
      <c r="BZ20" s="37" t="str">
        <f t="array" ref="BZ20">XLOOKUP(BZ10,'食譜'!$B:$B,'食譜'!$D:$D,"")</f>
        <v/>
      </c>
      <c r="CA20" s="28"/>
      <c r="CB20" s="28"/>
      <c r="CC20" s="29"/>
      <c r="CD20" s="37" t="str">
        <f t="array" ref="CD20">XLOOKUP(CD10,'食譜'!$B:$B,'食譜'!$D:$D,"")</f>
        <v/>
      </c>
      <c r="CE20" s="28"/>
      <c r="CF20" s="28"/>
      <c r="CG20" s="29"/>
      <c r="CH20" s="37" t="str">
        <f t="array" ref="CH20">XLOOKUP(CH10,'食譜'!$B:$B,'食譜'!$D:$D,"")</f>
        <v/>
      </c>
      <c r="CI20" s="28"/>
      <c r="CJ20" s="28"/>
      <c r="CK20" s="29"/>
      <c r="CL20" s="37" t="str">
        <f t="array" ref="CL20">XLOOKUP(CL10,'食譜'!$B:$B,'食譜'!$D:$D,"")</f>
        <v/>
      </c>
      <c r="CM20" s="28"/>
      <c r="CN20" s="28"/>
      <c r="CO20" s="29"/>
      <c r="CP20" s="37" t="str">
        <f t="array" ref="CP20">XLOOKUP(CP10,'食譜'!$B:$B,'食譜'!$D:$D,"")</f>
        <v/>
      </c>
      <c r="CQ20" s="28"/>
      <c r="CR20" s="28"/>
      <c r="CS20" s="29"/>
      <c r="CT20" s="37" t="str">
        <f t="array" ref="CT20">XLOOKUP(CT10,'食譜'!$B:$B,'食譜'!$D:$D,"")</f>
        <v/>
      </c>
      <c r="CU20" s="28"/>
      <c r="CV20" s="28"/>
      <c r="CW20" s="29"/>
      <c r="CX20" s="37" t="str">
        <f t="array" ref="CX20">XLOOKUP(CX10,'食譜'!$B:$B,'食譜'!$D:$D,"")</f>
        <v/>
      </c>
      <c r="CY20" s="28"/>
      <c r="CZ20" s="28"/>
      <c r="DA20" s="29"/>
      <c r="DB20" s="37" t="str">
        <f t="array" ref="DB20">XLOOKUP(DB10,'食譜'!$B:$B,'食譜'!$D:$D,"")</f>
        <v/>
      </c>
      <c r="DC20" s="28"/>
      <c r="DD20" s="28"/>
      <c r="DE20" s="29"/>
      <c r="DF20" s="37" t="str">
        <f t="array" ref="DF20">XLOOKUP(DF10,'食譜'!$B:$B,'食譜'!$D:$D,"")</f>
        <v/>
      </c>
      <c r="DG20" s="28"/>
      <c r="DH20" s="28"/>
      <c r="DI20" s="29"/>
      <c r="DJ20" s="37" t="str">
        <f t="array" ref="DJ20">XLOOKUP(DJ10,'食譜'!$B:$B,'食譜'!$D:$D,"")</f>
        <v/>
      </c>
      <c r="DK20" s="28"/>
      <c r="DL20" s="28"/>
      <c r="DM20" s="29"/>
      <c r="DN20" s="37" t="str">
        <f t="array" ref="DN20">XLOOKUP(DN10,'食譜'!$B:$B,'食譜'!$D:$D,"")</f>
        <v/>
      </c>
      <c r="DO20" s="28"/>
      <c r="DP20" s="28"/>
      <c r="DQ20" s="29"/>
      <c r="DR20" s="37" t="str">
        <f t="array" ref="DR20">XLOOKUP(DR10,'食譜'!$B:$B,'食譜'!$D:$D,"")</f>
        <v/>
      </c>
      <c r="DS20" s="28"/>
      <c r="DT20" s="28"/>
      <c r="DU20" s="29"/>
      <c r="DV20" s="37" t="str">
        <f t="array" ref="DV20">XLOOKUP(DV10,'食譜'!$B:$B,'食譜'!$D:$D,"")</f>
        <v/>
      </c>
      <c r="DW20" s="28"/>
      <c r="DX20" s="28"/>
      <c r="DY20" s="29"/>
      <c r="DZ20" s="37" t="str">
        <f t="array" ref="DZ20">XLOOKUP(DZ10,'食譜'!$B:$B,'食譜'!$D:$D,"")</f>
        <v/>
      </c>
      <c r="EA20" s="28"/>
      <c r="EB20" s="28"/>
      <c r="EC20" s="29"/>
      <c r="ED20" s="1"/>
      <c r="EE20" s="1"/>
      <c r="EF20" s="1"/>
      <c r="EG20" s="1"/>
      <c r="EH20" s="1"/>
      <c r="EI20" s="1"/>
      <c r="EJ20" s="1"/>
      <c r="EK20" s="1"/>
      <c r="EL20" s="1"/>
      <c r="EM20" s="7" t="str">
        <f t="array" ref="EM20">XLOOKUP(EQ20,'食材'!$B:$B,'食材'!$D:$D,"")</f>
        <v/>
      </c>
      <c r="EN20" s="8"/>
      <c r="EO20" s="9">
        <f t="array" ref="EO20">XLOOKUP(EQ20,'食材'!$B:$B,'食材'!$F:$F,"")</f>
        <v>121</v>
      </c>
      <c r="EP20" s="8"/>
      <c r="EQ20" s="10" t="s">
        <v>8</v>
      </c>
      <c r="ER20" s="11"/>
      <c r="ES20" s="11"/>
      <c r="ET20" s="11"/>
      <c r="EU20" s="11"/>
      <c r="EV20" s="11"/>
      <c r="EW20" s="12"/>
      <c r="EX20" s="13"/>
    </row>
    <row r="21" ht="15.0" customHeight="1">
      <c r="A21" s="106">
        <f t="array" ref="A21">XLOOKUP(C21,'食譜'!$B:$B,'食譜'!$F:$F,"")</f>
        <v>0.21</v>
      </c>
      <c r="B21" s="107" t="str">
        <f t="array" ref="B21">XLOOKUP(C21,'食譜'!$B:$B,'食譜'!$A:$A,"")</f>
        <v/>
      </c>
      <c r="C21" s="108" t="str">
        <f>IFERROR(__xludf.DUMMYFUNCTION("""COMPUTED_VALUE"""),"健美豆子咖哩")</f>
        <v>健美豆子咖哩</v>
      </c>
      <c r="D21" s="109">
        <f t="array" ref="D21">XLOOKUP(C21,'食譜'!$B:$B,'食譜'!$H:$H,"")</f>
        <v>3372</v>
      </c>
      <c r="E21" s="110" t="str">
        <f t="array" ref="E21">XLOOKUP(XLOOKUP(C21,'食譜'!$B:$B,'食譜'!$J:$J,""),'食材'!$B:$B,'食材'!$D:$D,"")</f>
        <v/>
      </c>
      <c r="F21" s="110" t="str">
        <f t="array" ref="F21">XLOOKUP(XLOOKUP(C21,'食譜'!$B:$B,'食譜'!$L:$L,""),'食材'!$B:$B,'食材'!$D:$D,"")</f>
        <v/>
      </c>
      <c r="G21" s="110" t="str">
        <f t="array" ref="G21">XLOOKUP(XLOOKUP(C21,'食譜'!$B:$B,'食譜'!$N:$N,""),'食材'!$B:$B,'食材'!$D:$D,"")</f>
        <v/>
      </c>
      <c r="H21" s="110" t="str">
        <f t="array" ref="H21">XLOOKUP(XLOOKUP(C21,'食譜'!$B:$B,'食譜'!$P:$P,""),'食材'!$B:$B,'食材'!$D:$D,"")</f>
        <v/>
      </c>
      <c r="I21" s="111">
        <f t="array" ref="I21">XLOOKUP(C21,'食譜'!$B:$B,'食譜'!$D:$D,"")</f>
        <v>26</v>
      </c>
      <c r="J21" s="99"/>
      <c r="K21" s="10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138"/>
      <c r="BY21" s="139"/>
      <c r="BZ21" s="38"/>
      <c r="CA21" s="39"/>
      <c r="CB21" s="39"/>
      <c r="CC21" s="40"/>
      <c r="CD21" s="38"/>
      <c r="CE21" s="39"/>
      <c r="CF21" s="39"/>
      <c r="CG21" s="40"/>
      <c r="CH21" s="38"/>
      <c r="CI21" s="39"/>
      <c r="CJ21" s="39"/>
      <c r="CK21" s="40"/>
      <c r="CL21" s="38"/>
      <c r="CM21" s="39"/>
      <c r="CN21" s="39"/>
      <c r="CO21" s="40"/>
      <c r="CP21" s="38"/>
      <c r="CQ21" s="39"/>
      <c r="CR21" s="39"/>
      <c r="CS21" s="40"/>
      <c r="CT21" s="38"/>
      <c r="CU21" s="39"/>
      <c r="CV21" s="39"/>
      <c r="CW21" s="40"/>
      <c r="CX21" s="38"/>
      <c r="CY21" s="39"/>
      <c r="CZ21" s="39"/>
      <c r="DA21" s="40"/>
      <c r="DB21" s="38"/>
      <c r="DC21" s="39"/>
      <c r="DD21" s="39"/>
      <c r="DE21" s="40"/>
      <c r="DF21" s="38"/>
      <c r="DG21" s="39"/>
      <c r="DH21" s="39"/>
      <c r="DI21" s="40"/>
      <c r="DJ21" s="38"/>
      <c r="DK21" s="39"/>
      <c r="DL21" s="39"/>
      <c r="DM21" s="40"/>
      <c r="DN21" s="38"/>
      <c r="DO21" s="39"/>
      <c r="DP21" s="39"/>
      <c r="DQ21" s="40"/>
      <c r="DR21" s="38"/>
      <c r="DS21" s="39"/>
      <c r="DT21" s="39"/>
      <c r="DU21" s="40"/>
      <c r="DV21" s="38"/>
      <c r="DW21" s="39"/>
      <c r="DX21" s="39"/>
      <c r="DY21" s="40"/>
      <c r="DZ21" s="38"/>
      <c r="EA21" s="39"/>
      <c r="EB21" s="39"/>
      <c r="EC21" s="40"/>
      <c r="ED21" s="1"/>
      <c r="EE21" s="1"/>
      <c r="EF21" s="1"/>
      <c r="EG21" s="1"/>
      <c r="EH21" s="1"/>
      <c r="EI21" s="1"/>
      <c r="EJ21" s="1"/>
      <c r="EK21" s="1"/>
      <c r="EL21" s="1"/>
      <c r="EM21" s="19"/>
      <c r="EN21" s="20"/>
      <c r="EO21" s="21"/>
      <c r="EP21" s="20"/>
      <c r="EQ21" s="21"/>
      <c r="ER21" s="22"/>
      <c r="ES21" s="22"/>
      <c r="ET21" s="22"/>
      <c r="EU21" s="22"/>
      <c r="EV21" s="22"/>
      <c r="EW21" s="23"/>
      <c r="EX21" s="13"/>
    </row>
    <row r="22" ht="15.0" customHeight="1">
      <c r="A22" s="114"/>
      <c r="B22" s="114"/>
      <c r="C22" s="114"/>
      <c r="D22" s="114"/>
      <c r="E22" s="110">
        <f t="array" ref="E22">XLOOKUP(C21,'食譜'!$B:$B,'食譜'!$K:$K,"")</f>
        <v>12</v>
      </c>
      <c r="F22" s="110">
        <f t="array" ref="F22">XLOOKUP(C21,'食譜'!$B:$B,'食譜'!$M:$M,"")</f>
        <v>6</v>
      </c>
      <c r="G22" s="110">
        <f t="array" ref="G22">XLOOKUP(C21,'食譜'!$B:$B,'食譜'!$O:$O,"")</f>
        <v>4</v>
      </c>
      <c r="H22" s="110">
        <f t="array" ref="H22">XLOOKUP(C21,'食譜'!$B:$B,'食譜'!$Q:$Q,"")</f>
        <v>4</v>
      </c>
      <c r="I22" s="114"/>
      <c r="J22" s="140"/>
      <c r="K22" s="9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1"/>
      <c r="EI22" s="1"/>
      <c r="EJ22" s="1"/>
      <c r="EK22" s="1"/>
      <c r="EL22" s="1"/>
      <c r="EM22" s="7" t="str">
        <f t="array" ref="EM22">XLOOKUP(EQ22,'食材'!$B:$B,'食材'!$D:$D,"")</f>
        <v/>
      </c>
      <c r="EN22" s="8"/>
      <c r="EO22" s="9">
        <f t="array" ref="EO22">XLOOKUP(EQ22,'食材'!$B:$B,'食材'!$F:$F,"")</f>
        <v>124</v>
      </c>
      <c r="EP22" s="8"/>
      <c r="EQ22" s="10" t="s">
        <v>9</v>
      </c>
      <c r="ER22" s="11"/>
      <c r="ES22" s="11"/>
      <c r="ET22" s="11"/>
      <c r="EU22" s="11"/>
      <c r="EV22" s="11"/>
      <c r="EW22" s="12"/>
      <c r="EX22" s="13"/>
    </row>
    <row r="23" ht="15.0" customHeight="1">
      <c r="A23" s="106">
        <f t="array" ref="A23">XLOOKUP(C23,'食譜'!$B:$B,'食譜'!$F:$F,"")</f>
        <v>0.2</v>
      </c>
      <c r="B23" s="107" t="str">
        <f t="array" ref="B23">XLOOKUP(C23,'食譜'!$B:$B,'食譜'!$A:$A,"")</f>
        <v/>
      </c>
      <c r="C23" s="108" t="str">
        <f>IFERROR(__xludf.DUMMYFUNCTION("""COMPUTED_VALUE"""),"蘑菇孢子咖哩")</f>
        <v>蘑菇孢子咖哩</v>
      </c>
      <c r="D23" s="109">
        <f t="array" ref="D23">XLOOKUP(C23,'食譜'!$B:$B,'食譜'!$H:$H,"")</f>
        <v>4162</v>
      </c>
      <c r="E23" s="110" t="str">
        <f t="array" ref="E23">XLOOKUP(XLOOKUP(C23,'食譜'!$B:$B,'食譜'!$J:$J,""),'食材'!$B:$B,'食材'!$D:$D,"")</f>
        <v/>
      </c>
      <c r="F23" s="110" t="str">
        <f t="array" ref="F23">XLOOKUP(XLOOKUP(C23,'食譜'!$B:$B,'食譜'!$L:$L,""),'食材'!$B:$B,'食材'!$D:$D,"")</f>
        <v/>
      </c>
      <c r="G23" s="110" t="str">
        <f t="array" ref="G23">XLOOKUP(XLOOKUP(C23,'食譜'!$B:$B,'食譜'!$N:$N,""),'食材'!$B:$B,'食材'!$D:$D,"")</f>
        <v/>
      </c>
      <c r="H23" s="110" t="str">
        <f t="array" ref="H23">XLOOKUP(XLOOKUP(C23,'食譜'!$B:$B,'食譜'!$P:$P,""),'食材'!$B:$B,'食材'!$D:$D,"")</f>
        <v/>
      </c>
      <c r="I23" s="111">
        <f t="array" ref="I23">XLOOKUP(C23,'食譜'!$B:$B,'食譜'!$D:$D,"")</f>
        <v>23</v>
      </c>
      <c r="J23" s="140"/>
      <c r="K23" s="9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41"/>
      <c r="AM23" s="41"/>
      <c r="AN23" s="41"/>
      <c r="AO23" s="41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1"/>
      <c r="EI23" s="1"/>
      <c r="EJ23" s="1"/>
      <c r="EK23" s="1"/>
      <c r="EL23" s="1"/>
      <c r="EM23" s="19"/>
      <c r="EN23" s="20"/>
      <c r="EO23" s="21"/>
      <c r="EP23" s="20"/>
      <c r="EQ23" s="21"/>
      <c r="ER23" s="22"/>
      <c r="ES23" s="22"/>
      <c r="ET23" s="22"/>
      <c r="EU23" s="22"/>
      <c r="EV23" s="22"/>
      <c r="EW23" s="23"/>
      <c r="EX23" s="13"/>
    </row>
    <row r="24" ht="15.0" customHeight="1">
      <c r="A24" s="114"/>
      <c r="B24" s="114"/>
      <c r="C24" s="114"/>
      <c r="D24" s="114"/>
      <c r="E24" s="110">
        <f t="array" ref="E24">XLOOKUP(C23,'食譜'!$B:$B,'食譜'!$K:$K,"")</f>
        <v>14</v>
      </c>
      <c r="F24" s="110">
        <f t="array" ref="F24">XLOOKUP(C23,'食譜'!$B:$B,'食譜'!$M:$M,"")</f>
        <v>9</v>
      </c>
      <c r="G24" s="110" t="str">
        <f t="array" ref="G24">XLOOKUP(C23,'食譜'!$B:$B,'食譜'!$O:$O,"")</f>
        <v/>
      </c>
      <c r="H24" s="110" t="str">
        <f t="array" ref="H24">XLOOKUP(C23,'食譜'!$B:$B,'食譜'!$Q:$Q,"")</f>
        <v/>
      </c>
      <c r="I24" s="114"/>
      <c r="J24" s="140"/>
      <c r="K24" s="9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44" t="str">
        <f t="array" ref="AL24">XLOOKUP("拌拌沙拉",'食譜'!B:B,'食譜'!A:A,"")</f>
        <v/>
      </c>
      <c r="AM24" s="5"/>
      <c r="AN24" s="5"/>
      <c r="AO24" s="6"/>
      <c r="AP24" s="44" t="str">
        <f t="array" ref="AP24">XLOOKUP(AP30,'食譜'!$B:$B,'食譜'!$F:$F,"")</f>
        <v>#REF!</v>
      </c>
      <c r="AQ24" s="5"/>
      <c r="AR24" s="5"/>
      <c r="AS24" s="6"/>
      <c r="AT24" s="44" t="str">
        <f t="array" ref="AT24">XLOOKUP(AT30,'食譜'!$B:$B,'食譜'!$F:$F,"")</f>
        <v/>
      </c>
      <c r="AU24" s="5"/>
      <c r="AV24" s="5"/>
      <c r="AW24" s="6"/>
      <c r="AX24" s="44" t="str">
        <f t="array" ref="AX24">XLOOKUP(AX30,'食譜'!$B:$B,'食譜'!$F:$F,"")</f>
        <v/>
      </c>
      <c r="AY24" s="5"/>
      <c r="AZ24" s="5"/>
      <c r="BA24" s="6"/>
      <c r="BB24" s="44" t="str">
        <f t="array" ref="BB24">XLOOKUP(BB30,'食譜'!$B:$B,'食譜'!$F:$F,"")</f>
        <v/>
      </c>
      <c r="BC24" s="5"/>
      <c r="BD24" s="5"/>
      <c r="BE24" s="6"/>
      <c r="BF24" s="44" t="str">
        <f t="array" ref="BF24">XLOOKUP(BF30,'食譜'!$B:$B,'食譜'!$F:$F,"")</f>
        <v/>
      </c>
      <c r="BG24" s="5"/>
      <c r="BH24" s="5"/>
      <c r="BI24" s="6"/>
      <c r="BJ24" s="44" t="str">
        <f t="array" ref="BJ24">XLOOKUP(BJ30,'食譜'!$B:$B,'食譜'!$F:$F,"")</f>
        <v/>
      </c>
      <c r="BK24" s="5"/>
      <c r="BL24" s="5"/>
      <c r="BM24" s="6"/>
      <c r="BN24" s="44" t="str">
        <f t="array" ref="BN24">XLOOKUP(BN30,'食譜'!$B:$B,'食譜'!$F:$F,"")</f>
        <v/>
      </c>
      <c r="BO24" s="5"/>
      <c r="BP24" s="5"/>
      <c r="BQ24" s="6"/>
      <c r="BR24" s="44" t="str">
        <f t="array" ref="BR24">XLOOKUP(BR30,'食譜'!$B:$B,'食譜'!$F:$F,"")</f>
        <v/>
      </c>
      <c r="BS24" s="5"/>
      <c r="BT24" s="5"/>
      <c r="BU24" s="6"/>
      <c r="BV24" s="44" t="str">
        <f t="array" ref="BV24">XLOOKUP(BV30,'食譜'!$B:$B,'食譜'!$F:$F,"")</f>
        <v/>
      </c>
      <c r="BW24" s="5"/>
      <c r="BX24" s="5"/>
      <c r="BY24" s="6"/>
      <c r="BZ24" s="44" t="str">
        <f t="array" ref="BZ24">XLOOKUP(BZ30,'食譜'!$B:$B,'食譜'!$F:$F,"")</f>
        <v/>
      </c>
      <c r="CA24" s="5"/>
      <c r="CB24" s="5"/>
      <c r="CC24" s="6"/>
      <c r="CD24" s="44" t="str">
        <f t="array" ref="CD24">XLOOKUP(CD30,'食譜'!$B:$B,'食譜'!$F:$F,"")</f>
        <v/>
      </c>
      <c r="CE24" s="5"/>
      <c r="CF24" s="5"/>
      <c r="CG24" s="6"/>
      <c r="CH24" s="44" t="str">
        <f t="array" ref="CH24">XLOOKUP(CH30,'食譜'!$B:$B,'食譜'!$F:$F,"")</f>
        <v/>
      </c>
      <c r="CI24" s="5"/>
      <c r="CJ24" s="5"/>
      <c r="CK24" s="6"/>
      <c r="CL24" s="44" t="str">
        <f t="array" ref="CL24">XLOOKUP(CL30,'食譜'!$B:$B,'食譜'!$F:$F,"")</f>
        <v/>
      </c>
      <c r="CM24" s="5"/>
      <c r="CN24" s="5"/>
      <c r="CO24" s="6"/>
      <c r="CP24" s="44" t="str">
        <f t="array" ref="CP24">XLOOKUP(CP30,'食譜'!$B:$B,'食譜'!$F:$F,"")</f>
        <v/>
      </c>
      <c r="CQ24" s="5"/>
      <c r="CR24" s="5"/>
      <c r="CS24" s="6"/>
      <c r="CT24" s="44" t="str">
        <f t="array" ref="CT24">XLOOKUP(CT30,'食譜'!$B:$B,'食譜'!$F:$F,"")</f>
        <v/>
      </c>
      <c r="CU24" s="5"/>
      <c r="CV24" s="5"/>
      <c r="CW24" s="6"/>
      <c r="CX24" s="44" t="str">
        <f t="array" ref="CX24">XLOOKUP(CX30,'食譜'!$B:$B,'食譜'!$F:$F,"")</f>
        <v/>
      </c>
      <c r="CY24" s="5"/>
      <c r="CZ24" s="5"/>
      <c r="DA24" s="6"/>
      <c r="DB24" s="44" t="str">
        <f t="array" ref="DB24">XLOOKUP(DB30,'食譜'!$B:$B,'食譜'!$F:$F,"")</f>
        <v/>
      </c>
      <c r="DC24" s="5"/>
      <c r="DD24" s="5"/>
      <c r="DE24" s="6"/>
      <c r="DF24" s="44" t="str">
        <f t="array" ref="DF24">XLOOKUP(DF30,'食譜'!$B:$B,'食譜'!$F:$F,"")</f>
        <v/>
      </c>
      <c r="DG24" s="5"/>
      <c r="DH24" s="5"/>
      <c r="DI24" s="6"/>
      <c r="DJ24" s="44" t="str">
        <f t="array" ref="DJ24">XLOOKUP(DJ30,'食譜'!$B:$B,'食譜'!$F:$F,"")</f>
        <v/>
      </c>
      <c r="DK24" s="5"/>
      <c r="DL24" s="5"/>
      <c r="DM24" s="6"/>
      <c r="DN24" s="44" t="str">
        <f t="array" ref="DN24">XLOOKUP(DN30,'食譜'!$B:$B,'食譜'!$F:$F,"")</f>
        <v/>
      </c>
      <c r="DO24" s="5"/>
      <c r="DP24" s="5"/>
      <c r="DQ24" s="6"/>
      <c r="DR24" s="44" t="str">
        <f t="array" ref="DR24">XLOOKUP(DR30,'食譜'!$B:$B,'食譜'!$F:$F,"")</f>
        <v/>
      </c>
      <c r="DS24" s="5"/>
      <c r="DT24" s="5"/>
      <c r="DU24" s="6"/>
      <c r="DV24" s="44" t="str">
        <f t="array" ref="DV24">XLOOKUP(DV30,'食譜'!$B:$B,'食譜'!$F:$F,"")</f>
        <v/>
      </c>
      <c r="DW24" s="5"/>
      <c r="DX24" s="5"/>
      <c r="DY24" s="6"/>
      <c r="DZ24" s="44" t="str">
        <f t="array" ref="DZ24">XLOOKUP(DZ30,'食譜'!$B:$B,'食譜'!$F:$F,"")</f>
        <v/>
      </c>
      <c r="EA24" s="5"/>
      <c r="EB24" s="5"/>
      <c r="EC24" s="6"/>
      <c r="ED24" s="44" t="str">
        <f t="array" ref="ED24">XLOOKUP(ED30,'食譜'!$B:$B,'食譜'!$F:$F,"")</f>
        <v/>
      </c>
      <c r="EE24" s="5"/>
      <c r="EF24" s="5"/>
      <c r="EG24" s="6"/>
      <c r="EH24" s="44" t="str">
        <f t="array" ref="EH24">XLOOKUP(EH30,'食譜'!$B:$B,'食譜'!$F:$F,"")</f>
        <v/>
      </c>
      <c r="EI24" s="5"/>
      <c r="EJ24" s="5"/>
      <c r="EK24" s="6"/>
      <c r="EL24" s="1"/>
      <c r="EM24" s="7" t="str">
        <f t="array" ref="EM24">XLOOKUP(EQ24,'食材'!$B:$B,'食材'!$D:$D,"")</f>
        <v/>
      </c>
      <c r="EN24" s="8"/>
      <c r="EO24" s="9">
        <f t="array" ref="EO24">XLOOKUP(EQ24,'食材'!$B:$B,'食材'!$F:$F,"")</f>
        <v>130</v>
      </c>
      <c r="EP24" s="8"/>
      <c r="EQ24" s="10" t="s">
        <v>10</v>
      </c>
      <c r="ER24" s="11"/>
      <c r="ES24" s="11"/>
      <c r="ET24" s="11"/>
      <c r="EU24" s="11"/>
      <c r="EV24" s="11"/>
      <c r="EW24" s="12"/>
      <c r="EX24" s="13"/>
    </row>
    <row r="25" ht="15.0" customHeight="1">
      <c r="A25" s="106">
        <f t="array" ref="A25">XLOOKUP(C25,'食譜'!$B:$B,'食譜'!$F:$F,"")</f>
        <v>0.25</v>
      </c>
      <c r="B25" s="107" t="str">
        <f t="array" ref="B25">XLOOKUP(C25,'食譜'!$B:$B,'食譜'!$A:$A,"")</f>
        <v/>
      </c>
      <c r="C25" s="108" t="str">
        <f>IFERROR(__xludf.DUMMYFUNCTION("""COMPUTED_VALUE"""),"親子愛咖哩")</f>
        <v>親子愛咖哩</v>
      </c>
      <c r="D25" s="109">
        <f t="array" ref="D25">XLOOKUP(C25,'食譜'!$B:$B,'食譜'!$H:$H,"")</f>
        <v>4523</v>
      </c>
      <c r="E25" s="110" t="str">
        <f t="array" ref="E25">XLOOKUP(XLOOKUP(C25,'食譜'!$B:$B,'食譜'!$J:$J,""),'食材'!$B:$B,'食材'!$D:$D,"")</f>
        <v/>
      </c>
      <c r="F25" s="110" t="str">
        <f t="array" ref="F25">XLOOKUP(XLOOKUP(C25,'食譜'!$B:$B,'食譜'!$L:$L,""),'食材'!$B:$B,'食材'!$D:$D,"")</f>
        <v/>
      </c>
      <c r="G25" s="110" t="str">
        <f t="array" ref="G25">XLOOKUP(XLOOKUP(C25,'食譜'!$B:$B,'食譜'!$N:$N,""),'食材'!$B:$B,'食材'!$D:$D,"")</f>
        <v/>
      </c>
      <c r="H25" s="110" t="str">
        <f t="array" ref="H25">XLOOKUP(XLOOKUP(C25,'食譜'!$B:$B,'食譜'!$P:$P,""),'食材'!$B:$B,'食材'!$D:$D,"")</f>
        <v/>
      </c>
      <c r="I25" s="111">
        <f t="array" ref="I25">XLOOKUP(C25,'食譜'!$B:$B,'食譜'!$D:$D,"")</f>
        <v>35</v>
      </c>
      <c r="J25" s="140"/>
      <c r="K25" s="9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4"/>
      <c r="AO25" s="15"/>
      <c r="AP25" s="45"/>
      <c r="AQ25" s="46"/>
      <c r="AR25" s="46"/>
      <c r="AS25" s="47"/>
      <c r="AT25" s="45"/>
      <c r="AU25" s="46"/>
      <c r="AV25" s="46"/>
      <c r="AW25" s="47"/>
      <c r="AX25" s="45"/>
      <c r="AY25" s="46"/>
      <c r="AZ25" s="46"/>
      <c r="BA25" s="47"/>
      <c r="BB25" s="45"/>
      <c r="BC25" s="46"/>
      <c r="BD25" s="46"/>
      <c r="BE25" s="47"/>
      <c r="BF25" s="45"/>
      <c r="BG25" s="46"/>
      <c r="BH25" s="46"/>
      <c r="BI25" s="47"/>
      <c r="BJ25" s="45"/>
      <c r="BK25" s="46"/>
      <c r="BL25" s="46"/>
      <c r="BM25" s="47"/>
      <c r="BN25" s="45"/>
      <c r="BO25" s="46"/>
      <c r="BP25" s="46"/>
      <c r="BQ25" s="47"/>
      <c r="BR25" s="45"/>
      <c r="BS25" s="46"/>
      <c r="BT25" s="46"/>
      <c r="BU25" s="47"/>
      <c r="BV25" s="45"/>
      <c r="BW25" s="46"/>
      <c r="BX25" s="46"/>
      <c r="BY25" s="47"/>
      <c r="BZ25" s="45"/>
      <c r="CA25" s="46"/>
      <c r="CB25" s="46"/>
      <c r="CC25" s="47"/>
      <c r="CD25" s="45"/>
      <c r="CE25" s="46"/>
      <c r="CF25" s="46"/>
      <c r="CG25" s="47"/>
      <c r="CH25" s="45"/>
      <c r="CI25" s="46"/>
      <c r="CJ25" s="46"/>
      <c r="CK25" s="47"/>
      <c r="CL25" s="45"/>
      <c r="CM25" s="46"/>
      <c r="CN25" s="46"/>
      <c r="CO25" s="47"/>
      <c r="CP25" s="45"/>
      <c r="CQ25" s="46"/>
      <c r="CR25" s="46"/>
      <c r="CS25" s="47"/>
      <c r="CT25" s="45"/>
      <c r="CU25" s="46"/>
      <c r="CV25" s="46"/>
      <c r="CW25" s="47"/>
      <c r="CX25" s="45"/>
      <c r="CY25" s="46"/>
      <c r="CZ25" s="46"/>
      <c r="DA25" s="47"/>
      <c r="DB25" s="45"/>
      <c r="DC25" s="46"/>
      <c r="DD25" s="46"/>
      <c r="DE25" s="47"/>
      <c r="DF25" s="45"/>
      <c r="DG25" s="46"/>
      <c r="DH25" s="46"/>
      <c r="DI25" s="47"/>
      <c r="DJ25" s="45"/>
      <c r="DK25" s="46"/>
      <c r="DL25" s="46"/>
      <c r="DM25" s="47"/>
      <c r="DN25" s="45"/>
      <c r="DO25" s="46"/>
      <c r="DP25" s="46"/>
      <c r="DQ25" s="47"/>
      <c r="DR25" s="45"/>
      <c r="DS25" s="46"/>
      <c r="DT25" s="46"/>
      <c r="DU25" s="47"/>
      <c r="DV25" s="45"/>
      <c r="DW25" s="46"/>
      <c r="DX25" s="46"/>
      <c r="DY25" s="47"/>
      <c r="DZ25" s="45"/>
      <c r="EA25" s="46"/>
      <c r="EB25" s="46"/>
      <c r="EC25" s="47"/>
      <c r="ED25" s="45"/>
      <c r="EE25" s="46"/>
      <c r="EF25" s="46"/>
      <c r="EG25" s="47"/>
      <c r="EH25" s="45"/>
      <c r="EI25" s="46"/>
      <c r="EJ25" s="46"/>
      <c r="EK25" s="47"/>
      <c r="EL25" s="1"/>
      <c r="EM25" s="19"/>
      <c r="EN25" s="20"/>
      <c r="EO25" s="21"/>
      <c r="EP25" s="20"/>
      <c r="EQ25" s="21"/>
      <c r="ER25" s="22"/>
      <c r="ES25" s="22"/>
      <c r="ET25" s="22"/>
      <c r="EU25" s="22"/>
      <c r="EV25" s="22"/>
      <c r="EW25" s="23"/>
      <c r="EX25" s="13"/>
    </row>
    <row r="26" ht="15.0" customHeight="1">
      <c r="A26" s="114"/>
      <c r="B26" s="114"/>
      <c r="C26" s="114"/>
      <c r="D26" s="114"/>
      <c r="E26" s="110">
        <f t="array" ref="E26">XLOOKUP(C25,'食譜'!$B:$B,'食譜'!$K:$K,"")</f>
        <v>12</v>
      </c>
      <c r="F26" s="110">
        <f t="array" ref="F26">XLOOKUP(C25,'食譜'!$B:$B,'食譜'!$M:$M,"")</f>
        <v>11</v>
      </c>
      <c r="G26" s="110">
        <f t="array" ref="G26">XLOOKUP(C25,'食譜'!$B:$B,'食譜'!$O:$O,"")</f>
        <v>8</v>
      </c>
      <c r="H26" s="110">
        <f t="array" ref="H26">XLOOKUP(C25,'食譜'!$B:$B,'食譜'!$Q:$Q,"")</f>
        <v>4</v>
      </c>
      <c r="I26" s="114"/>
      <c r="J26" s="140"/>
      <c r="K26" s="9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4"/>
      <c r="AO26" s="15"/>
      <c r="AP26" s="48" t="str">
        <f t="array" ref="AP26">XLOOKUP(AP30,'食譜'!$B:$B,'食譜'!$H:$H,"")</f>
        <v>#REF!</v>
      </c>
      <c r="AQ26" s="49"/>
      <c r="AR26" s="49"/>
      <c r="AS26" s="50"/>
      <c r="AT26" s="48" t="str">
        <f t="array" ref="AT26">XLOOKUP(AT30,'食譜'!$B:$B,'食譜'!$H:$H,"")</f>
        <v/>
      </c>
      <c r="AU26" s="49"/>
      <c r="AV26" s="49"/>
      <c r="AW26" s="50"/>
      <c r="AX26" s="48" t="str">
        <f t="array" ref="AX26">XLOOKUP(AX30,'食譜'!$B:$B,'食譜'!$H:$H,"")</f>
        <v/>
      </c>
      <c r="AY26" s="49"/>
      <c r="AZ26" s="49"/>
      <c r="BA26" s="50"/>
      <c r="BB26" s="48" t="str">
        <f t="array" ref="BB26">XLOOKUP(BB30,'食譜'!$B:$B,'食譜'!$H:$H,"")</f>
        <v/>
      </c>
      <c r="BC26" s="49"/>
      <c r="BD26" s="49"/>
      <c r="BE26" s="50"/>
      <c r="BF26" s="48" t="str">
        <f t="array" ref="BF26">XLOOKUP(BF30,'食譜'!$B:$B,'食譜'!$H:$H,"")</f>
        <v/>
      </c>
      <c r="BG26" s="49"/>
      <c r="BH26" s="49"/>
      <c r="BI26" s="50"/>
      <c r="BJ26" s="48" t="str">
        <f t="array" ref="BJ26">XLOOKUP(BJ30,'食譜'!$B:$B,'食譜'!$H:$H,"")</f>
        <v/>
      </c>
      <c r="BK26" s="49"/>
      <c r="BL26" s="49"/>
      <c r="BM26" s="50"/>
      <c r="BN26" s="48" t="str">
        <f t="array" ref="BN26">XLOOKUP(BN30,'食譜'!$B:$B,'食譜'!$H:$H,"")</f>
        <v/>
      </c>
      <c r="BO26" s="49"/>
      <c r="BP26" s="49"/>
      <c r="BQ26" s="50"/>
      <c r="BR26" s="48" t="str">
        <f t="array" ref="BR26">XLOOKUP(BR30,'食譜'!$B:$B,'食譜'!$H:$H,"")</f>
        <v/>
      </c>
      <c r="BS26" s="49"/>
      <c r="BT26" s="49"/>
      <c r="BU26" s="50"/>
      <c r="BV26" s="48" t="str">
        <f t="array" ref="BV26">XLOOKUP(BV30,'食譜'!$B:$B,'食譜'!$H:$H,"")</f>
        <v/>
      </c>
      <c r="BW26" s="49"/>
      <c r="BX26" s="49"/>
      <c r="BY26" s="50"/>
      <c r="BZ26" s="48" t="str">
        <f t="array" ref="BZ26">XLOOKUP(BZ30,'食譜'!$B:$B,'食譜'!$H:$H,"")</f>
        <v/>
      </c>
      <c r="CA26" s="49"/>
      <c r="CB26" s="49"/>
      <c r="CC26" s="50"/>
      <c r="CD26" s="48" t="str">
        <f t="array" ref="CD26">XLOOKUP(CD30,'食譜'!$B:$B,'食譜'!$H:$H,"")</f>
        <v/>
      </c>
      <c r="CE26" s="49"/>
      <c r="CF26" s="49"/>
      <c r="CG26" s="50"/>
      <c r="CH26" s="48" t="str">
        <f t="array" ref="CH26">XLOOKUP(CH30,'食譜'!$B:$B,'食譜'!$H:$H,"")</f>
        <v/>
      </c>
      <c r="CI26" s="49"/>
      <c r="CJ26" s="49"/>
      <c r="CK26" s="50"/>
      <c r="CL26" s="48" t="str">
        <f t="array" ref="CL26">XLOOKUP(CL30,'食譜'!$B:$B,'食譜'!$H:$H,"")</f>
        <v/>
      </c>
      <c r="CM26" s="49"/>
      <c r="CN26" s="49"/>
      <c r="CO26" s="50"/>
      <c r="CP26" s="48" t="str">
        <f t="array" ref="CP26">XLOOKUP(CP30,'食譜'!$B:$B,'食譜'!$H:$H,"")</f>
        <v/>
      </c>
      <c r="CQ26" s="49"/>
      <c r="CR26" s="49"/>
      <c r="CS26" s="50"/>
      <c r="CT26" s="48" t="str">
        <f t="array" ref="CT26">XLOOKUP(CT30,'食譜'!$B:$B,'食譜'!$H:$H,"")</f>
        <v/>
      </c>
      <c r="CU26" s="49"/>
      <c r="CV26" s="49"/>
      <c r="CW26" s="50"/>
      <c r="CX26" s="48" t="str">
        <f t="array" ref="CX26">XLOOKUP(CX30,'食譜'!$B:$B,'食譜'!$H:$H,"")</f>
        <v/>
      </c>
      <c r="CY26" s="49"/>
      <c r="CZ26" s="49"/>
      <c r="DA26" s="50"/>
      <c r="DB26" s="48" t="str">
        <f t="array" ref="DB26">XLOOKUP(DB30,'食譜'!$B:$B,'食譜'!$H:$H,"")</f>
        <v/>
      </c>
      <c r="DC26" s="49"/>
      <c r="DD26" s="49"/>
      <c r="DE26" s="50"/>
      <c r="DF26" s="48" t="str">
        <f t="array" ref="DF26">XLOOKUP(DF30,'食譜'!$B:$B,'食譜'!$H:$H,"")</f>
        <v/>
      </c>
      <c r="DG26" s="49"/>
      <c r="DH26" s="49"/>
      <c r="DI26" s="50"/>
      <c r="DJ26" s="48" t="str">
        <f t="array" ref="DJ26">XLOOKUP(DJ30,'食譜'!$B:$B,'食譜'!$H:$H,"")</f>
        <v/>
      </c>
      <c r="DK26" s="49"/>
      <c r="DL26" s="49"/>
      <c r="DM26" s="50"/>
      <c r="DN26" s="48" t="str">
        <f t="array" ref="DN26">XLOOKUP(DN30,'食譜'!$B:$B,'食譜'!$H:$H,"")</f>
        <v/>
      </c>
      <c r="DO26" s="49"/>
      <c r="DP26" s="49"/>
      <c r="DQ26" s="50"/>
      <c r="DR26" s="48" t="str">
        <f t="array" ref="DR26">XLOOKUP(DR30,'食譜'!$B:$B,'食譜'!$H:$H,"")</f>
        <v/>
      </c>
      <c r="DS26" s="49"/>
      <c r="DT26" s="49"/>
      <c r="DU26" s="50"/>
      <c r="DV26" s="48" t="str">
        <f t="array" ref="DV26">XLOOKUP(DV30,'食譜'!$B:$B,'食譜'!$H:$H,"")</f>
        <v/>
      </c>
      <c r="DW26" s="49"/>
      <c r="DX26" s="49"/>
      <c r="DY26" s="50"/>
      <c r="DZ26" s="48" t="str">
        <f t="array" ref="DZ26">XLOOKUP(DZ30,'食譜'!$B:$B,'食譜'!$H:$H,"")</f>
        <v/>
      </c>
      <c r="EA26" s="49"/>
      <c r="EB26" s="49"/>
      <c r="EC26" s="50"/>
      <c r="ED26" s="48" t="str">
        <f t="array" ref="ED26">XLOOKUP(ED30,'食譜'!$B:$B,'食譜'!$H:$H,"")</f>
        <v/>
      </c>
      <c r="EE26" s="49"/>
      <c r="EF26" s="49"/>
      <c r="EG26" s="50"/>
      <c r="EH26" s="48" t="str">
        <f t="array" ref="EH26">XLOOKUP(EH30,'食譜'!$B:$B,'食譜'!$H:$H,"")</f>
        <v/>
      </c>
      <c r="EI26" s="49"/>
      <c r="EJ26" s="49"/>
      <c r="EK26" s="50"/>
      <c r="EL26" s="1"/>
      <c r="EM26" s="7" t="str">
        <f t="array" ref="EM26">XLOOKUP(EQ26,'食材'!$B:$B,'食材'!$D:$D,"")</f>
        <v/>
      </c>
      <c r="EN26" s="8"/>
      <c r="EO26" s="9">
        <f t="array" ref="EO26">XLOOKUP(EQ26,'食材'!$B:$B,'食材'!$F:$F,"")</f>
        <v>140</v>
      </c>
      <c r="EP26" s="8"/>
      <c r="EQ26" s="10" t="s">
        <v>11</v>
      </c>
      <c r="ER26" s="11"/>
      <c r="ES26" s="11"/>
      <c r="ET26" s="11"/>
      <c r="EU26" s="11"/>
      <c r="EV26" s="11"/>
      <c r="EW26" s="12"/>
      <c r="EX26" s="13"/>
    </row>
    <row r="27" ht="15.0" customHeight="1">
      <c r="A27" s="106">
        <f t="array" ref="A27">XLOOKUP(C27,'食譜'!$B:$B,'食譜'!$F:$F,"")</f>
        <v>0.25</v>
      </c>
      <c r="B27" s="107" t="str">
        <f t="array" ref="B27">XLOOKUP(C27,'食譜'!$B:$B,'食譜'!$A:$A,"")</f>
        <v/>
      </c>
      <c r="C27" s="108" t="str">
        <f>IFERROR(__xludf.DUMMYFUNCTION("""COMPUTED_VALUE"""),"柔軟玉米濃湯")</f>
        <v>柔軟玉米濃湯</v>
      </c>
      <c r="D27" s="109">
        <f t="array" ref="D27">XLOOKUP(C27,'食譜'!$B:$B,'食譜'!$H:$H,"")</f>
        <v>4670</v>
      </c>
      <c r="E27" s="110" t="str">
        <f t="array" ref="E27">XLOOKUP(XLOOKUP(C27,'食譜'!$B:$B,'食譜'!$J:$J,""),'食材'!$B:$B,'食材'!$D:$D,"")</f>
        <v/>
      </c>
      <c r="F27" s="110" t="str">
        <f t="array" ref="F27">XLOOKUP(XLOOKUP(C27,'食譜'!$B:$B,'食譜'!$L:$L,""),'食材'!$B:$B,'食材'!$D:$D,"")</f>
        <v/>
      </c>
      <c r="G27" s="110" t="str">
        <f t="array" ref="G27">XLOOKUP(XLOOKUP(C27,'食譜'!$B:$B,'食譜'!$N:$N,""),'食材'!$B:$B,'食材'!$D:$D,"")</f>
        <v/>
      </c>
      <c r="H27" s="110" t="str">
        <f t="array" ref="H27">XLOOKUP(XLOOKUP(C27,'食譜'!$B:$B,'食譜'!$P:$P,""),'食材'!$B:$B,'食材'!$D:$D,"")</f>
        <v/>
      </c>
      <c r="I27" s="111">
        <f t="array" ref="I27">XLOOKUP(C27,'食譜'!$B:$B,'食譜'!$D:$D,"")</f>
        <v>30</v>
      </c>
      <c r="J27" s="140"/>
      <c r="K27" s="9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4"/>
      <c r="AO27" s="15"/>
      <c r="AP27" s="51" t="str">
        <f t="array" ref="AP27">XLOOKUP(AP30,'食譜'!$B:$B,'食譜'!$A:$A,"")</f>
        <v>#REF!</v>
      </c>
      <c r="AQ27" s="52"/>
      <c r="AR27" s="52"/>
      <c r="AS27" s="53"/>
      <c r="AT27" s="51" t="str">
        <f t="array" ref="AT27">XLOOKUP(AT30,'食譜'!$B:$B,'食譜'!$A:$A,"")</f>
        <v/>
      </c>
      <c r="AU27" s="52"/>
      <c r="AV27" s="52"/>
      <c r="AW27" s="53"/>
      <c r="AX27" s="51" t="str">
        <f t="array" ref="AX27">XLOOKUP(AX30,'食譜'!$B:$B,'食譜'!$A:$A,"")</f>
        <v/>
      </c>
      <c r="AY27" s="52"/>
      <c r="AZ27" s="52"/>
      <c r="BA27" s="53"/>
      <c r="BB27" s="51" t="str">
        <f t="array" ref="BB27">XLOOKUP(BB30,'食譜'!$B:$B,'食譜'!$A:$A,"")</f>
        <v/>
      </c>
      <c r="BC27" s="52"/>
      <c r="BD27" s="52"/>
      <c r="BE27" s="53"/>
      <c r="BF27" s="51" t="str">
        <f t="array" ref="BF27">XLOOKUP(BF30,'食譜'!$B:$B,'食譜'!$A:$A,"")</f>
        <v/>
      </c>
      <c r="BG27" s="52"/>
      <c r="BH27" s="52"/>
      <c r="BI27" s="53"/>
      <c r="BJ27" s="51" t="str">
        <f t="array" ref="BJ27">XLOOKUP(BJ30,'食譜'!$B:$B,'食譜'!$A:$A,"")</f>
        <v/>
      </c>
      <c r="BK27" s="52"/>
      <c r="BL27" s="52"/>
      <c r="BM27" s="53"/>
      <c r="BN27" s="51" t="str">
        <f t="array" ref="BN27">XLOOKUP(BN30,'食譜'!$B:$B,'食譜'!$A:$A,"")</f>
        <v/>
      </c>
      <c r="BO27" s="52"/>
      <c r="BP27" s="52"/>
      <c r="BQ27" s="53"/>
      <c r="BR27" s="51" t="str">
        <f t="array" ref="BR27">XLOOKUP(BR30,'食譜'!$B:$B,'食譜'!$A:$A,"")</f>
        <v/>
      </c>
      <c r="BS27" s="52"/>
      <c r="BT27" s="52"/>
      <c r="BU27" s="53"/>
      <c r="BV27" s="51" t="str">
        <f t="array" ref="BV27">XLOOKUP(BV30,'食譜'!$B:$B,'食譜'!$A:$A,"")</f>
        <v/>
      </c>
      <c r="BW27" s="52"/>
      <c r="BX27" s="52"/>
      <c r="BY27" s="53"/>
      <c r="BZ27" s="51" t="str">
        <f t="array" ref="BZ27">XLOOKUP(BZ30,'食譜'!$B:$B,'食譜'!$A:$A,"")</f>
        <v/>
      </c>
      <c r="CA27" s="52"/>
      <c r="CB27" s="52"/>
      <c r="CC27" s="53"/>
      <c r="CD27" s="51" t="str">
        <f t="array" ref="CD27">XLOOKUP(CD30,'食譜'!$B:$B,'食譜'!$A:$A,"")</f>
        <v/>
      </c>
      <c r="CE27" s="52"/>
      <c r="CF27" s="52"/>
      <c r="CG27" s="53"/>
      <c r="CH27" s="51" t="str">
        <f t="array" ref="CH27">XLOOKUP(CH30,'食譜'!$B:$B,'食譜'!$A:$A,"")</f>
        <v/>
      </c>
      <c r="CI27" s="52"/>
      <c r="CJ27" s="52"/>
      <c r="CK27" s="53"/>
      <c r="CL27" s="51" t="str">
        <f t="array" ref="CL27">XLOOKUP(CL30,'食譜'!$B:$B,'食譜'!$A:$A,"")</f>
        <v/>
      </c>
      <c r="CM27" s="52"/>
      <c r="CN27" s="52"/>
      <c r="CO27" s="53"/>
      <c r="CP27" s="51" t="str">
        <f t="array" ref="CP27">XLOOKUP(CP30,'食譜'!$B:$B,'食譜'!$A:$A,"")</f>
        <v/>
      </c>
      <c r="CQ27" s="52"/>
      <c r="CR27" s="52"/>
      <c r="CS27" s="53"/>
      <c r="CT27" s="51" t="str">
        <f t="array" ref="CT27">XLOOKUP(CT30,'食譜'!$B:$B,'食譜'!$A:$A,"")</f>
        <v/>
      </c>
      <c r="CU27" s="52"/>
      <c r="CV27" s="52"/>
      <c r="CW27" s="53"/>
      <c r="CX27" s="51" t="str">
        <f t="array" ref="CX27">XLOOKUP(CX30,'食譜'!$B:$B,'食譜'!$A:$A,"")</f>
        <v/>
      </c>
      <c r="CY27" s="52"/>
      <c r="CZ27" s="52"/>
      <c r="DA27" s="53"/>
      <c r="DB27" s="51" t="str">
        <f t="array" ref="DB27">XLOOKUP(DB30,'食譜'!$B:$B,'食譜'!$A:$A,"")</f>
        <v/>
      </c>
      <c r="DC27" s="52"/>
      <c r="DD27" s="52"/>
      <c r="DE27" s="53"/>
      <c r="DF27" s="51" t="str">
        <f t="array" ref="DF27">XLOOKUP(DF30,'食譜'!$B:$B,'食譜'!$A:$A,"")</f>
        <v/>
      </c>
      <c r="DG27" s="52"/>
      <c r="DH27" s="52"/>
      <c r="DI27" s="53"/>
      <c r="DJ27" s="51" t="str">
        <f t="array" ref="DJ27">XLOOKUP(DJ30,'食譜'!$B:$B,'食譜'!$A:$A,"")</f>
        <v/>
      </c>
      <c r="DK27" s="52"/>
      <c r="DL27" s="52"/>
      <c r="DM27" s="53"/>
      <c r="DN27" s="51" t="str">
        <f t="array" ref="DN27">XLOOKUP(DN30,'食譜'!$B:$B,'食譜'!$A:$A,"")</f>
        <v/>
      </c>
      <c r="DO27" s="52"/>
      <c r="DP27" s="52"/>
      <c r="DQ27" s="53"/>
      <c r="DR27" s="51" t="str">
        <f t="array" ref="DR27">XLOOKUP(DR30,'食譜'!$B:$B,'食譜'!$A:$A,"")</f>
        <v/>
      </c>
      <c r="DS27" s="52"/>
      <c r="DT27" s="52"/>
      <c r="DU27" s="53"/>
      <c r="DV27" s="51" t="str">
        <f t="array" ref="DV27">XLOOKUP(DV30,'食譜'!$B:$B,'食譜'!$A:$A,"")</f>
        <v/>
      </c>
      <c r="DW27" s="52"/>
      <c r="DX27" s="52"/>
      <c r="DY27" s="53"/>
      <c r="DZ27" s="51" t="str">
        <f t="array" ref="DZ27">XLOOKUP(DZ30,'食譜'!$B:$B,'食譜'!$A:$A,"")</f>
        <v/>
      </c>
      <c r="EA27" s="52"/>
      <c r="EB27" s="52"/>
      <c r="EC27" s="53"/>
      <c r="ED27" s="51" t="str">
        <f t="array" ref="ED27">XLOOKUP(ED30,'食譜'!$B:$B,'食譜'!$A:$A,"")</f>
        <v/>
      </c>
      <c r="EE27" s="52"/>
      <c r="EF27" s="52"/>
      <c r="EG27" s="53"/>
      <c r="EH27" s="51" t="str">
        <f t="array" ref="EH27">XLOOKUP(EH30,'食譜'!$B:$B,'食譜'!$A:$A,"")</f>
        <v/>
      </c>
      <c r="EI27" s="52"/>
      <c r="EJ27" s="52"/>
      <c r="EK27" s="53"/>
      <c r="EL27" s="1"/>
      <c r="EM27" s="19"/>
      <c r="EN27" s="20"/>
      <c r="EO27" s="21"/>
      <c r="EP27" s="20"/>
      <c r="EQ27" s="21"/>
      <c r="ER27" s="22"/>
      <c r="ES27" s="22"/>
      <c r="ET27" s="22"/>
      <c r="EU27" s="22"/>
      <c r="EV27" s="22"/>
      <c r="EW27" s="23"/>
      <c r="EX27" s="13"/>
    </row>
    <row r="28" ht="15.0" customHeight="1">
      <c r="A28" s="114"/>
      <c r="B28" s="114"/>
      <c r="C28" s="114"/>
      <c r="D28" s="114"/>
      <c r="E28" s="110">
        <f t="array" ref="E28">XLOOKUP(C27,'食譜'!$B:$B,'食譜'!$K:$K,"")</f>
        <v>14</v>
      </c>
      <c r="F28" s="110">
        <f t="array" ref="F28">XLOOKUP(C27,'食譜'!$B:$B,'食譜'!$M:$M,"")</f>
        <v>8</v>
      </c>
      <c r="G28" s="110">
        <f t="array" ref="G28">XLOOKUP(C27,'食譜'!$B:$B,'食譜'!$O:$O,"")</f>
        <v>8</v>
      </c>
      <c r="H28" s="110" t="str">
        <f t="array" ref="H28">XLOOKUP(C27,'食譜'!$B:$B,'食譜'!$Q:$Q,"")</f>
        <v/>
      </c>
      <c r="I28" s="114"/>
      <c r="J28" s="140"/>
      <c r="K28" s="9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4"/>
      <c r="AO28" s="15"/>
      <c r="AP28" s="14"/>
      <c r="AS28" s="15"/>
      <c r="AT28" s="14"/>
      <c r="AW28" s="15"/>
      <c r="AX28" s="14"/>
      <c r="BA28" s="15"/>
      <c r="BB28" s="14"/>
      <c r="BE28" s="15"/>
      <c r="BF28" s="14"/>
      <c r="BI28" s="15"/>
      <c r="BJ28" s="14"/>
      <c r="BM28" s="15"/>
      <c r="BN28" s="14"/>
      <c r="BQ28" s="15"/>
      <c r="BR28" s="14"/>
      <c r="BU28" s="15"/>
      <c r="BV28" s="14"/>
      <c r="BY28" s="15"/>
      <c r="BZ28" s="14"/>
      <c r="CC28" s="15"/>
      <c r="CD28" s="14"/>
      <c r="CG28" s="15"/>
      <c r="CH28" s="14"/>
      <c r="CK28" s="15"/>
      <c r="CL28" s="14"/>
      <c r="CO28" s="15"/>
      <c r="CP28" s="14"/>
      <c r="CS28" s="15"/>
      <c r="CT28" s="14"/>
      <c r="CW28" s="15"/>
      <c r="CX28" s="14"/>
      <c r="DA28" s="15"/>
      <c r="DB28" s="14"/>
      <c r="DE28" s="15"/>
      <c r="DF28" s="14"/>
      <c r="DI28" s="15"/>
      <c r="DJ28" s="14"/>
      <c r="DM28" s="15"/>
      <c r="DN28" s="14"/>
      <c r="DQ28" s="15"/>
      <c r="DR28" s="14"/>
      <c r="DU28" s="15"/>
      <c r="DV28" s="14"/>
      <c r="DY28" s="15"/>
      <c r="DZ28" s="14"/>
      <c r="EC28" s="15"/>
      <c r="ED28" s="14"/>
      <c r="EG28" s="15"/>
      <c r="EH28" s="14"/>
      <c r="EK28" s="15"/>
      <c r="EL28" s="1"/>
      <c r="EM28" s="7" t="str">
        <f t="array" ref="EM28">XLOOKUP(EQ28,'食材'!$B:$B,'食材'!$D:$D,"")</f>
        <v/>
      </c>
      <c r="EN28" s="8"/>
      <c r="EO28" s="9">
        <f t="array" ref="EO28">XLOOKUP(EQ28,'食材'!$B:$B,'食材'!$F:$F,"")</f>
        <v>151</v>
      </c>
      <c r="EP28" s="8"/>
      <c r="EQ28" s="10" t="s">
        <v>12</v>
      </c>
      <c r="ER28" s="11"/>
      <c r="ES28" s="11"/>
      <c r="ET28" s="11"/>
      <c r="EU28" s="11"/>
      <c r="EV28" s="11"/>
      <c r="EW28" s="12"/>
      <c r="EX28" s="13"/>
    </row>
    <row r="29" ht="15.0" customHeight="1">
      <c r="A29" s="106">
        <f t="array" ref="A29">XLOOKUP(C29,'食譜'!$B:$B,'食譜'!$F:$F,"")</f>
        <v>0.35</v>
      </c>
      <c r="B29" s="107" t="str">
        <f t="array" ref="B29">XLOOKUP(C29,'食譜'!$B:$B,'食譜'!$A:$A,"")</f>
        <v/>
      </c>
      <c r="C29" s="108" t="str">
        <f>IFERROR(__xludf.DUMMYFUNCTION("""COMPUTED_VALUE"""),"迷昏拳辣味咖哩")</f>
        <v>迷昏拳辣味咖哩</v>
      </c>
      <c r="D29" s="109">
        <f t="array" ref="D29">XLOOKUP(C29,'食譜'!$B:$B,'食譜'!$H:$H,"")</f>
        <v>5702</v>
      </c>
      <c r="E29" s="110" t="str">
        <f t="array" ref="E29">XLOOKUP(XLOOKUP(C29,'食譜'!$B:$B,'食譜'!$J:$J,""),'食材'!$B:$B,'食材'!$D:$D,"")</f>
        <v/>
      </c>
      <c r="F29" s="110" t="str">
        <f t="array" ref="F29">XLOOKUP(XLOOKUP(C29,'食譜'!$B:$B,'食譜'!$L:$L,""),'食材'!$B:$B,'食材'!$D:$D,"")</f>
        <v/>
      </c>
      <c r="G29" s="110" t="str">
        <f t="array" ref="G29">XLOOKUP(XLOOKUP(C29,'食譜'!$B:$B,'食譜'!$N:$N,""),'食材'!$B:$B,'食材'!$D:$D,"")</f>
        <v/>
      </c>
      <c r="H29" s="110" t="str">
        <f t="array" ref="H29">XLOOKUP(XLOOKUP(C29,'食譜'!$B:$B,'食譜'!$P:$P,""),'食材'!$B:$B,'食材'!$D:$D,"")</f>
        <v/>
      </c>
      <c r="I29" s="111">
        <f t="array" ref="I29">XLOOKUP(C29,'食譜'!$B:$B,'食譜'!$D:$D,"")</f>
        <v>33</v>
      </c>
      <c r="J29" s="140"/>
      <c r="K29" s="9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  <c r="AO29" s="15"/>
      <c r="AP29" s="45"/>
      <c r="AQ29" s="46"/>
      <c r="AR29" s="46"/>
      <c r="AS29" s="47"/>
      <c r="AT29" s="45"/>
      <c r="AU29" s="46"/>
      <c r="AV29" s="46"/>
      <c r="AW29" s="47"/>
      <c r="AX29" s="45"/>
      <c r="AY29" s="46"/>
      <c r="AZ29" s="46"/>
      <c r="BA29" s="47"/>
      <c r="BB29" s="45"/>
      <c r="BC29" s="46"/>
      <c r="BD29" s="46"/>
      <c r="BE29" s="47"/>
      <c r="BF29" s="45"/>
      <c r="BG29" s="46"/>
      <c r="BH29" s="46"/>
      <c r="BI29" s="47"/>
      <c r="BJ29" s="45"/>
      <c r="BK29" s="46"/>
      <c r="BL29" s="46"/>
      <c r="BM29" s="47"/>
      <c r="BN29" s="45"/>
      <c r="BO29" s="46"/>
      <c r="BP29" s="46"/>
      <c r="BQ29" s="47"/>
      <c r="BR29" s="45"/>
      <c r="BS29" s="46"/>
      <c r="BT29" s="46"/>
      <c r="BU29" s="47"/>
      <c r="BV29" s="45"/>
      <c r="BW29" s="46"/>
      <c r="BX29" s="46"/>
      <c r="BY29" s="47"/>
      <c r="BZ29" s="45"/>
      <c r="CA29" s="46"/>
      <c r="CB29" s="46"/>
      <c r="CC29" s="47"/>
      <c r="CD29" s="45"/>
      <c r="CE29" s="46"/>
      <c r="CF29" s="46"/>
      <c r="CG29" s="47"/>
      <c r="CH29" s="45"/>
      <c r="CI29" s="46"/>
      <c r="CJ29" s="46"/>
      <c r="CK29" s="47"/>
      <c r="CL29" s="45"/>
      <c r="CM29" s="46"/>
      <c r="CN29" s="46"/>
      <c r="CO29" s="47"/>
      <c r="CP29" s="45"/>
      <c r="CQ29" s="46"/>
      <c r="CR29" s="46"/>
      <c r="CS29" s="47"/>
      <c r="CT29" s="45"/>
      <c r="CU29" s="46"/>
      <c r="CV29" s="46"/>
      <c r="CW29" s="47"/>
      <c r="CX29" s="45"/>
      <c r="CY29" s="46"/>
      <c r="CZ29" s="46"/>
      <c r="DA29" s="47"/>
      <c r="DB29" s="45"/>
      <c r="DC29" s="46"/>
      <c r="DD29" s="46"/>
      <c r="DE29" s="47"/>
      <c r="DF29" s="45"/>
      <c r="DG29" s="46"/>
      <c r="DH29" s="46"/>
      <c r="DI29" s="47"/>
      <c r="DJ29" s="45"/>
      <c r="DK29" s="46"/>
      <c r="DL29" s="46"/>
      <c r="DM29" s="47"/>
      <c r="DN29" s="45"/>
      <c r="DO29" s="46"/>
      <c r="DP29" s="46"/>
      <c r="DQ29" s="47"/>
      <c r="DR29" s="45"/>
      <c r="DS29" s="46"/>
      <c r="DT29" s="46"/>
      <c r="DU29" s="47"/>
      <c r="DV29" s="45"/>
      <c r="DW29" s="46"/>
      <c r="DX29" s="46"/>
      <c r="DY29" s="47"/>
      <c r="DZ29" s="45"/>
      <c r="EA29" s="46"/>
      <c r="EB29" s="46"/>
      <c r="EC29" s="47"/>
      <c r="ED29" s="45"/>
      <c r="EE29" s="46"/>
      <c r="EF29" s="46"/>
      <c r="EG29" s="47"/>
      <c r="EH29" s="45"/>
      <c r="EI29" s="46"/>
      <c r="EJ29" s="46"/>
      <c r="EK29" s="47"/>
      <c r="EL29" s="1"/>
      <c r="EM29" s="19"/>
      <c r="EN29" s="20"/>
      <c r="EO29" s="21"/>
      <c r="EP29" s="20"/>
      <c r="EQ29" s="21"/>
      <c r="ER29" s="22"/>
      <c r="ES29" s="22"/>
      <c r="ET29" s="22"/>
      <c r="EU29" s="22"/>
      <c r="EV29" s="22"/>
      <c r="EW29" s="23"/>
      <c r="EX29" s="13"/>
    </row>
    <row r="30" ht="15.0" customHeight="1">
      <c r="A30" s="114"/>
      <c r="B30" s="114"/>
      <c r="C30" s="114"/>
      <c r="D30" s="114"/>
      <c r="E30" s="110">
        <f t="array" ref="E30">XLOOKUP(C29,'食譜'!$B:$B,'食譜'!$K:$K,"")</f>
        <v>11</v>
      </c>
      <c r="F30" s="110">
        <f t="array" ref="F30">XLOOKUP(C29,'食譜'!$B:$B,'食譜'!$M:$M,"")</f>
        <v>11</v>
      </c>
      <c r="G30" s="110">
        <f t="array" ref="G30">XLOOKUP(C29,'食譜'!$B:$B,'食譜'!$O:$O,"")</f>
        <v>11</v>
      </c>
      <c r="H30" s="110" t="str">
        <f t="array" ref="H30">XLOOKUP(C29,'食譜'!$B:$B,'食譜'!$Q:$Q,"")</f>
        <v/>
      </c>
      <c r="I30" s="114"/>
      <c r="J30" s="140"/>
      <c r="K30" s="9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4"/>
      <c r="AO30" s="15"/>
      <c r="AP30" s="54" t="str">
        <f>IFERROR(__xludf.DUMMYFUNCTION("SPLIT(TEXTJOIN("""",TRUE,TOCOL(FILTER('食譜'!$B:$B&amp;""----"", '食譜'!$E:$E=""沙拉"",'食譜'!$B:$B&lt;&gt;""拌拌沙拉"")),"""","""",""""),""-"",TRUE,FALSE)"),"#REF!")</f>
        <v>#REF!</v>
      </c>
      <c r="AQ30" s="52"/>
      <c r="AR30" s="52"/>
      <c r="AS30" s="53"/>
      <c r="AT30" s="54"/>
      <c r="AU30" s="52"/>
      <c r="AV30" s="52"/>
      <c r="AW30" s="53"/>
      <c r="AX30" s="54"/>
      <c r="AY30" s="52"/>
      <c r="AZ30" s="52"/>
      <c r="BA30" s="53"/>
      <c r="BB30" s="54"/>
      <c r="BC30" s="52"/>
      <c r="BD30" s="52"/>
      <c r="BE30" s="53"/>
      <c r="BF30" s="54"/>
      <c r="BG30" s="52"/>
      <c r="BH30" s="52"/>
      <c r="BI30" s="53"/>
      <c r="BJ30" s="54"/>
      <c r="BK30" s="52"/>
      <c r="BL30" s="52"/>
      <c r="BM30" s="53"/>
      <c r="BN30" s="54"/>
      <c r="BO30" s="52"/>
      <c r="BP30" s="52"/>
      <c r="BQ30" s="53"/>
      <c r="BR30" s="54"/>
      <c r="BS30" s="52"/>
      <c r="BT30" s="52"/>
      <c r="BU30" s="53"/>
      <c r="BV30" s="54"/>
      <c r="BW30" s="52"/>
      <c r="BX30" s="52"/>
      <c r="BY30" s="53"/>
      <c r="BZ30" s="54"/>
      <c r="CA30" s="52"/>
      <c r="CB30" s="52"/>
      <c r="CC30" s="53"/>
      <c r="CD30" s="54"/>
      <c r="CE30" s="52"/>
      <c r="CF30" s="52"/>
      <c r="CG30" s="53"/>
      <c r="CH30" s="55"/>
      <c r="CI30" s="52"/>
      <c r="CJ30" s="52"/>
      <c r="CK30" s="53"/>
      <c r="CL30" s="54"/>
      <c r="CM30" s="52"/>
      <c r="CN30" s="52"/>
      <c r="CO30" s="53"/>
      <c r="CP30" s="54"/>
      <c r="CQ30" s="52"/>
      <c r="CR30" s="52"/>
      <c r="CS30" s="53"/>
      <c r="CT30" s="54"/>
      <c r="CU30" s="52"/>
      <c r="CV30" s="52"/>
      <c r="CW30" s="53"/>
      <c r="CX30" s="54"/>
      <c r="CY30" s="52"/>
      <c r="CZ30" s="52"/>
      <c r="DA30" s="53"/>
      <c r="DB30" s="54"/>
      <c r="DC30" s="52"/>
      <c r="DD30" s="52"/>
      <c r="DE30" s="53"/>
      <c r="DF30" s="54"/>
      <c r="DG30" s="52"/>
      <c r="DH30" s="52"/>
      <c r="DI30" s="53"/>
      <c r="DJ30" s="54"/>
      <c r="DK30" s="52"/>
      <c r="DL30" s="52"/>
      <c r="DM30" s="53"/>
      <c r="DN30" s="54"/>
      <c r="DO30" s="52"/>
      <c r="DP30" s="52"/>
      <c r="DQ30" s="53"/>
      <c r="DR30" s="54"/>
      <c r="DS30" s="52"/>
      <c r="DT30" s="52"/>
      <c r="DU30" s="53"/>
      <c r="DV30" s="54"/>
      <c r="DW30" s="52"/>
      <c r="DX30" s="52"/>
      <c r="DY30" s="53"/>
      <c r="DZ30" s="54"/>
      <c r="EA30" s="52"/>
      <c r="EB30" s="52"/>
      <c r="EC30" s="53"/>
      <c r="ED30" s="54"/>
      <c r="EE30" s="52"/>
      <c r="EF30" s="52"/>
      <c r="EG30" s="53"/>
      <c r="EH30" s="54"/>
      <c r="EI30" s="52"/>
      <c r="EJ30" s="52"/>
      <c r="EK30" s="53"/>
      <c r="EL30" s="1"/>
      <c r="EM30" s="7" t="str">
        <f t="array" ref="EM30">XLOOKUP(EQ30,'食材'!$B:$B,'食材'!$D:$D,"")</f>
        <v/>
      </c>
      <c r="EN30" s="8"/>
      <c r="EO30" s="9">
        <f t="array" ref="EO30">XLOOKUP(EQ30,'食材'!$B:$B,'食材'!$F:$F,"")</f>
        <v>153</v>
      </c>
      <c r="EP30" s="8"/>
      <c r="EQ30" s="10" t="s">
        <v>13</v>
      </c>
      <c r="ER30" s="11"/>
      <c r="ES30" s="11"/>
      <c r="ET30" s="11"/>
      <c r="EU30" s="11"/>
      <c r="EV30" s="11"/>
      <c r="EW30" s="12"/>
      <c r="EX30" s="13"/>
    </row>
    <row r="31" ht="15.0" customHeight="1">
      <c r="A31" s="106">
        <f t="array" ref="A31">XLOOKUP(C31,'食譜'!$B:$B,'食譜'!$F:$F,"")</f>
        <v>0.25</v>
      </c>
      <c r="B31" s="107" t="str">
        <f t="array" ref="B31">XLOOKUP(C31,'食譜'!$B:$B,'食譜'!$A:$A,"")</f>
        <v/>
      </c>
      <c r="C31" s="108" t="str">
        <f>IFERROR(__xludf.DUMMYFUNCTION("""COMPUTED_VALUE"""),"辣味蔥勁十足咖哩")</f>
        <v>辣味蔥勁十足咖哩</v>
      </c>
      <c r="D31" s="109">
        <f t="array" ref="D31">XLOOKUP(C31,'食譜'!$B:$B,'食譜'!$H:$H,"")</f>
        <v>5900</v>
      </c>
      <c r="E31" s="110" t="str">
        <f t="array" ref="E31">XLOOKUP(XLOOKUP(C31,'食譜'!$B:$B,'食譜'!$J:$J,""),'食材'!$B:$B,'食材'!$D:$D,"")</f>
        <v/>
      </c>
      <c r="F31" s="110" t="str">
        <f t="array" ref="F31">XLOOKUP(XLOOKUP(C31,'食譜'!$B:$B,'食譜'!$L:$L,""),'食材'!$B:$B,'食材'!$D:$D,"")</f>
        <v/>
      </c>
      <c r="G31" s="110" t="str">
        <f t="array" ref="G31">XLOOKUP(XLOOKUP(C31,'食譜'!$B:$B,'食譜'!$N:$N,""),'食材'!$B:$B,'食材'!$D:$D,"")</f>
        <v/>
      </c>
      <c r="H31" s="110" t="str">
        <f t="array" ref="H31">XLOOKUP(XLOOKUP(C31,'食譜'!$B:$B,'食譜'!$P:$P,""),'食材'!$B:$B,'食材'!$D:$D,"")</f>
        <v/>
      </c>
      <c r="I31" s="111">
        <f t="array" ref="I31">XLOOKUP(C31,'食譜'!$B:$B,'食譜'!$D:$D,"")</f>
        <v>32</v>
      </c>
      <c r="J31" s="140"/>
      <c r="K31" s="9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4"/>
      <c r="AO31" s="15"/>
      <c r="AP31" s="45"/>
      <c r="AQ31" s="46"/>
      <c r="AR31" s="46"/>
      <c r="AS31" s="47"/>
      <c r="AT31" s="45"/>
      <c r="AU31" s="46"/>
      <c r="AV31" s="46"/>
      <c r="AW31" s="47"/>
      <c r="AX31" s="45"/>
      <c r="AY31" s="46"/>
      <c r="AZ31" s="46"/>
      <c r="BA31" s="47"/>
      <c r="BB31" s="45"/>
      <c r="BC31" s="46"/>
      <c r="BD31" s="46"/>
      <c r="BE31" s="47"/>
      <c r="BF31" s="45"/>
      <c r="BG31" s="46"/>
      <c r="BH31" s="46"/>
      <c r="BI31" s="47"/>
      <c r="BJ31" s="45"/>
      <c r="BK31" s="46"/>
      <c r="BL31" s="46"/>
      <c r="BM31" s="47"/>
      <c r="BN31" s="45"/>
      <c r="BO31" s="46"/>
      <c r="BP31" s="46"/>
      <c r="BQ31" s="47"/>
      <c r="BR31" s="45"/>
      <c r="BS31" s="46"/>
      <c r="BT31" s="46"/>
      <c r="BU31" s="47"/>
      <c r="BV31" s="45"/>
      <c r="BW31" s="46"/>
      <c r="BX31" s="46"/>
      <c r="BY31" s="47"/>
      <c r="BZ31" s="45"/>
      <c r="CA31" s="46"/>
      <c r="CB31" s="46"/>
      <c r="CC31" s="47"/>
      <c r="CD31" s="45"/>
      <c r="CE31" s="46"/>
      <c r="CF31" s="46"/>
      <c r="CG31" s="47"/>
      <c r="CH31" s="45"/>
      <c r="CI31" s="46"/>
      <c r="CJ31" s="46"/>
      <c r="CK31" s="47"/>
      <c r="CL31" s="45"/>
      <c r="CM31" s="46"/>
      <c r="CN31" s="46"/>
      <c r="CO31" s="47"/>
      <c r="CP31" s="45"/>
      <c r="CQ31" s="46"/>
      <c r="CR31" s="46"/>
      <c r="CS31" s="47"/>
      <c r="CT31" s="45"/>
      <c r="CU31" s="46"/>
      <c r="CV31" s="46"/>
      <c r="CW31" s="47"/>
      <c r="CX31" s="45"/>
      <c r="CY31" s="46"/>
      <c r="CZ31" s="46"/>
      <c r="DA31" s="47"/>
      <c r="DB31" s="45"/>
      <c r="DC31" s="46"/>
      <c r="DD31" s="46"/>
      <c r="DE31" s="47"/>
      <c r="DF31" s="45"/>
      <c r="DG31" s="46"/>
      <c r="DH31" s="46"/>
      <c r="DI31" s="47"/>
      <c r="DJ31" s="45"/>
      <c r="DK31" s="46"/>
      <c r="DL31" s="46"/>
      <c r="DM31" s="47"/>
      <c r="DN31" s="45"/>
      <c r="DO31" s="46"/>
      <c r="DP31" s="46"/>
      <c r="DQ31" s="47"/>
      <c r="DR31" s="45"/>
      <c r="DS31" s="46"/>
      <c r="DT31" s="46"/>
      <c r="DU31" s="47"/>
      <c r="DV31" s="45"/>
      <c r="DW31" s="46"/>
      <c r="DX31" s="46"/>
      <c r="DY31" s="47"/>
      <c r="DZ31" s="45"/>
      <c r="EA31" s="46"/>
      <c r="EB31" s="46"/>
      <c r="EC31" s="47"/>
      <c r="ED31" s="45"/>
      <c r="EE31" s="46"/>
      <c r="EF31" s="46"/>
      <c r="EG31" s="47"/>
      <c r="EH31" s="45"/>
      <c r="EI31" s="46"/>
      <c r="EJ31" s="46"/>
      <c r="EK31" s="47"/>
      <c r="EL31" s="1"/>
      <c r="EM31" s="19"/>
      <c r="EN31" s="20"/>
      <c r="EO31" s="21"/>
      <c r="EP31" s="20"/>
      <c r="EQ31" s="21"/>
      <c r="ER31" s="22"/>
      <c r="ES31" s="22"/>
      <c r="ET31" s="22"/>
      <c r="EU31" s="22"/>
      <c r="EV31" s="22"/>
      <c r="EW31" s="23"/>
      <c r="EX31" s="13"/>
    </row>
    <row r="32" ht="15.0" customHeight="1">
      <c r="A32" s="114"/>
      <c r="B32" s="114"/>
      <c r="C32" s="114"/>
      <c r="D32" s="114"/>
      <c r="E32" s="110">
        <f t="array" ref="E32">XLOOKUP(C31,'食譜'!$B:$B,'食譜'!$K:$K,"")</f>
        <v>14</v>
      </c>
      <c r="F32" s="110">
        <f t="array" ref="F32">XLOOKUP(C31,'食譜'!$B:$B,'食譜'!$M:$M,"")</f>
        <v>10</v>
      </c>
      <c r="G32" s="110">
        <f t="array" ref="G32">XLOOKUP(C31,'食譜'!$B:$B,'食譜'!$O:$O,"")</f>
        <v>8</v>
      </c>
      <c r="H32" s="110" t="str">
        <f t="array" ref="H32">XLOOKUP(C31,'食譜'!$B:$B,'食譜'!$Q:$Q,"")</f>
        <v/>
      </c>
      <c r="I32" s="114"/>
      <c r="J32" s="140"/>
      <c r="K32" s="9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4"/>
      <c r="AO32" s="15"/>
      <c r="AP32" s="56" t="str">
        <f t="array" ref="AP32">XLOOKUP(XLOOKUP(AP30,'食譜'!$B:$B,'食譜'!$J:$J,""),'食材'!$B:$B,'食材'!$D:$D,"")</f>
        <v>#REF!</v>
      </c>
      <c r="AQ32" s="57"/>
      <c r="AR32" s="58" t="str">
        <f t="array" ref="AR32">XLOOKUP(AP30,'食譜'!$B:$B,'食譜'!$K:$K,"")</f>
        <v>#REF!</v>
      </c>
      <c r="AS32" s="53"/>
      <c r="AT32" s="59" t="str">
        <f t="array" ref="AT32">XLOOKUP(XLOOKUP(AT30,'食譜'!$B:$B,'食譜'!$J:$J,""),'食材'!$B:$B,'食材'!$D:$D,"")</f>
        <v/>
      </c>
      <c r="AU32" s="57"/>
      <c r="AV32" s="58" t="str">
        <f t="array" ref="AV32">XLOOKUP(AT30,'食譜'!$B:$B,'食譜'!$K:$K,"")</f>
        <v/>
      </c>
      <c r="AW32" s="53"/>
      <c r="AX32" s="59" t="str">
        <f t="array" ref="AX32">XLOOKUP(XLOOKUP(AX30,'食譜'!$B:$B,'食譜'!$J:$J,""),'食材'!$B:$B,'食材'!$D:$D,"")</f>
        <v/>
      </c>
      <c r="AY32" s="57"/>
      <c r="AZ32" s="58" t="str">
        <f t="array" ref="AZ32">XLOOKUP(AX30,'食譜'!$B:$B,'食譜'!$K:$K,"")</f>
        <v/>
      </c>
      <c r="BA32" s="53"/>
      <c r="BB32" s="59" t="str">
        <f t="array" ref="BB32">XLOOKUP(XLOOKUP(BB30,'食譜'!$B:$B,'食譜'!$J:$J,""),'食材'!$B:$B,'食材'!$D:$D,"")</f>
        <v/>
      </c>
      <c r="BC32" s="57"/>
      <c r="BD32" s="58" t="str">
        <f t="array" ref="BD32">XLOOKUP(BB30,'食譜'!$B:$B,'食譜'!$K:$K,"")</f>
        <v/>
      </c>
      <c r="BE32" s="53"/>
      <c r="BF32" s="59" t="str">
        <f t="array" ref="BF32">XLOOKUP(XLOOKUP(BF30,'食譜'!$B:$B,'食譜'!$J:$J,""),'食材'!$B:$B,'食材'!$D:$D,"")</f>
        <v/>
      </c>
      <c r="BG32" s="57"/>
      <c r="BH32" s="58" t="str">
        <f t="array" ref="BH32">XLOOKUP(BF30,'食譜'!$B:$B,'食譜'!$K:$K,"")</f>
        <v/>
      </c>
      <c r="BI32" s="53"/>
      <c r="BJ32" s="59" t="str">
        <f t="array" ref="BJ32">XLOOKUP(XLOOKUP(BJ30,'食譜'!$B:$B,'食譜'!$J:$J,""),'食材'!$B:$B,'食材'!$D:$D,"")</f>
        <v/>
      </c>
      <c r="BK32" s="57"/>
      <c r="BL32" s="58" t="str">
        <f t="array" ref="BL32">XLOOKUP(BJ30,'食譜'!$B:$B,'食譜'!$K:$K,"")</f>
        <v/>
      </c>
      <c r="BM32" s="53"/>
      <c r="BN32" s="59" t="str">
        <f t="array" ref="BN32">XLOOKUP(XLOOKUP(BN30,'食譜'!$B:$B,'食譜'!$J:$J,""),'食材'!$B:$B,'食材'!$D:$D,"")</f>
        <v/>
      </c>
      <c r="BO32" s="57"/>
      <c r="BP32" s="58" t="str">
        <f t="array" ref="BP32">XLOOKUP(BN30,'食譜'!$B:$B,'食譜'!$K:$K,"")</f>
        <v/>
      </c>
      <c r="BQ32" s="53"/>
      <c r="BR32" s="59" t="str">
        <f t="array" ref="BR32">XLOOKUP(XLOOKUP(BR30,'食譜'!$B:$B,'食譜'!$J:$J,""),'食材'!$B:$B,'食材'!$D:$D,"")</f>
        <v/>
      </c>
      <c r="BS32" s="57"/>
      <c r="BT32" s="58" t="str">
        <f t="array" ref="BT32">XLOOKUP(BR30,'食譜'!$B:$B,'食譜'!$K:$K,"")</f>
        <v/>
      </c>
      <c r="BU32" s="53"/>
      <c r="BV32" s="59" t="str">
        <f t="array" ref="BV32">XLOOKUP(XLOOKUP(BV30,'食譜'!$B:$B,'食譜'!$J:$J,""),'食材'!$B:$B,'食材'!$D:$D,"")</f>
        <v/>
      </c>
      <c r="BW32" s="57"/>
      <c r="BX32" s="58" t="str">
        <f t="array" ref="BX32">XLOOKUP(BV30,'食譜'!$B:$B,'食譜'!$K:$K,"")</f>
        <v/>
      </c>
      <c r="BY32" s="53"/>
      <c r="BZ32" s="59" t="str">
        <f t="array" ref="BZ32">XLOOKUP(XLOOKUP(BZ30,'食譜'!$B:$B,'食譜'!$J:$J,""),'食材'!$B:$B,'食材'!$D:$D,"")</f>
        <v/>
      </c>
      <c r="CA32" s="57"/>
      <c r="CB32" s="58" t="str">
        <f t="array" ref="CB32">XLOOKUP(BZ30,'食譜'!$B:$B,'食譜'!$K:$K,"")</f>
        <v/>
      </c>
      <c r="CC32" s="53"/>
      <c r="CD32" s="59" t="str">
        <f t="array" ref="CD32">XLOOKUP(XLOOKUP(CD30,'食譜'!$B:$B,'食譜'!$J:$J,""),'食材'!$B:$B,'食材'!$D:$D,"")</f>
        <v/>
      </c>
      <c r="CE32" s="57"/>
      <c r="CF32" s="58" t="str">
        <f t="array" ref="CF32">XLOOKUP(CD30,'食譜'!$B:$B,'食譜'!$K:$K,"")</f>
        <v/>
      </c>
      <c r="CG32" s="53"/>
      <c r="CH32" s="59" t="str">
        <f t="array" ref="CH32">XLOOKUP(XLOOKUP(CH30,'食譜'!$B:$B,'食譜'!$J:$J,""),'食材'!$B:$B,'食材'!$D:$D,"")</f>
        <v/>
      </c>
      <c r="CI32" s="57"/>
      <c r="CJ32" s="58" t="str">
        <f t="array" ref="CJ32">XLOOKUP(CH30,'食譜'!$B:$B,'食譜'!$K:$K,"")</f>
        <v/>
      </c>
      <c r="CK32" s="53"/>
      <c r="CL32" s="59" t="str">
        <f t="array" ref="CL32">XLOOKUP(XLOOKUP(CL30,'食譜'!$B:$B,'食譜'!$J:$J,""),'食材'!$B:$B,'食材'!$D:$D,"")</f>
        <v/>
      </c>
      <c r="CM32" s="57"/>
      <c r="CN32" s="58" t="str">
        <f t="array" ref="CN32">XLOOKUP(CL30,'食譜'!$B:$B,'食譜'!$K:$K,"")</f>
        <v/>
      </c>
      <c r="CO32" s="53"/>
      <c r="CP32" s="59" t="str">
        <f t="array" ref="CP32">XLOOKUP(XLOOKUP(CP30,'食譜'!$B:$B,'食譜'!$J:$J,""),'食材'!$B:$B,'食材'!$D:$D,"")</f>
        <v/>
      </c>
      <c r="CQ32" s="57"/>
      <c r="CR32" s="58" t="str">
        <f t="array" ref="CR32">XLOOKUP(CP30,'食譜'!$B:$B,'食譜'!$K:$K,"")</f>
        <v/>
      </c>
      <c r="CS32" s="53"/>
      <c r="CT32" s="59" t="str">
        <f t="array" ref="CT32">XLOOKUP(XLOOKUP(CT30,'食譜'!$B:$B,'食譜'!$J:$J,""),'食材'!$B:$B,'食材'!$D:$D,"")</f>
        <v/>
      </c>
      <c r="CU32" s="57"/>
      <c r="CV32" s="58" t="str">
        <f t="array" ref="CV32">XLOOKUP(CT30,'食譜'!$B:$B,'食譜'!$K:$K,"")</f>
        <v/>
      </c>
      <c r="CW32" s="53"/>
      <c r="CX32" s="59" t="str">
        <f t="array" ref="CX32">XLOOKUP(XLOOKUP(CX30,'食譜'!$B:$B,'食譜'!$J:$J,""),'食材'!$B:$B,'食材'!$D:$D,"")</f>
        <v/>
      </c>
      <c r="CY32" s="57"/>
      <c r="CZ32" s="58" t="str">
        <f t="array" ref="CZ32">XLOOKUP(CX30,'食譜'!$B:$B,'食譜'!$K:$K,"")</f>
        <v/>
      </c>
      <c r="DA32" s="53"/>
      <c r="DB32" s="59" t="str">
        <f t="array" ref="DB32">XLOOKUP(XLOOKUP(DB30,'食譜'!$B:$B,'食譜'!$J:$J,""),'食材'!$B:$B,'食材'!$D:$D,"")</f>
        <v/>
      </c>
      <c r="DC32" s="57"/>
      <c r="DD32" s="58" t="str">
        <f t="array" ref="DD32">XLOOKUP(DB30,'食譜'!$B:$B,'食譜'!$K:$K,"")</f>
        <v/>
      </c>
      <c r="DE32" s="53"/>
      <c r="DF32" s="59" t="str">
        <f t="array" ref="DF32">XLOOKUP(XLOOKUP(DF30,'食譜'!$B:$B,'食譜'!$J:$J,""),'食材'!$B:$B,'食材'!$D:$D,"")</f>
        <v/>
      </c>
      <c r="DG32" s="57"/>
      <c r="DH32" s="58" t="str">
        <f t="array" ref="DH32">XLOOKUP(DF30,'食譜'!$B:$B,'食譜'!$K:$K,"")</f>
        <v/>
      </c>
      <c r="DI32" s="53"/>
      <c r="DJ32" s="59" t="str">
        <f t="array" ref="DJ32">XLOOKUP(XLOOKUP(DJ30,'食譜'!$B:$B,'食譜'!$J:$J,""),'食材'!$B:$B,'食材'!$D:$D,"")</f>
        <v/>
      </c>
      <c r="DK32" s="57"/>
      <c r="DL32" s="58" t="str">
        <f t="array" ref="DL32">XLOOKUP(DJ30,'食譜'!$B:$B,'食譜'!$K:$K,"")</f>
        <v/>
      </c>
      <c r="DM32" s="53"/>
      <c r="DN32" s="59" t="str">
        <f t="array" ref="DN32">XLOOKUP(XLOOKUP(DN30,'食譜'!$B:$B,'食譜'!$J:$J,""),'食材'!$B:$B,'食材'!$D:$D,"")</f>
        <v/>
      </c>
      <c r="DO32" s="57"/>
      <c r="DP32" s="58" t="str">
        <f t="array" ref="DP32">XLOOKUP(DN30,'食譜'!$B:$B,'食譜'!$K:$K,"")</f>
        <v/>
      </c>
      <c r="DQ32" s="53"/>
      <c r="DR32" s="59" t="str">
        <f t="array" ref="DR32">XLOOKUP(XLOOKUP(DR30,'食譜'!$B:$B,'食譜'!$J:$J,""),'食材'!$B:$B,'食材'!$D:$D,"")</f>
        <v/>
      </c>
      <c r="DS32" s="57"/>
      <c r="DT32" s="58" t="str">
        <f t="array" ref="DT32">XLOOKUP(DR30,'食譜'!$B:$B,'食譜'!$K:$K,"")</f>
        <v/>
      </c>
      <c r="DU32" s="53"/>
      <c r="DV32" s="59" t="str">
        <f t="array" ref="DV32">XLOOKUP(XLOOKUP(DV30,'食譜'!$B:$B,'食譜'!$J:$J,""),'食材'!$B:$B,'食材'!$D:$D,"")</f>
        <v/>
      </c>
      <c r="DW32" s="57"/>
      <c r="DX32" s="58" t="str">
        <f t="array" ref="DX32">XLOOKUP(DV30,'食譜'!$B:$B,'食譜'!$K:$K,"")</f>
        <v/>
      </c>
      <c r="DY32" s="53"/>
      <c r="DZ32" s="59" t="str">
        <f t="array" ref="DZ32">XLOOKUP(XLOOKUP(DZ30,'食譜'!$B:$B,'食譜'!$J:$J,""),'食材'!$B:$B,'食材'!$D:$D,"")</f>
        <v/>
      </c>
      <c r="EA32" s="57"/>
      <c r="EB32" s="58" t="str">
        <f t="array" ref="EB32">XLOOKUP(DZ30,'食譜'!$B:$B,'食譜'!$K:$K,"")</f>
        <v/>
      </c>
      <c r="EC32" s="53"/>
      <c r="ED32" s="59" t="str">
        <f t="array" ref="ED32">XLOOKUP(XLOOKUP(ED30,'食譜'!$B:$B,'食譜'!$J:$J,""),'食材'!$B:$B,'食材'!$D:$D,"")</f>
        <v/>
      </c>
      <c r="EE32" s="57"/>
      <c r="EF32" s="58" t="str">
        <f t="array" ref="EF32">XLOOKUP(ED30,'食譜'!$B:$B,'食譜'!$K:$K,"")</f>
        <v/>
      </c>
      <c r="EG32" s="53"/>
      <c r="EH32" s="59" t="str">
        <f t="array" ref="EH32">XLOOKUP(XLOOKUP(EH30,'食譜'!$B:$B,'食譜'!$J:$J,""),'食材'!$B:$B,'食材'!$D:$D,"")</f>
        <v/>
      </c>
      <c r="EI32" s="57"/>
      <c r="EJ32" s="58" t="str">
        <f t="array" ref="EJ32">XLOOKUP(EH30,'食譜'!$B:$B,'食譜'!$K:$K,"")</f>
        <v/>
      </c>
      <c r="EK32" s="53"/>
      <c r="EL32" s="1"/>
      <c r="EM32" s="7" t="str">
        <f t="array" ref="EM32">XLOOKUP(EQ32,'食材'!$B:$B,'食材'!$D:$D,"")</f>
        <v/>
      </c>
      <c r="EN32" s="8"/>
      <c r="EO32" s="9">
        <f t="array" ref="EO32">XLOOKUP(EQ32,'食材'!$B:$B,'食材'!$F:$F,"")</f>
        <v>162</v>
      </c>
      <c r="EP32" s="8"/>
      <c r="EQ32" s="10" t="s">
        <v>14</v>
      </c>
      <c r="ER32" s="11"/>
      <c r="ES32" s="11"/>
      <c r="ET32" s="11"/>
      <c r="EU32" s="11"/>
      <c r="EV32" s="11"/>
      <c r="EW32" s="12"/>
      <c r="EX32" s="13"/>
    </row>
    <row r="33" ht="15.0" customHeight="1">
      <c r="A33" s="106">
        <f t="array" ref="A33">XLOOKUP(C33,'食譜'!$B:$B,'食譜'!$F:$F,"")</f>
        <v>0.25</v>
      </c>
      <c r="B33" s="107" t="str">
        <f t="array" ref="B33">XLOOKUP(C33,'食譜'!$B:$B,'食譜'!$A:$A,"")</f>
        <v/>
      </c>
      <c r="C33" s="108" t="str">
        <f>IFERROR(__xludf.DUMMYFUNCTION("""COMPUTED_VALUE"""),"炙燒尾肉咖哩")</f>
        <v>炙燒尾肉咖哩</v>
      </c>
      <c r="D33" s="109">
        <f t="array" ref="D33">XLOOKUP(C33,'食譜'!$B:$B,'食譜'!$H:$H,"")</f>
        <v>7483</v>
      </c>
      <c r="E33" s="110" t="str">
        <f t="array" ref="E33">XLOOKUP(XLOOKUP(C33,'食譜'!$B:$B,'食譜'!$J:$J,""),'食材'!$B:$B,'食材'!$D:$D,"")</f>
        <v/>
      </c>
      <c r="F33" s="110" t="str">
        <f t="array" ref="F33">XLOOKUP(XLOOKUP(C33,'食譜'!$B:$B,'食譜'!$L:$L,""),'食材'!$B:$B,'食材'!$D:$D,"")</f>
        <v/>
      </c>
      <c r="G33" s="110" t="str">
        <f t="array" ref="G33">XLOOKUP(XLOOKUP(C33,'食譜'!$B:$B,'食譜'!$N:$N,""),'食材'!$B:$B,'食材'!$D:$D,"")</f>
        <v/>
      </c>
      <c r="H33" s="110" t="str">
        <f t="array" ref="H33">XLOOKUP(XLOOKUP(C33,'食譜'!$B:$B,'食譜'!$P:$P,""),'食材'!$B:$B,'食材'!$D:$D,"")</f>
        <v/>
      </c>
      <c r="I33" s="111">
        <f t="array" ref="I33">XLOOKUP(C33,'食譜'!$B:$B,'食譜'!$D:$D,"")</f>
        <v>33</v>
      </c>
      <c r="J33" s="140"/>
      <c r="K33" s="9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4"/>
      <c r="AO33" s="15"/>
      <c r="AP33" s="45"/>
      <c r="AQ33" s="60"/>
      <c r="AR33" s="61"/>
      <c r="AS33" s="47"/>
      <c r="AT33" s="45"/>
      <c r="AU33" s="60"/>
      <c r="AV33" s="61"/>
      <c r="AW33" s="47"/>
      <c r="AX33" s="45"/>
      <c r="AY33" s="60"/>
      <c r="AZ33" s="61"/>
      <c r="BA33" s="47"/>
      <c r="BB33" s="45"/>
      <c r="BC33" s="60"/>
      <c r="BD33" s="61"/>
      <c r="BE33" s="47"/>
      <c r="BF33" s="45"/>
      <c r="BG33" s="60"/>
      <c r="BH33" s="61"/>
      <c r="BI33" s="47"/>
      <c r="BJ33" s="45"/>
      <c r="BK33" s="60"/>
      <c r="BL33" s="61"/>
      <c r="BM33" s="47"/>
      <c r="BN33" s="45"/>
      <c r="BO33" s="60"/>
      <c r="BP33" s="61"/>
      <c r="BQ33" s="47"/>
      <c r="BR33" s="45"/>
      <c r="BS33" s="60"/>
      <c r="BT33" s="61"/>
      <c r="BU33" s="47"/>
      <c r="BV33" s="45"/>
      <c r="BW33" s="60"/>
      <c r="BX33" s="61"/>
      <c r="BY33" s="47"/>
      <c r="BZ33" s="45"/>
      <c r="CA33" s="60"/>
      <c r="CB33" s="61"/>
      <c r="CC33" s="47"/>
      <c r="CD33" s="45"/>
      <c r="CE33" s="60"/>
      <c r="CF33" s="61"/>
      <c r="CG33" s="47"/>
      <c r="CH33" s="45"/>
      <c r="CI33" s="60"/>
      <c r="CJ33" s="61"/>
      <c r="CK33" s="47"/>
      <c r="CL33" s="45"/>
      <c r="CM33" s="60"/>
      <c r="CN33" s="61"/>
      <c r="CO33" s="47"/>
      <c r="CP33" s="45"/>
      <c r="CQ33" s="60"/>
      <c r="CR33" s="61"/>
      <c r="CS33" s="47"/>
      <c r="CT33" s="45"/>
      <c r="CU33" s="60"/>
      <c r="CV33" s="61"/>
      <c r="CW33" s="47"/>
      <c r="CX33" s="45"/>
      <c r="CY33" s="60"/>
      <c r="CZ33" s="61"/>
      <c r="DA33" s="47"/>
      <c r="DB33" s="45"/>
      <c r="DC33" s="60"/>
      <c r="DD33" s="61"/>
      <c r="DE33" s="47"/>
      <c r="DF33" s="45"/>
      <c r="DG33" s="60"/>
      <c r="DH33" s="61"/>
      <c r="DI33" s="47"/>
      <c r="DJ33" s="45"/>
      <c r="DK33" s="60"/>
      <c r="DL33" s="61"/>
      <c r="DM33" s="47"/>
      <c r="DN33" s="45"/>
      <c r="DO33" s="60"/>
      <c r="DP33" s="61"/>
      <c r="DQ33" s="47"/>
      <c r="DR33" s="45"/>
      <c r="DS33" s="60"/>
      <c r="DT33" s="61"/>
      <c r="DU33" s="47"/>
      <c r="DV33" s="45"/>
      <c r="DW33" s="60"/>
      <c r="DX33" s="61"/>
      <c r="DY33" s="47"/>
      <c r="DZ33" s="45"/>
      <c r="EA33" s="60"/>
      <c r="EB33" s="61"/>
      <c r="EC33" s="47"/>
      <c r="ED33" s="45"/>
      <c r="EE33" s="60"/>
      <c r="EF33" s="61"/>
      <c r="EG33" s="47"/>
      <c r="EH33" s="45"/>
      <c r="EI33" s="60"/>
      <c r="EJ33" s="61"/>
      <c r="EK33" s="47"/>
      <c r="EL33" s="1"/>
      <c r="EM33" s="19"/>
      <c r="EN33" s="20"/>
      <c r="EO33" s="21"/>
      <c r="EP33" s="20"/>
      <c r="EQ33" s="21"/>
      <c r="ER33" s="22"/>
      <c r="ES33" s="22"/>
      <c r="ET33" s="22"/>
      <c r="EU33" s="22"/>
      <c r="EV33" s="22"/>
      <c r="EW33" s="23"/>
      <c r="EX33" s="13"/>
    </row>
    <row r="34" ht="15.0" customHeight="1">
      <c r="A34" s="114"/>
      <c r="B34" s="114"/>
      <c r="C34" s="114"/>
      <c r="D34" s="114"/>
      <c r="E34" s="110">
        <f t="array" ref="E34">XLOOKUP(C33,'食譜'!$B:$B,'食譜'!$K:$K,"")</f>
        <v>25</v>
      </c>
      <c r="F34" s="110">
        <f t="array" ref="F34">XLOOKUP(C33,'食譜'!$B:$B,'食譜'!$M:$M,"")</f>
        <v>8</v>
      </c>
      <c r="G34" s="110" t="str">
        <f t="array" ref="G34">XLOOKUP(C33,'食譜'!$B:$B,'食譜'!$O:$O,"")</f>
        <v/>
      </c>
      <c r="H34" s="110" t="str">
        <f t="array" ref="H34">XLOOKUP(C33,'食譜'!$B:$B,'食譜'!$Q:$Q,"")</f>
        <v/>
      </c>
      <c r="I34" s="114"/>
      <c r="J34" s="140"/>
      <c r="K34" s="9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4"/>
      <c r="AO34" s="15"/>
      <c r="AP34" s="56" t="str">
        <f t="array" ref="AP34">XLOOKUP(XLOOKUP(AP30,'食譜'!$B:$B,'食譜'!$L:$L,""),'食材'!$B:$B,'食材'!$D:$D,"")</f>
        <v>#REF!</v>
      </c>
      <c r="AQ34" s="57"/>
      <c r="AR34" s="58" t="str">
        <f t="array" ref="AR34">XLOOKUP(AP30,'食譜'!$B:$B,'食譜'!$M:$M,"")</f>
        <v>#REF!</v>
      </c>
      <c r="AS34" s="53"/>
      <c r="AT34" s="59" t="str">
        <f t="array" ref="AT34">XLOOKUP(XLOOKUP(AT30,'食譜'!$B:$B,'食譜'!$L:$L,""),'食材'!$B:$B,'食材'!$D:$D,"")</f>
        <v/>
      </c>
      <c r="AU34" s="57"/>
      <c r="AV34" s="58" t="str">
        <f t="array" ref="AV34">XLOOKUP(AT30,'食譜'!$B:$B,'食譜'!$M:$M,"")</f>
        <v/>
      </c>
      <c r="AW34" s="53"/>
      <c r="AX34" s="59" t="str">
        <f t="array" ref="AX34">XLOOKUP(XLOOKUP(AX30,'食譜'!$B:$B,'食譜'!$L:$L,""),'食材'!$B:$B,'食材'!$D:$D,"")</f>
        <v/>
      </c>
      <c r="AY34" s="57"/>
      <c r="AZ34" s="58" t="str">
        <f t="array" ref="AZ34">XLOOKUP(AX30,'食譜'!$B:$B,'食譜'!$M:$M,"")</f>
        <v/>
      </c>
      <c r="BA34" s="53"/>
      <c r="BB34" s="59" t="str">
        <f t="array" ref="BB34">XLOOKUP(XLOOKUP(BB30,'食譜'!$B:$B,'食譜'!$L:$L,""),'食材'!$B:$B,'食材'!$D:$D,"")</f>
        <v/>
      </c>
      <c r="BC34" s="57"/>
      <c r="BD34" s="58" t="str">
        <f t="array" ref="BD34">XLOOKUP(BB30,'食譜'!$B:$B,'食譜'!$M:$M,"")</f>
        <v/>
      </c>
      <c r="BE34" s="53"/>
      <c r="BF34" s="59" t="str">
        <f t="array" ref="BF34">XLOOKUP(XLOOKUP(BF30,'食譜'!$B:$B,'食譜'!$L:$L,""),'食材'!$B:$B,'食材'!$D:$D,"")</f>
        <v/>
      </c>
      <c r="BG34" s="57"/>
      <c r="BH34" s="58" t="str">
        <f t="array" ref="BH34">XLOOKUP(BF30,'食譜'!$B:$B,'食譜'!$M:$M,"")</f>
        <v/>
      </c>
      <c r="BI34" s="53"/>
      <c r="BJ34" s="59" t="str">
        <f t="array" ref="BJ34">XLOOKUP(XLOOKUP(BJ30,'食譜'!$B:$B,'食譜'!$L:$L,""),'食材'!$B:$B,'食材'!$D:$D,"")</f>
        <v/>
      </c>
      <c r="BK34" s="57"/>
      <c r="BL34" s="58" t="str">
        <f t="array" ref="BL34">XLOOKUP(BJ30,'食譜'!$B:$B,'食譜'!$M:$M,"")</f>
        <v/>
      </c>
      <c r="BM34" s="53"/>
      <c r="BN34" s="59" t="str">
        <f t="array" ref="BN34">XLOOKUP(XLOOKUP(BN30,'食譜'!$B:$B,'食譜'!$L:$L,""),'食材'!$B:$B,'食材'!$D:$D,"")</f>
        <v/>
      </c>
      <c r="BO34" s="57"/>
      <c r="BP34" s="58" t="str">
        <f t="array" ref="BP34">XLOOKUP(BN30,'食譜'!$B:$B,'食譜'!$M:$M,"")</f>
        <v/>
      </c>
      <c r="BQ34" s="53"/>
      <c r="BR34" s="59" t="str">
        <f t="array" ref="BR34">XLOOKUP(XLOOKUP(BR30,'食譜'!$B:$B,'食譜'!$L:$L,""),'食材'!$B:$B,'食材'!$D:$D,"")</f>
        <v/>
      </c>
      <c r="BS34" s="57"/>
      <c r="BT34" s="58" t="str">
        <f t="array" ref="BT34">XLOOKUP(BR30,'食譜'!$B:$B,'食譜'!$M:$M,"")</f>
        <v/>
      </c>
      <c r="BU34" s="53"/>
      <c r="BV34" s="59" t="str">
        <f t="array" ref="BV34">XLOOKUP(XLOOKUP(BV30,'食譜'!$B:$B,'食譜'!$L:$L,""),'食材'!$B:$B,'食材'!$D:$D,"")</f>
        <v/>
      </c>
      <c r="BW34" s="57"/>
      <c r="BX34" s="58" t="str">
        <f t="array" ref="BX34">XLOOKUP(BV30,'食譜'!$B:$B,'食譜'!$M:$M,"")</f>
        <v/>
      </c>
      <c r="BY34" s="53"/>
      <c r="BZ34" s="59" t="str">
        <f t="array" ref="BZ34">XLOOKUP(XLOOKUP(BZ30,'食譜'!$B:$B,'食譜'!$L:$L,""),'食材'!$B:$B,'食材'!$D:$D,"")</f>
        <v/>
      </c>
      <c r="CA34" s="57"/>
      <c r="CB34" s="58" t="str">
        <f t="array" ref="CB34">XLOOKUP(BZ30,'食譜'!$B:$B,'食譜'!$M:$M,"")</f>
        <v/>
      </c>
      <c r="CC34" s="53"/>
      <c r="CD34" s="59" t="str">
        <f t="array" ref="CD34">XLOOKUP(XLOOKUP(CD30,'食譜'!$B:$B,'食譜'!$L:$L,""),'食材'!$B:$B,'食材'!$D:$D,"")</f>
        <v/>
      </c>
      <c r="CE34" s="57"/>
      <c r="CF34" s="58" t="str">
        <f t="array" ref="CF34">XLOOKUP(CD30,'食譜'!$B:$B,'食譜'!$M:$M,"")</f>
        <v/>
      </c>
      <c r="CG34" s="53"/>
      <c r="CH34" s="59" t="str">
        <f t="array" ref="CH34">XLOOKUP(XLOOKUP(CH30,'食譜'!$B:$B,'食譜'!$L:$L,""),'食材'!$B:$B,'食材'!$D:$D,"")</f>
        <v/>
      </c>
      <c r="CI34" s="57"/>
      <c r="CJ34" s="58" t="str">
        <f t="array" ref="CJ34">XLOOKUP(CH30,'食譜'!$B:$B,'食譜'!$M:$M,"")</f>
        <v/>
      </c>
      <c r="CK34" s="53"/>
      <c r="CL34" s="59" t="str">
        <f t="array" ref="CL34">XLOOKUP(XLOOKUP(CL30,'食譜'!$B:$B,'食譜'!$L:$L,""),'食材'!$B:$B,'食材'!$D:$D,"")</f>
        <v/>
      </c>
      <c r="CM34" s="57"/>
      <c r="CN34" s="58" t="str">
        <f t="array" ref="CN34">XLOOKUP(CL30,'食譜'!$B:$B,'食譜'!$M:$M,"")</f>
        <v/>
      </c>
      <c r="CO34" s="53"/>
      <c r="CP34" s="59" t="str">
        <f t="array" ref="CP34">XLOOKUP(XLOOKUP(CP30,'食譜'!$B:$B,'食譜'!$L:$L,""),'食材'!$B:$B,'食材'!$D:$D,"")</f>
        <v/>
      </c>
      <c r="CQ34" s="57"/>
      <c r="CR34" s="58" t="str">
        <f t="array" ref="CR34">XLOOKUP(CP30,'食譜'!$B:$B,'食譜'!$M:$M,"")</f>
        <v/>
      </c>
      <c r="CS34" s="53"/>
      <c r="CT34" s="59" t="str">
        <f t="array" ref="CT34">XLOOKUP(XLOOKUP(CT30,'食譜'!$B:$B,'食譜'!$L:$L,""),'食材'!$B:$B,'食材'!$D:$D,"")</f>
        <v/>
      </c>
      <c r="CU34" s="57"/>
      <c r="CV34" s="58" t="str">
        <f t="array" ref="CV34">XLOOKUP(CT30,'食譜'!$B:$B,'食譜'!$M:$M,"")</f>
        <v/>
      </c>
      <c r="CW34" s="53"/>
      <c r="CX34" s="59" t="str">
        <f t="array" ref="CX34">XLOOKUP(XLOOKUP(CX30,'食譜'!$B:$B,'食譜'!$L:$L,""),'食材'!$B:$B,'食材'!$D:$D,"")</f>
        <v/>
      </c>
      <c r="CY34" s="57"/>
      <c r="CZ34" s="58" t="str">
        <f t="array" ref="CZ34">XLOOKUP(CX30,'食譜'!$B:$B,'食譜'!$M:$M,"")</f>
        <v/>
      </c>
      <c r="DA34" s="53"/>
      <c r="DB34" s="59" t="str">
        <f t="array" ref="DB34">XLOOKUP(XLOOKUP(DB30,'食譜'!$B:$B,'食譜'!$L:$L,""),'食材'!$B:$B,'食材'!$D:$D,"")</f>
        <v/>
      </c>
      <c r="DC34" s="57"/>
      <c r="DD34" s="58" t="str">
        <f t="array" ref="DD34">XLOOKUP(DB30,'食譜'!$B:$B,'食譜'!$M:$M,"")</f>
        <v/>
      </c>
      <c r="DE34" s="53"/>
      <c r="DF34" s="59" t="str">
        <f t="array" ref="DF34">XLOOKUP(XLOOKUP(DF30,'食譜'!$B:$B,'食譜'!$L:$L,""),'食材'!$B:$B,'食材'!$D:$D,"")</f>
        <v/>
      </c>
      <c r="DG34" s="57"/>
      <c r="DH34" s="58" t="str">
        <f t="array" ref="DH34">XLOOKUP(DF30,'食譜'!$B:$B,'食譜'!$M:$M,"")</f>
        <v/>
      </c>
      <c r="DI34" s="53"/>
      <c r="DJ34" s="59" t="str">
        <f t="array" ref="DJ34">XLOOKUP(XLOOKUP(DJ30,'食譜'!$B:$B,'食譜'!$L:$L,""),'食材'!$B:$B,'食材'!$D:$D,"")</f>
        <v/>
      </c>
      <c r="DK34" s="57"/>
      <c r="DL34" s="58" t="str">
        <f t="array" ref="DL34">XLOOKUP(DJ30,'食譜'!$B:$B,'食譜'!$M:$M,"")</f>
        <v/>
      </c>
      <c r="DM34" s="53"/>
      <c r="DN34" s="59" t="str">
        <f t="array" ref="DN34">XLOOKUP(XLOOKUP(DN30,'食譜'!$B:$B,'食譜'!$L:$L,""),'食材'!$B:$B,'食材'!$D:$D,"")</f>
        <v/>
      </c>
      <c r="DO34" s="57"/>
      <c r="DP34" s="58" t="str">
        <f t="array" ref="DP34">XLOOKUP(DN30,'食譜'!$B:$B,'食譜'!$M:$M,"")</f>
        <v/>
      </c>
      <c r="DQ34" s="53"/>
      <c r="DR34" s="59" t="str">
        <f t="array" ref="DR34">XLOOKUP(XLOOKUP(DR30,'食譜'!$B:$B,'食譜'!$L:$L,""),'食材'!$B:$B,'食材'!$D:$D,"")</f>
        <v/>
      </c>
      <c r="DS34" s="57"/>
      <c r="DT34" s="58" t="str">
        <f t="array" ref="DT34">XLOOKUP(DR30,'食譜'!$B:$B,'食譜'!$M:$M,"")</f>
        <v/>
      </c>
      <c r="DU34" s="53"/>
      <c r="DV34" s="59" t="str">
        <f t="array" ref="DV34">XLOOKUP(XLOOKUP(DV30,'食譜'!$B:$B,'食譜'!$L:$L,""),'食材'!$B:$B,'食材'!$D:$D,"")</f>
        <v/>
      </c>
      <c r="DW34" s="57"/>
      <c r="DX34" s="58" t="str">
        <f t="array" ref="DX34">XLOOKUP(DV30,'食譜'!$B:$B,'食譜'!$M:$M,"")</f>
        <v/>
      </c>
      <c r="DY34" s="53"/>
      <c r="DZ34" s="59" t="str">
        <f t="array" ref="DZ34">XLOOKUP(XLOOKUP(DZ30,'食譜'!$B:$B,'食譜'!$L:$L,""),'食材'!$B:$B,'食材'!$D:$D,"")</f>
        <v/>
      </c>
      <c r="EA34" s="57"/>
      <c r="EB34" s="58" t="str">
        <f t="array" ref="EB34">XLOOKUP(DZ30,'食譜'!$B:$B,'食譜'!$M:$M,"")</f>
        <v/>
      </c>
      <c r="EC34" s="53"/>
      <c r="ED34" s="59" t="str">
        <f t="array" ref="ED34">XLOOKUP(XLOOKUP(ED30,'食譜'!$B:$B,'食譜'!$L:$L,""),'食材'!$B:$B,'食材'!$D:$D,"")</f>
        <v/>
      </c>
      <c r="EE34" s="57"/>
      <c r="EF34" s="58" t="str">
        <f t="array" ref="EF34">XLOOKUP(ED30,'食譜'!$B:$B,'食譜'!$M:$M,"")</f>
        <v/>
      </c>
      <c r="EG34" s="53"/>
      <c r="EH34" s="59" t="str">
        <f t="array" ref="EH34">XLOOKUP(XLOOKUP(EH30,'食譜'!$B:$B,'食譜'!$L:$L,""),'食材'!$B:$B,'食材'!$D:$D,"")</f>
        <v/>
      </c>
      <c r="EI34" s="57"/>
      <c r="EJ34" s="58" t="str">
        <f t="array" ref="EJ34">XLOOKUP(EH30,'食譜'!$B:$B,'食譜'!$M:$M,"")</f>
        <v/>
      </c>
      <c r="EK34" s="53"/>
      <c r="EL34" s="1"/>
      <c r="EM34" s="7" t="str">
        <f t="array" ref="EM34">XLOOKUP(EQ34,'食材'!$B:$B,'食材'!$D:$D,"")</f>
        <v/>
      </c>
      <c r="EN34" s="8"/>
      <c r="EO34" s="9">
        <f t="array" ref="EO34">XLOOKUP(EQ34,'食材'!$B:$B,'食材'!$F:$F,"")</f>
        <v>167</v>
      </c>
      <c r="EP34" s="8"/>
      <c r="EQ34" s="10" t="s">
        <v>15</v>
      </c>
      <c r="ER34" s="11"/>
      <c r="ES34" s="11"/>
      <c r="ET34" s="11"/>
      <c r="EU34" s="11"/>
      <c r="EV34" s="11"/>
      <c r="EW34" s="12"/>
      <c r="EX34" s="13"/>
    </row>
    <row r="35" ht="15.0" customHeight="1">
      <c r="A35" s="106">
        <f t="array" ref="A35">XLOOKUP(C35,'食譜'!$B:$B,'食譜'!$F:$F,"")</f>
        <v>0.35</v>
      </c>
      <c r="B35" s="107" t="str">
        <f t="array" ref="B35">XLOOKUP(C35,'食譜'!$B:$B,'食譜'!$A:$A,"")</f>
        <v/>
      </c>
      <c r="C35" s="108" t="str">
        <f>IFERROR(__xludf.DUMMYFUNCTION("""COMPUTED_VALUE"""),"絕對睡眠奶油咖哩")</f>
        <v>絕對睡眠奶油咖哩</v>
      </c>
      <c r="D35" s="109">
        <f t="array" ref="D35">XLOOKUP(C35,'食譜'!$B:$B,'食譜'!$H:$H,"")</f>
        <v>9010</v>
      </c>
      <c r="E35" s="110" t="str">
        <f t="array" ref="E35">XLOOKUP(XLOOKUP(C35,'食譜'!$B:$B,'食譜'!$J:$J,""),'食材'!$B:$B,'食材'!$D:$D,"")</f>
        <v/>
      </c>
      <c r="F35" s="110" t="str">
        <f t="array" ref="F35">XLOOKUP(XLOOKUP(C35,'食譜'!$B:$B,'食譜'!$L:$L,""),'食材'!$B:$B,'食材'!$D:$D,"")</f>
        <v/>
      </c>
      <c r="G35" s="110" t="str">
        <f t="array" ref="G35">XLOOKUP(XLOOKUP(C35,'食譜'!$B:$B,'食譜'!$N:$N,""),'食材'!$B:$B,'食材'!$D:$D,"")</f>
        <v/>
      </c>
      <c r="H35" s="110" t="str">
        <f t="array" ref="H35">XLOOKUP(XLOOKUP(C35,'食譜'!$B:$B,'食譜'!$P:$P,""),'食材'!$B:$B,'食材'!$D:$D,"")</f>
        <v/>
      </c>
      <c r="I35" s="111">
        <f t="array" ref="I35">XLOOKUP(C35,'食譜'!$B:$B,'食譜'!$D:$D,"")</f>
        <v>55</v>
      </c>
      <c r="J35" s="140"/>
      <c r="K35" s="9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4"/>
      <c r="AO35" s="15"/>
      <c r="AP35" s="45"/>
      <c r="AQ35" s="60"/>
      <c r="AR35" s="61"/>
      <c r="AS35" s="47"/>
      <c r="AT35" s="45"/>
      <c r="AU35" s="60"/>
      <c r="AV35" s="61"/>
      <c r="AW35" s="47"/>
      <c r="AX35" s="45"/>
      <c r="AY35" s="60"/>
      <c r="AZ35" s="61"/>
      <c r="BA35" s="47"/>
      <c r="BB35" s="45"/>
      <c r="BC35" s="60"/>
      <c r="BD35" s="61"/>
      <c r="BE35" s="47"/>
      <c r="BF35" s="45"/>
      <c r="BG35" s="60"/>
      <c r="BH35" s="61"/>
      <c r="BI35" s="47"/>
      <c r="BJ35" s="45"/>
      <c r="BK35" s="60"/>
      <c r="BL35" s="61"/>
      <c r="BM35" s="47"/>
      <c r="BN35" s="45"/>
      <c r="BO35" s="60"/>
      <c r="BP35" s="61"/>
      <c r="BQ35" s="47"/>
      <c r="BR35" s="45"/>
      <c r="BS35" s="60"/>
      <c r="BT35" s="61"/>
      <c r="BU35" s="47"/>
      <c r="BV35" s="45"/>
      <c r="BW35" s="60"/>
      <c r="BX35" s="61"/>
      <c r="BY35" s="47"/>
      <c r="BZ35" s="45"/>
      <c r="CA35" s="60"/>
      <c r="CB35" s="61"/>
      <c r="CC35" s="47"/>
      <c r="CD35" s="45"/>
      <c r="CE35" s="60"/>
      <c r="CF35" s="61"/>
      <c r="CG35" s="47"/>
      <c r="CH35" s="45"/>
      <c r="CI35" s="60"/>
      <c r="CJ35" s="61"/>
      <c r="CK35" s="47"/>
      <c r="CL35" s="45"/>
      <c r="CM35" s="60"/>
      <c r="CN35" s="61"/>
      <c r="CO35" s="47"/>
      <c r="CP35" s="45"/>
      <c r="CQ35" s="60"/>
      <c r="CR35" s="61"/>
      <c r="CS35" s="47"/>
      <c r="CT35" s="45"/>
      <c r="CU35" s="60"/>
      <c r="CV35" s="61"/>
      <c r="CW35" s="47"/>
      <c r="CX35" s="45"/>
      <c r="CY35" s="60"/>
      <c r="CZ35" s="61"/>
      <c r="DA35" s="47"/>
      <c r="DB35" s="45"/>
      <c r="DC35" s="60"/>
      <c r="DD35" s="61"/>
      <c r="DE35" s="47"/>
      <c r="DF35" s="45"/>
      <c r="DG35" s="60"/>
      <c r="DH35" s="61"/>
      <c r="DI35" s="47"/>
      <c r="DJ35" s="45"/>
      <c r="DK35" s="60"/>
      <c r="DL35" s="61"/>
      <c r="DM35" s="47"/>
      <c r="DN35" s="45"/>
      <c r="DO35" s="60"/>
      <c r="DP35" s="61"/>
      <c r="DQ35" s="47"/>
      <c r="DR35" s="45"/>
      <c r="DS35" s="60"/>
      <c r="DT35" s="61"/>
      <c r="DU35" s="47"/>
      <c r="DV35" s="45"/>
      <c r="DW35" s="60"/>
      <c r="DX35" s="61"/>
      <c r="DY35" s="47"/>
      <c r="DZ35" s="45"/>
      <c r="EA35" s="60"/>
      <c r="EB35" s="61"/>
      <c r="EC35" s="47"/>
      <c r="ED35" s="45"/>
      <c r="EE35" s="60"/>
      <c r="EF35" s="61"/>
      <c r="EG35" s="47"/>
      <c r="EH35" s="45"/>
      <c r="EI35" s="60"/>
      <c r="EJ35" s="61"/>
      <c r="EK35" s="47"/>
      <c r="EL35" s="1"/>
      <c r="EM35" s="19"/>
      <c r="EN35" s="20"/>
      <c r="EO35" s="21"/>
      <c r="EP35" s="20"/>
      <c r="EQ35" s="21"/>
      <c r="ER35" s="22"/>
      <c r="ES35" s="22"/>
      <c r="ET35" s="22"/>
      <c r="EU35" s="22"/>
      <c r="EV35" s="22"/>
      <c r="EW35" s="23"/>
      <c r="EX35" s="13"/>
    </row>
    <row r="36" ht="15.0" customHeight="1">
      <c r="A36" s="114"/>
      <c r="B36" s="114"/>
      <c r="C36" s="114"/>
      <c r="D36" s="114"/>
      <c r="E36" s="110">
        <f t="array" ref="E36">XLOOKUP(C35,'食譜'!$B:$B,'食譜'!$K:$K,"")</f>
        <v>18</v>
      </c>
      <c r="F36" s="110">
        <f t="array" ref="F36">XLOOKUP(C35,'食譜'!$B:$B,'食譜'!$M:$M,"")</f>
        <v>15</v>
      </c>
      <c r="G36" s="110">
        <f t="array" ref="G36">XLOOKUP(C35,'食譜'!$B:$B,'食譜'!$O:$O,"")</f>
        <v>12</v>
      </c>
      <c r="H36" s="110">
        <f t="array" ref="H36">XLOOKUP(C35,'食譜'!$B:$B,'食譜'!$Q:$Q,"")</f>
        <v>10</v>
      </c>
      <c r="I36" s="114"/>
      <c r="J36" s="140"/>
      <c r="K36" s="9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4"/>
      <c r="AO36" s="15"/>
      <c r="AP36" s="56" t="str">
        <f t="array" ref="AP36">XLOOKUP(XLOOKUP(AP30,'食譜'!$B:$B,'食譜'!$N:$N,""),'食材'!$B:$B,'食材'!$D:$D,"")</f>
        <v>#REF!</v>
      </c>
      <c r="AQ36" s="57"/>
      <c r="AR36" s="58" t="str">
        <f t="array" ref="AR36">XLOOKUP(AP30,'食譜'!$B:$B,'食譜'!$O:$O,"")</f>
        <v>#REF!</v>
      </c>
      <c r="AS36" s="53"/>
      <c r="AT36" s="59" t="str">
        <f t="array" ref="AT36">XLOOKUP(XLOOKUP(AT30,'食譜'!$B:$B,'食譜'!$N:$N,""),'食材'!$B:$B,'食材'!$D:$D,"")</f>
        <v/>
      </c>
      <c r="AU36" s="57"/>
      <c r="AV36" s="58" t="str">
        <f t="array" ref="AV36">XLOOKUP(AT30,'食譜'!$B:$B,'食譜'!$O:$O,"")</f>
        <v/>
      </c>
      <c r="AW36" s="53"/>
      <c r="AX36" s="59" t="str">
        <f t="array" ref="AX36">XLOOKUP(XLOOKUP(AX30,'食譜'!$B:$B,'食譜'!$N:$N,""),'食材'!$B:$B,'食材'!$D:$D,"")</f>
        <v/>
      </c>
      <c r="AY36" s="57"/>
      <c r="AZ36" s="58" t="str">
        <f t="array" ref="AZ36">XLOOKUP(AX30,'食譜'!$B:$B,'食譜'!$O:$O,"")</f>
        <v/>
      </c>
      <c r="BA36" s="53"/>
      <c r="BB36" s="59" t="str">
        <f t="array" ref="BB36">XLOOKUP(XLOOKUP(BB30,'食譜'!$B:$B,'食譜'!$N:$N,""),'食材'!$B:$B,'食材'!$D:$D,"")</f>
        <v/>
      </c>
      <c r="BC36" s="57"/>
      <c r="BD36" s="58" t="str">
        <f t="array" ref="BD36">XLOOKUP(BB30,'食譜'!$B:$B,'食譜'!$O:$O,"")</f>
        <v/>
      </c>
      <c r="BE36" s="53"/>
      <c r="BF36" s="59" t="str">
        <f t="array" ref="BF36">XLOOKUP(XLOOKUP(BF30,'食譜'!$B:$B,'食譜'!$N:$N,""),'食材'!$B:$B,'食材'!$D:$D,"")</f>
        <v/>
      </c>
      <c r="BG36" s="57"/>
      <c r="BH36" s="58" t="str">
        <f t="array" ref="BH36">XLOOKUP(BF30,'食譜'!$B:$B,'食譜'!$O:$O,"")</f>
        <v/>
      </c>
      <c r="BI36" s="53"/>
      <c r="BJ36" s="59" t="str">
        <f t="array" ref="BJ36">XLOOKUP(XLOOKUP(BJ30,'食譜'!$B:$B,'食譜'!$N:$N,""),'食材'!$B:$B,'食材'!$D:$D,"")</f>
        <v/>
      </c>
      <c r="BK36" s="57"/>
      <c r="BL36" s="58" t="str">
        <f t="array" ref="BL36">XLOOKUP(BJ30,'食譜'!$B:$B,'食譜'!$O:$O,"")</f>
        <v/>
      </c>
      <c r="BM36" s="53"/>
      <c r="BN36" s="59" t="str">
        <f t="array" ref="BN36">XLOOKUP(XLOOKUP(BN30,'食譜'!$B:$B,'食譜'!$N:$N,""),'食材'!$B:$B,'食材'!$D:$D,"")</f>
        <v/>
      </c>
      <c r="BO36" s="57"/>
      <c r="BP36" s="58" t="str">
        <f t="array" ref="BP36">XLOOKUP(BN30,'食譜'!$B:$B,'食譜'!$O:$O,"")</f>
        <v/>
      </c>
      <c r="BQ36" s="53"/>
      <c r="BR36" s="59" t="str">
        <f t="array" ref="BR36">XLOOKUP(XLOOKUP(BR30,'食譜'!$B:$B,'食譜'!$N:$N,""),'食材'!$B:$B,'食材'!$D:$D,"")</f>
        <v/>
      </c>
      <c r="BS36" s="57"/>
      <c r="BT36" s="58" t="str">
        <f t="array" ref="BT36">XLOOKUP(BR30,'食譜'!$B:$B,'食譜'!$O:$O,"")</f>
        <v/>
      </c>
      <c r="BU36" s="53"/>
      <c r="BV36" s="59" t="str">
        <f t="array" ref="BV36">XLOOKUP(XLOOKUP(BV30,'食譜'!$B:$B,'食譜'!$N:$N,""),'食材'!$B:$B,'食材'!$D:$D,"")</f>
        <v/>
      </c>
      <c r="BW36" s="57"/>
      <c r="BX36" s="58" t="str">
        <f t="array" ref="BX36">XLOOKUP(BV30,'食譜'!$B:$B,'食譜'!$O:$O,"")</f>
        <v/>
      </c>
      <c r="BY36" s="53"/>
      <c r="BZ36" s="59" t="str">
        <f t="array" ref="BZ36">XLOOKUP(XLOOKUP(BZ30,'食譜'!$B:$B,'食譜'!$N:$N,""),'食材'!$B:$B,'食材'!$D:$D,"")</f>
        <v/>
      </c>
      <c r="CA36" s="57"/>
      <c r="CB36" s="58" t="str">
        <f t="array" ref="CB36">XLOOKUP(BZ30,'食譜'!$B:$B,'食譜'!$O:$O,"")</f>
        <v/>
      </c>
      <c r="CC36" s="53"/>
      <c r="CD36" s="59" t="str">
        <f t="array" ref="CD36">XLOOKUP(XLOOKUP(CD30,'食譜'!$B:$B,'食譜'!$N:$N,""),'食材'!$B:$B,'食材'!$D:$D,"")</f>
        <v/>
      </c>
      <c r="CE36" s="57"/>
      <c r="CF36" s="58" t="str">
        <f t="array" ref="CF36">XLOOKUP(CD30,'食譜'!$B:$B,'食譜'!$O:$O,"")</f>
        <v/>
      </c>
      <c r="CG36" s="53"/>
      <c r="CH36" s="59" t="str">
        <f t="array" ref="CH36">XLOOKUP(XLOOKUP(CH30,'食譜'!$B:$B,'食譜'!$N:$N,""),'食材'!$B:$B,'食材'!$D:$D,"")</f>
        <v/>
      </c>
      <c r="CI36" s="57"/>
      <c r="CJ36" s="58" t="str">
        <f t="array" ref="CJ36">XLOOKUP(CH30,'食譜'!$B:$B,'食譜'!$O:$O,"")</f>
        <v/>
      </c>
      <c r="CK36" s="53"/>
      <c r="CL36" s="59" t="str">
        <f t="array" ref="CL36">XLOOKUP(XLOOKUP(CL30,'食譜'!$B:$B,'食譜'!$N:$N,""),'食材'!$B:$B,'食材'!$D:$D,"")</f>
        <v/>
      </c>
      <c r="CM36" s="57"/>
      <c r="CN36" s="58" t="str">
        <f t="array" ref="CN36">XLOOKUP(CL30,'食譜'!$B:$B,'食譜'!$O:$O,"")</f>
        <v/>
      </c>
      <c r="CO36" s="53"/>
      <c r="CP36" s="59" t="str">
        <f t="array" ref="CP36">XLOOKUP(XLOOKUP(CP30,'食譜'!$B:$B,'食譜'!$N:$N,""),'食材'!$B:$B,'食材'!$D:$D,"")</f>
        <v/>
      </c>
      <c r="CQ36" s="57"/>
      <c r="CR36" s="58" t="str">
        <f t="array" ref="CR36">XLOOKUP(CP30,'食譜'!$B:$B,'食譜'!$O:$O,"")</f>
        <v/>
      </c>
      <c r="CS36" s="53"/>
      <c r="CT36" s="59" t="str">
        <f t="array" ref="CT36">XLOOKUP(XLOOKUP(CT30,'食譜'!$B:$B,'食譜'!$N:$N,""),'食材'!$B:$B,'食材'!$D:$D,"")</f>
        <v/>
      </c>
      <c r="CU36" s="57"/>
      <c r="CV36" s="58" t="str">
        <f t="array" ref="CV36">XLOOKUP(CT30,'食譜'!$B:$B,'食譜'!$O:$O,"")</f>
        <v/>
      </c>
      <c r="CW36" s="53"/>
      <c r="CX36" s="59" t="str">
        <f t="array" ref="CX36">XLOOKUP(XLOOKUP(CX30,'食譜'!$B:$B,'食譜'!$N:$N,""),'食材'!$B:$B,'食材'!$D:$D,"")</f>
        <v/>
      </c>
      <c r="CY36" s="57"/>
      <c r="CZ36" s="58" t="str">
        <f t="array" ref="CZ36">XLOOKUP(CX30,'食譜'!$B:$B,'食譜'!$O:$O,"")</f>
        <v/>
      </c>
      <c r="DA36" s="53"/>
      <c r="DB36" s="59" t="str">
        <f t="array" ref="DB36">XLOOKUP(XLOOKUP(DB30,'食譜'!$B:$B,'食譜'!$N:$N,""),'食材'!$B:$B,'食材'!$D:$D,"")</f>
        <v/>
      </c>
      <c r="DC36" s="57"/>
      <c r="DD36" s="58" t="str">
        <f t="array" ref="DD36">XLOOKUP(DB30,'食譜'!$B:$B,'食譜'!$O:$O,"")</f>
        <v/>
      </c>
      <c r="DE36" s="53"/>
      <c r="DF36" s="59" t="str">
        <f t="array" ref="DF36">XLOOKUP(XLOOKUP(DF30,'食譜'!$B:$B,'食譜'!$N:$N,""),'食材'!$B:$B,'食材'!$D:$D,"")</f>
        <v/>
      </c>
      <c r="DG36" s="57"/>
      <c r="DH36" s="58" t="str">
        <f t="array" ref="DH36">XLOOKUP(DF30,'食譜'!$B:$B,'食譜'!$O:$O,"")</f>
        <v/>
      </c>
      <c r="DI36" s="53"/>
      <c r="DJ36" s="59" t="str">
        <f t="array" ref="DJ36">XLOOKUP(XLOOKUP(DJ30,'食譜'!$B:$B,'食譜'!$N:$N,""),'食材'!$B:$B,'食材'!$D:$D,"")</f>
        <v/>
      </c>
      <c r="DK36" s="57"/>
      <c r="DL36" s="58" t="str">
        <f t="array" ref="DL36">XLOOKUP(DJ30,'食譜'!$B:$B,'食譜'!$O:$O,"")</f>
        <v/>
      </c>
      <c r="DM36" s="53"/>
      <c r="DN36" s="59" t="str">
        <f t="array" ref="DN36">XLOOKUP(XLOOKUP(DN30,'食譜'!$B:$B,'食譜'!$N:$N,""),'食材'!$B:$B,'食材'!$D:$D,"")</f>
        <v/>
      </c>
      <c r="DO36" s="57"/>
      <c r="DP36" s="58" t="str">
        <f t="array" ref="DP36">XLOOKUP(DN30,'食譜'!$B:$B,'食譜'!$O:$O,"")</f>
        <v/>
      </c>
      <c r="DQ36" s="53"/>
      <c r="DR36" s="59" t="str">
        <f t="array" ref="DR36">XLOOKUP(XLOOKUP(DR30,'食譜'!$B:$B,'食譜'!$N:$N,""),'食材'!$B:$B,'食材'!$D:$D,"")</f>
        <v/>
      </c>
      <c r="DS36" s="57"/>
      <c r="DT36" s="58" t="str">
        <f t="array" ref="DT36">XLOOKUP(DR30,'食譜'!$B:$B,'食譜'!$O:$O,"")</f>
        <v/>
      </c>
      <c r="DU36" s="53"/>
      <c r="DV36" s="59" t="str">
        <f t="array" ref="DV36">XLOOKUP(XLOOKUP(DV30,'食譜'!$B:$B,'食譜'!$N:$N,""),'食材'!$B:$B,'食材'!$D:$D,"")</f>
        <v/>
      </c>
      <c r="DW36" s="57"/>
      <c r="DX36" s="58" t="str">
        <f t="array" ref="DX36">XLOOKUP(DV30,'食譜'!$B:$B,'食譜'!$O:$O,"")</f>
        <v/>
      </c>
      <c r="DY36" s="53"/>
      <c r="DZ36" s="59" t="str">
        <f t="array" ref="DZ36">XLOOKUP(XLOOKUP(DZ30,'食譜'!$B:$B,'食譜'!$N:$N,""),'食材'!$B:$B,'食材'!$D:$D,"")</f>
        <v/>
      </c>
      <c r="EA36" s="57"/>
      <c r="EB36" s="58" t="str">
        <f t="array" ref="EB36">XLOOKUP(DZ30,'食譜'!$B:$B,'食譜'!$O:$O,"")</f>
        <v/>
      </c>
      <c r="EC36" s="53"/>
      <c r="ED36" s="59" t="str">
        <f t="array" ref="ED36">XLOOKUP(XLOOKUP(ED30,'食譜'!$B:$B,'食譜'!$N:$N,""),'食材'!$B:$B,'食材'!$D:$D,"")</f>
        <v/>
      </c>
      <c r="EE36" s="57"/>
      <c r="EF36" s="58" t="str">
        <f t="array" ref="EF36">XLOOKUP(ED30,'食譜'!$B:$B,'食譜'!$O:$O,"")</f>
        <v/>
      </c>
      <c r="EG36" s="53"/>
      <c r="EH36" s="59" t="str">
        <f t="array" ref="EH36">XLOOKUP(XLOOKUP(EH30,'食譜'!$B:$B,'食譜'!$N:$N,""),'食材'!$B:$B,'食材'!$D:$D,"")</f>
        <v/>
      </c>
      <c r="EI36" s="57"/>
      <c r="EJ36" s="58" t="str">
        <f t="array" ref="EJ36">XLOOKUP(EH30,'食譜'!$B:$B,'食譜'!$O:$O,"")</f>
        <v/>
      </c>
      <c r="EK36" s="53"/>
      <c r="EL36" s="1"/>
      <c r="EM36" s="7" t="str">
        <f t="array" ref="EM36">XLOOKUP(EQ36,'食材'!$B:$B,'食材'!$D:$D,"")</f>
        <v/>
      </c>
      <c r="EN36" s="8"/>
      <c r="EO36" s="9">
        <f t="array" ref="EO36">XLOOKUP(EQ36,'食材'!$B:$B,'食材'!$F:$F,"")</f>
        <v>185</v>
      </c>
      <c r="EP36" s="8"/>
      <c r="EQ36" s="10" t="s">
        <v>16</v>
      </c>
      <c r="ER36" s="11"/>
      <c r="ES36" s="11"/>
      <c r="ET36" s="11"/>
      <c r="EU36" s="11"/>
      <c r="EV36" s="11"/>
      <c r="EW36" s="12"/>
      <c r="EX36" s="13"/>
    </row>
    <row r="37" ht="15.0" customHeight="1">
      <c r="A37" s="106">
        <f t="array" ref="A37">XLOOKUP(C37,'食譜'!$B:$B,'食譜'!$F:$F,"")</f>
        <v>0.48</v>
      </c>
      <c r="B37" s="107" t="str">
        <f t="array" ref="B37">XLOOKUP(C37,'食譜'!$B:$B,'食譜'!$A:$A,"")</f>
        <v/>
      </c>
      <c r="C37" s="108" t="str">
        <f>IFERROR(__xludf.DUMMYFUNCTION("""COMPUTED_VALUE"""),"忍者咖哩")</f>
        <v>忍者咖哩</v>
      </c>
      <c r="D37" s="109">
        <f t="array" ref="D37">XLOOKUP(C37,'食譜'!$B:$B,'食譜'!$H:$H,"")</f>
        <v>9445</v>
      </c>
      <c r="E37" s="110" t="str">
        <f t="array" ref="E37">XLOOKUP(XLOOKUP(C37,'食譜'!$B:$B,'食譜'!$J:$J,""),'食材'!$B:$B,'食材'!$D:$D,"")</f>
        <v/>
      </c>
      <c r="F37" s="110" t="str">
        <f t="array" ref="F37">XLOOKUP(XLOOKUP(C37,'食譜'!$B:$B,'食譜'!$L:$L,""),'食材'!$B:$B,'食材'!$D:$D,"")</f>
        <v/>
      </c>
      <c r="G37" s="110" t="str">
        <f t="array" ref="G37">XLOOKUP(XLOOKUP(C37,'食譜'!$B:$B,'食譜'!$N:$N,""),'食材'!$B:$B,'食材'!$D:$D,"")</f>
        <v/>
      </c>
      <c r="H37" s="110" t="str">
        <f t="array" ref="H37">XLOOKUP(XLOOKUP(C37,'食譜'!$B:$B,'食譜'!$P:$P,""),'食材'!$B:$B,'食材'!$D:$D,"")</f>
        <v/>
      </c>
      <c r="I37" s="111">
        <f t="array" ref="I37">XLOOKUP(C37,'食譜'!$B:$B,'食譜'!$D:$D,"")</f>
        <v>50</v>
      </c>
      <c r="J37" s="140"/>
      <c r="K37" s="9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4"/>
      <c r="AO37" s="15"/>
      <c r="AP37" s="45"/>
      <c r="AQ37" s="60"/>
      <c r="AR37" s="61"/>
      <c r="AS37" s="47"/>
      <c r="AT37" s="45"/>
      <c r="AU37" s="60"/>
      <c r="AV37" s="61"/>
      <c r="AW37" s="47"/>
      <c r="AX37" s="45"/>
      <c r="AY37" s="60"/>
      <c r="AZ37" s="61"/>
      <c r="BA37" s="47"/>
      <c r="BB37" s="45"/>
      <c r="BC37" s="60"/>
      <c r="BD37" s="61"/>
      <c r="BE37" s="47"/>
      <c r="BF37" s="45"/>
      <c r="BG37" s="60"/>
      <c r="BH37" s="61"/>
      <c r="BI37" s="47"/>
      <c r="BJ37" s="45"/>
      <c r="BK37" s="60"/>
      <c r="BL37" s="61"/>
      <c r="BM37" s="47"/>
      <c r="BN37" s="45"/>
      <c r="BO37" s="60"/>
      <c r="BP37" s="61"/>
      <c r="BQ37" s="47"/>
      <c r="BR37" s="45"/>
      <c r="BS37" s="60"/>
      <c r="BT37" s="61"/>
      <c r="BU37" s="47"/>
      <c r="BV37" s="45"/>
      <c r="BW37" s="60"/>
      <c r="BX37" s="61"/>
      <c r="BY37" s="47"/>
      <c r="BZ37" s="45"/>
      <c r="CA37" s="60"/>
      <c r="CB37" s="61"/>
      <c r="CC37" s="47"/>
      <c r="CD37" s="45"/>
      <c r="CE37" s="60"/>
      <c r="CF37" s="61"/>
      <c r="CG37" s="47"/>
      <c r="CH37" s="45"/>
      <c r="CI37" s="60"/>
      <c r="CJ37" s="61"/>
      <c r="CK37" s="47"/>
      <c r="CL37" s="45"/>
      <c r="CM37" s="60"/>
      <c r="CN37" s="61"/>
      <c r="CO37" s="47"/>
      <c r="CP37" s="45"/>
      <c r="CQ37" s="60"/>
      <c r="CR37" s="61"/>
      <c r="CS37" s="47"/>
      <c r="CT37" s="45"/>
      <c r="CU37" s="60"/>
      <c r="CV37" s="61"/>
      <c r="CW37" s="47"/>
      <c r="CX37" s="45"/>
      <c r="CY37" s="60"/>
      <c r="CZ37" s="61"/>
      <c r="DA37" s="47"/>
      <c r="DB37" s="45"/>
      <c r="DC37" s="60"/>
      <c r="DD37" s="61"/>
      <c r="DE37" s="47"/>
      <c r="DF37" s="45"/>
      <c r="DG37" s="60"/>
      <c r="DH37" s="61"/>
      <c r="DI37" s="47"/>
      <c r="DJ37" s="45"/>
      <c r="DK37" s="60"/>
      <c r="DL37" s="61"/>
      <c r="DM37" s="47"/>
      <c r="DN37" s="45"/>
      <c r="DO37" s="60"/>
      <c r="DP37" s="61"/>
      <c r="DQ37" s="47"/>
      <c r="DR37" s="45"/>
      <c r="DS37" s="60"/>
      <c r="DT37" s="61"/>
      <c r="DU37" s="47"/>
      <c r="DV37" s="45"/>
      <c r="DW37" s="60"/>
      <c r="DX37" s="61"/>
      <c r="DY37" s="47"/>
      <c r="DZ37" s="45"/>
      <c r="EA37" s="60"/>
      <c r="EB37" s="61"/>
      <c r="EC37" s="47"/>
      <c r="ED37" s="45"/>
      <c r="EE37" s="60"/>
      <c r="EF37" s="61"/>
      <c r="EG37" s="47"/>
      <c r="EH37" s="45"/>
      <c r="EI37" s="60"/>
      <c r="EJ37" s="61"/>
      <c r="EK37" s="47"/>
      <c r="EL37" s="1"/>
      <c r="EM37" s="19"/>
      <c r="EN37" s="20"/>
      <c r="EO37" s="21"/>
      <c r="EP37" s="20"/>
      <c r="EQ37" s="21"/>
      <c r="ER37" s="22"/>
      <c r="ES37" s="22"/>
      <c r="ET37" s="22"/>
      <c r="EU37" s="22"/>
      <c r="EV37" s="22"/>
      <c r="EW37" s="23"/>
      <c r="EX37" s="13"/>
    </row>
    <row r="38" ht="15.0" customHeight="1">
      <c r="A38" s="114"/>
      <c r="B38" s="114"/>
      <c r="C38" s="114"/>
      <c r="D38" s="114"/>
      <c r="E38" s="110">
        <f t="array" ref="E38">XLOOKUP(C37,'食譜'!$B:$B,'食譜'!$K:$K,"")</f>
        <v>24</v>
      </c>
      <c r="F38" s="110">
        <f t="array" ref="F38">XLOOKUP(C37,'食譜'!$B:$B,'食譜'!$M:$M,"")</f>
        <v>12</v>
      </c>
      <c r="G38" s="110">
        <f t="array" ref="G38">XLOOKUP(C37,'食譜'!$B:$B,'食譜'!$O:$O,"")</f>
        <v>9</v>
      </c>
      <c r="H38" s="110">
        <f t="array" ref="H38">XLOOKUP(C37,'食譜'!$B:$B,'食譜'!$Q:$Q,"")</f>
        <v>5</v>
      </c>
      <c r="I38" s="114"/>
      <c r="J38" s="140"/>
      <c r="K38" s="9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4"/>
      <c r="AO38" s="15"/>
      <c r="AP38" s="56" t="str">
        <f t="array" ref="AP38">XLOOKUP(XLOOKUP(AP30,'食譜'!$B:$B,'食譜'!$P:$P,""),'食材'!$B:$B,'食材'!$D:$D,"")</f>
        <v>#REF!</v>
      </c>
      <c r="AQ38" s="57"/>
      <c r="AR38" s="58" t="str">
        <f t="array" ref="AR38">XLOOKUP(AP30,'食譜'!$B:$B,'食譜'!$Q:$Q,"")</f>
        <v>#REF!</v>
      </c>
      <c r="AS38" s="53"/>
      <c r="AT38" s="59" t="str">
        <f t="array" ref="AT38">XLOOKUP(XLOOKUP(AT30,'食譜'!$B:$B,'食譜'!$P:$P,""),'食材'!$B:$B,'食材'!$D:$D,"")</f>
        <v/>
      </c>
      <c r="AU38" s="57"/>
      <c r="AV38" s="58" t="str">
        <f t="array" ref="AV38">XLOOKUP(AT30,'食譜'!$B:$B,'食譜'!$Q:$Q,"")</f>
        <v/>
      </c>
      <c r="AW38" s="53"/>
      <c r="AX38" s="59" t="str">
        <f t="array" ref="AX38">XLOOKUP(XLOOKUP(AX30,'食譜'!$B:$B,'食譜'!$P:$P,""),'食材'!$B:$B,'食材'!$D:$D,"")</f>
        <v/>
      </c>
      <c r="AY38" s="57"/>
      <c r="AZ38" s="58" t="str">
        <f t="array" ref="AZ38">XLOOKUP(AX30,'食譜'!$B:$B,'食譜'!$Q:$Q,"")</f>
        <v/>
      </c>
      <c r="BA38" s="53"/>
      <c r="BB38" s="59" t="str">
        <f t="array" ref="BB38">XLOOKUP(XLOOKUP(BB30,'食譜'!$B:$B,'食譜'!$P:$P,""),'食材'!$B:$B,'食材'!$D:$D,"")</f>
        <v/>
      </c>
      <c r="BC38" s="57"/>
      <c r="BD38" s="58" t="str">
        <f t="array" ref="BD38">XLOOKUP(BB30,'食譜'!$B:$B,'食譜'!$Q:$Q,"")</f>
        <v/>
      </c>
      <c r="BE38" s="53"/>
      <c r="BF38" s="59" t="str">
        <f t="array" ref="BF38">XLOOKUP(XLOOKUP(BF30,'食譜'!$B:$B,'食譜'!$P:$P,""),'食材'!$B:$B,'食材'!$D:$D,"")</f>
        <v/>
      </c>
      <c r="BG38" s="57"/>
      <c r="BH38" s="58" t="str">
        <f t="array" ref="BH38">XLOOKUP(BF30,'食譜'!$B:$B,'食譜'!$Q:$Q,"")</f>
        <v/>
      </c>
      <c r="BI38" s="53"/>
      <c r="BJ38" s="59" t="str">
        <f t="array" ref="BJ38">XLOOKUP(XLOOKUP(BJ30,'食譜'!$B:$B,'食譜'!$P:$P,""),'食材'!$B:$B,'食材'!$D:$D,"")</f>
        <v/>
      </c>
      <c r="BK38" s="57"/>
      <c r="BL38" s="58" t="str">
        <f t="array" ref="BL38">XLOOKUP(BJ30,'食譜'!$B:$B,'食譜'!$Q:$Q,"")</f>
        <v/>
      </c>
      <c r="BM38" s="53"/>
      <c r="BN38" s="59" t="str">
        <f t="array" ref="BN38">XLOOKUP(XLOOKUP(BN30,'食譜'!$B:$B,'食譜'!$P:$P,""),'食材'!$B:$B,'食材'!$D:$D,"")</f>
        <v/>
      </c>
      <c r="BO38" s="57"/>
      <c r="BP38" s="58" t="str">
        <f t="array" ref="BP38">XLOOKUP(BN30,'食譜'!$B:$B,'食譜'!$Q:$Q,"")</f>
        <v/>
      </c>
      <c r="BQ38" s="53"/>
      <c r="BR38" s="59" t="str">
        <f t="array" ref="BR38">XLOOKUP(XLOOKUP(BR30,'食譜'!$B:$B,'食譜'!$P:$P,""),'食材'!$B:$B,'食材'!$D:$D,"")</f>
        <v/>
      </c>
      <c r="BS38" s="57"/>
      <c r="BT38" s="58" t="str">
        <f t="array" ref="BT38">XLOOKUP(BR30,'食譜'!$B:$B,'食譜'!$Q:$Q,"")</f>
        <v/>
      </c>
      <c r="BU38" s="53"/>
      <c r="BV38" s="59" t="str">
        <f t="array" ref="BV38">XLOOKUP(XLOOKUP(BV30,'食譜'!$B:$B,'食譜'!$P:$P,""),'食材'!$B:$B,'食材'!$D:$D,"")</f>
        <v/>
      </c>
      <c r="BW38" s="57"/>
      <c r="BX38" s="58" t="str">
        <f t="array" ref="BX38">XLOOKUP(BV30,'食譜'!$B:$B,'食譜'!$Q:$Q,"")</f>
        <v/>
      </c>
      <c r="BY38" s="53"/>
      <c r="BZ38" s="59" t="str">
        <f t="array" ref="BZ38">XLOOKUP(XLOOKUP(BZ30,'食譜'!$B:$B,'食譜'!$P:$P,""),'食材'!$B:$B,'食材'!$D:$D,"")</f>
        <v/>
      </c>
      <c r="CA38" s="57"/>
      <c r="CB38" s="58" t="str">
        <f t="array" ref="CB38">XLOOKUP(BZ30,'食譜'!$B:$B,'食譜'!$Q:$Q,"")</f>
        <v/>
      </c>
      <c r="CC38" s="53"/>
      <c r="CD38" s="59" t="str">
        <f t="array" ref="CD38">XLOOKUP(XLOOKUP(CD30,'食譜'!$B:$B,'食譜'!$P:$P,""),'食材'!$B:$B,'食材'!$D:$D,"")</f>
        <v/>
      </c>
      <c r="CE38" s="57"/>
      <c r="CF38" s="58" t="str">
        <f t="array" ref="CF38">XLOOKUP(CD30,'食譜'!$B:$B,'食譜'!$Q:$Q,"")</f>
        <v/>
      </c>
      <c r="CG38" s="53"/>
      <c r="CH38" s="59" t="str">
        <f t="array" ref="CH38">XLOOKUP(XLOOKUP(CH30,'食譜'!$B:$B,'食譜'!$P:$P,""),'食材'!$B:$B,'食材'!$D:$D,"")</f>
        <v/>
      </c>
      <c r="CI38" s="57"/>
      <c r="CJ38" s="58" t="str">
        <f t="array" ref="CJ38">XLOOKUP(CH30,'食譜'!$B:$B,'食譜'!$Q:$Q,"")</f>
        <v/>
      </c>
      <c r="CK38" s="53"/>
      <c r="CL38" s="59" t="str">
        <f t="array" ref="CL38">XLOOKUP(XLOOKUP(CL30,'食譜'!$B:$B,'食譜'!$P:$P,""),'食材'!$B:$B,'食材'!$D:$D,"")</f>
        <v/>
      </c>
      <c r="CM38" s="57"/>
      <c r="CN38" s="58" t="str">
        <f t="array" ref="CN38">XLOOKUP(CL30,'食譜'!$B:$B,'食譜'!$Q:$Q,"")</f>
        <v/>
      </c>
      <c r="CO38" s="53"/>
      <c r="CP38" s="59" t="str">
        <f t="array" ref="CP38">XLOOKUP(XLOOKUP(CP30,'食譜'!$B:$B,'食譜'!$P:$P,""),'食材'!$B:$B,'食材'!$D:$D,"")</f>
        <v/>
      </c>
      <c r="CQ38" s="57"/>
      <c r="CR38" s="58" t="str">
        <f t="array" ref="CR38">XLOOKUP(CP30,'食譜'!$B:$B,'食譜'!$Q:$Q,"")</f>
        <v/>
      </c>
      <c r="CS38" s="53"/>
      <c r="CT38" s="59" t="str">
        <f t="array" ref="CT38">XLOOKUP(XLOOKUP(CT30,'食譜'!$B:$B,'食譜'!$P:$P,""),'食材'!$B:$B,'食材'!$D:$D,"")</f>
        <v/>
      </c>
      <c r="CU38" s="57"/>
      <c r="CV38" s="58" t="str">
        <f t="array" ref="CV38">XLOOKUP(CT30,'食譜'!$B:$B,'食譜'!$Q:$Q,"")</f>
        <v/>
      </c>
      <c r="CW38" s="53"/>
      <c r="CX38" s="59" t="str">
        <f t="array" ref="CX38">XLOOKUP(XLOOKUP(CX30,'食譜'!$B:$B,'食譜'!$P:$P,""),'食材'!$B:$B,'食材'!$D:$D,"")</f>
        <v/>
      </c>
      <c r="CY38" s="57"/>
      <c r="CZ38" s="58" t="str">
        <f t="array" ref="CZ38">XLOOKUP(CX30,'食譜'!$B:$B,'食譜'!$Q:$Q,"")</f>
        <v/>
      </c>
      <c r="DA38" s="53"/>
      <c r="DB38" s="59" t="str">
        <f t="array" ref="DB38">XLOOKUP(XLOOKUP(DB30,'食譜'!$B:$B,'食譜'!$P:$P,""),'食材'!$B:$B,'食材'!$D:$D,"")</f>
        <v/>
      </c>
      <c r="DC38" s="57"/>
      <c r="DD38" s="58" t="str">
        <f t="array" ref="DD38">XLOOKUP(DB30,'食譜'!$B:$B,'食譜'!$Q:$Q,"")</f>
        <v/>
      </c>
      <c r="DE38" s="53"/>
      <c r="DF38" s="59" t="str">
        <f t="array" ref="DF38">XLOOKUP(XLOOKUP(DF30,'食譜'!$B:$B,'食譜'!$P:$P,""),'食材'!$B:$B,'食材'!$D:$D,"")</f>
        <v/>
      </c>
      <c r="DG38" s="57"/>
      <c r="DH38" s="58" t="str">
        <f t="array" ref="DH38">XLOOKUP(DF30,'食譜'!$B:$B,'食譜'!$Q:$Q,"")</f>
        <v/>
      </c>
      <c r="DI38" s="53"/>
      <c r="DJ38" s="59" t="str">
        <f t="array" ref="DJ38">XLOOKUP(XLOOKUP(DJ30,'食譜'!$B:$B,'食譜'!$P:$P,""),'食材'!$B:$B,'食材'!$D:$D,"")</f>
        <v/>
      </c>
      <c r="DK38" s="57"/>
      <c r="DL38" s="58" t="str">
        <f t="array" ref="DL38">XLOOKUP(DJ30,'食譜'!$B:$B,'食譜'!$Q:$Q,"")</f>
        <v/>
      </c>
      <c r="DM38" s="53"/>
      <c r="DN38" s="59" t="str">
        <f t="array" ref="DN38">XLOOKUP(XLOOKUP(DN30,'食譜'!$B:$B,'食譜'!$P:$P,""),'食材'!$B:$B,'食材'!$D:$D,"")</f>
        <v/>
      </c>
      <c r="DO38" s="57"/>
      <c r="DP38" s="58" t="str">
        <f t="array" ref="DP38">XLOOKUP(DN30,'食譜'!$B:$B,'食譜'!$Q:$Q,"")</f>
        <v/>
      </c>
      <c r="DQ38" s="53"/>
      <c r="DR38" s="59" t="str">
        <f t="array" ref="DR38">XLOOKUP(XLOOKUP(DR30,'食譜'!$B:$B,'食譜'!$P:$P,""),'食材'!$B:$B,'食材'!$D:$D,"")</f>
        <v/>
      </c>
      <c r="DS38" s="57"/>
      <c r="DT38" s="58" t="str">
        <f t="array" ref="DT38">XLOOKUP(DR30,'食譜'!$B:$B,'食譜'!$Q:$Q,"")</f>
        <v/>
      </c>
      <c r="DU38" s="53"/>
      <c r="DV38" s="59" t="str">
        <f t="array" ref="DV38">XLOOKUP(XLOOKUP(DV30,'食譜'!$B:$B,'食譜'!$P:$P,""),'食材'!$B:$B,'食材'!$D:$D,"")</f>
        <v/>
      </c>
      <c r="DW38" s="57"/>
      <c r="DX38" s="58" t="str">
        <f t="array" ref="DX38">XLOOKUP(DV30,'食譜'!$B:$B,'食譜'!$Q:$Q,"")</f>
        <v/>
      </c>
      <c r="DY38" s="53"/>
      <c r="DZ38" s="59" t="str">
        <f t="array" ref="DZ38">XLOOKUP(XLOOKUP(DZ30,'食譜'!$B:$B,'食譜'!$P:$P,""),'食材'!$B:$B,'食材'!$D:$D,"")</f>
        <v/>
      </c>
      <c r="EA38" s="57"/>
      <c r="EB38" s="58" t="str">
        <f t="array" ref="EB38">XLOOKUP(DZ30,'食譜'!$B:$B,'食譜'!$Q:$Q,"")</f>
        <v/>
      </c>
      <c r="EC38" s="53"/>
      <c r="ED38" s="59" t="str">
        <f t="array" ref="ED38">XLOOKUP(XLOOKUP(ED30,'食譜'!$B:$B,'食譜'!$P:$P,""),'食材'!$B:$B,'食材'!$D:$D,"")</f>
        <v/>
      </c>
      <c r="EE38" s="57"/>
      <c r="EF38" s="58" t="str">
        <f t="array" ref="EF38">XLOOKUP(ED30,'食譜'!$B:$B,'食譜'!$Q:$Q,"")</f>
        <v/>
      </c>
      <c r="EG38" s="53"/>
      <c r="EH38" s="59" t="str">
        <f t="array" ref="EH38">XLOOKUP(XLOOKUP(EH30,'食譜'!$B:$B,'食譜'!$P:$P,""),'食材'!$B:$B,'食材'!$D:$D,"")</f>
        <v/>
      </c>
      <c r="EI38" s="57"/>
      <c r="EJ38" s="58" t="str">
        <f t="array" ref="EJ38">XLOOKUP(EH30,'食譜'!$B:$B,'食譜'!$Q:$Q,"")</f>
        <v/>
      </c>
      <c r="EK38" s="53"/>
      <c r="EL38" s="1"/>
      <c r="EM38" s="7" t="str">
        <f t="array" ref="EM38">XLOOKUP(EQ38,'食材'!$B:$B,'食材'!$D:$D,"")</f>
        <v/>
      </c>
      <c r="EN38" s="8"/>
      <c r="EO38" s="9">
        <f t="array" ref="EO38">XLOOKUP(EQ38,'食材'!$B:$B,'食材'!$F:$F,"")</f>
        <v>250</v>
      </c>
      <c r="EP38" s="8"/>
      <c r="EQ38" s="10" t="s">
        <v>17</v>
      </c>
      <c r="ER38" s="11"/>
      <c r="ES38" s="11"/>
      <c r="ET38" s="11"/>
      <c r="EU38" s="11"/>
      <c r="EV38" s="11"/>
      <c r="EW38" s="12"/>
      <c r="EX38" s="13"/>
    </row>
    <row r="39" ht="15.0" customHeight="1">
      <c r="A39" s="106">
        <f t="array" ref="A39">XLOOKUP(C39,'食譜'!$B:$B,'食譜'!$F:$F,"")</f>
        <v>0.48</v>
      </c>
      <c r="B39" s="107" t="str">
        <f t="array" ref="B39">XLOOKUP(C39,'食譜'!$B:$B,'食譜'!$A:$A,"")</f>
        <v/>
      </c>
      <c r="C39" s="108" t="str">
        <f>IFERROR(__xludf.DUMMYFUNCTION("""COMPUTED_VALUE"""),"煉獄玉米乾咖哩")</f>
        <v>煉獄玉米乾咖哩</v>
      </c>
      <c r="D39" s="109">
        <f t="array" ref="D39">XLOOKUP(C39,'食譜'!$B:$B,'食譜'!$H:$H,"")</f>
        <v>13690</v>
      </c>
      <c r="E39" s="110" t="str">
        <f t="array" ref="E39">XLOOKUP(XLOOKUP(C39,'食譜'!$B:$B,'食譜'!$J:$J,""),'食材'!$B:$B,'食材'!$D:$D,"")</f>
        <v/>
      </c>
      <c r="F39" s="110" t="str">
        <f t="array" ref="F39">XLOOKUP(XLOOKUP(C39,'食譜'!$B:$B,'食譜'!$L:$L,""),'食材'!$B:$B,'食材'!$D:$D,"")</f>
        <v/>
      </c>
      <c r="G39" s="110" t="str">
        <f t="array" ref="G39">XLOOKUP(XLOOKUP(C39,'食譜'!$B:$B,'食譜'!$N:$N,""),'食材'!$B:$B,'食材'!$D:$D,"")</f>
        <v/>
      </c>
      <c r="H39" s="110" t="str">
        <f t="array" ref="H39">XLOOKUP(XLOOKUP(C39,'食譜'!$B:$B,'食譜'!$P:$P,""),'食材'!$B:$B,'食材'!$D:$D,"")</f>
        <v/>
      </c>
      <c r="I39" s="111">
        <f t="array" ref="I39">XLOOKUP(C39,'食譜'!$B:$B,'食譜'!$D:$D,"")</f>
        <v>77</v>
      </c>
      <c r="J39" s="140"/>
      <c r="K39" s="9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4"/>
      <c r="AO39" s="15"/>
      <c r="AP39" s="45"/>
      <c r="AQ39" s="60"/>
      <c r="AR39" s="61"/>
      <c r="AS39" s="47"/>
      <c r="AT39" s="45"/>
      <c r="AU39" s="60"/>
      <c r="AV39" s="61"/>
      <c r="AW39" s="47"/>
      <c r="AX39" s="45"/>
      <c r="AY39" s="60"/>
      <c r="AZ39" s="61"/>
      <c r="BA39" s="47"/>
      <c r="BB39" s="45"/>
      <c r="BC39" s="60"/>
      <c r="BD39" s="61"/>
      <c r="BE39" s="47"/>
      <c r="BF39" s="45"/>
      <c r="BG39" s="60"/>
      <c r="BH39" s="61"/>
      <c r="BI39" s="47"/>
      <c r="BJ39" s="45"/>
      <c r="BK39" s="60"/>
      <c r="BL39" s="61"/>
      <c r="BM39" s="47"/>
      <c r="BN39" s="45"/>
      <c r="BO39" s="60"/>
      <c r="BP39" s="61"/>
      <c r="BQ39" s="47"/>
      <c r="BR39" s="45"/>
      <c r="BS39" s="60"/>
      <c r="BT39" s="61"/>
      <c r="BU39" s="47"/>
      <c r="BV39" s="45"/>
      <c r="BW39" s="60"/>
      <c r="BX39" s="61"/>
      <c r="BY39" s="47"/>
      <c r="BZ39" s="45"/>
      <c r="CA39" s="60"/>
      <c r="CB39" s="61"/>
      <c r="CC39" s="47"/>
      <c r="CD39" s="45"/>
      <c r="CE39" s="60"/>
      <c r="CF39" s="61"/>
      <c r="CG39" s="47"/>
      <c r="CH39" s="45"/>
      <c r="CI39" s="60"/>
      <c r="CJ39" s="61"/>
      <c r="CK39" s="47"/>
      <c r="CL39" s="45"/>
      <c r="CM39" s="60"/>
      <c r="CN39" s="61"/>
      <c r="CO39" s="47"/>
      <c r="CP39" s="45"/>
      <c r="CQ39" s="60"/>
      <c r="CR39" s="61"/>
      <c r="CS39" s="47"/>
      <c r="CT39" s="45"/>
      <c r="CU39" s="60"/>
      <c r="CV39" s="61"/>
      <c r="CW39" s="47"/>
      <c r="CX39" s="45"/>
      <c r="CY39" s="60"/>
      <c r="CZ39" s="61"/>
      <c r="DA39" s="47"/>
      <c r="DB39" s="45"/>
      <c r="DC39" s="60"/>
      <c r="DD39" s="61"/>
      <c r="DE39" s="47"/>
      <c r="DF39" s="45"/>
      <c r="DG39" s="60"/>
      <c r="DH39" s="61"/>
      <c r="DI39" s="47"/>
      <c r="DJ39" s="45"/>
      <c r="DK39" s="60"/>
      <c r="DL39" s="61"/>
      <c r="DM39" s="47"/>
      <c r="DN39" s="45"/>
      <c r="DO39" s="60"/>
      <c r="DP39" s="61"/>
      <c r="DQ39" s="47"/>
      <c r="DR39" s="45"/>
      <c r="DS39" s="60"/>
      <c r="DT39" s="61"/>
      <c r="DU39" s="47"/>
      <c r="DV39" s="45"/>
      <c r="DW39" s="60"/>
      <c r="DX39" s="61"/>
      <c r="DY39" s="47"/>
      <c r="DZ39" s="45"/>
      <c r="EA39" s="60"/>
      <c r="EB39" s="61"/>
      <c r="EC39" s="47"/>
      <c r="ED39" s="45"/>
      <c r="EE39" s="60"/>
      <c r="EF39" s="61"/>
      <c r="EG39" s="47"/>
      <c r="EH39" s="45"/>
      <c r="EI39" s="60"/>
      <c r="EJ39" s="61"/>
      <c r="EK39" s="47"/>
      <c r="EL39" s="1"/>
      <c r="EM39" s="19"/>
      <c r="EN39" s="20"/>
      <c r="EO39" s="21"/>
      <c r="EP39" s="20"/>
      <c r="EQ39" s="21"/>
      <c r="ER39" s="22"/>
      <c r="ES39" s="22"/>
      <c r="ET39" s="22"/>
      <c r="EU39" s="22"/>
      <c r="EV39" s="22"/>
      <c r="EW39" s="23"/>
      <c r="EX39" s="13"/>
    </row>
    <row r="40" ht="15.0" customHeight="1">
      <c r="A40" s="114"/>
      <c r="B40" s="114"/>
      <c r="C40" s="114"/>
      <c r="D40" s="114"/>
      <c r="E40" s="110">
        <f t="array" ref="E40">XLOOKUP(C39,'食譜'!$B:$B,'食譜'!$K:$K,"")</f>
        <v>27</v>
      </c>
      <c r="F40" s="110">
        <f t="array" ref="F40">XLOOKUP(C39,'食譜'!$B:$B,'食譜'!$M:$M,"")</f>
        <v>24</v>
      </c>
      <c r="G40" s="110">
        <f t="array" ref="G40">XLOOKUP(C39,'食譜'!$B:$B,'食譜'!$O:$O,"")</f>
        <v>14</v>
      </c>
      <c r="H40" s="110">
        <f t="array" ref="H40">XLOOKUP(C39,'食譜'!$B:$B,'食譜'!$Q:$Q,"")</f>
        <v>12</v>
      </c>
      <c r="I40" s="114"/>
      <c r="J40" s="140"/>
      <c r="K40" s="9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4"/>
      <c r="AO40" s="15"/>
      <c r="AP40" s="62" t="str">
        <f t="array" ref="AP40">XLOOKUP(AP30,'食譜'!$B:$B,'食譜'!$D:$D,"")</f>
        <v>#REF!</v>
      </c>
      <c r="AQ40" s="52"/>
      <c r="AR40" s="52"/>
      <c r="AS40" s="53"/>
      <c r="AT40" s="62" t="str">
        <f t="array" ref="AT40">XLOOKUP(AT30,'食譜'!$B:$B,'食譜'!$D:$D,"")</f>
        <v/>
      </c>
      <c r="AU40" s="52"/>
      <c r="AV40" s="52"/>
      <c r="AW40" s="53"/>
      <c r="AX40" s="62" t="str">
        <f t="array" ref="AX40">XLOOKUP(AX30,'食譜'!$B:$B,'食譜'!$D:$D,"")</f>
        <v/>
      </c>
      <c r="AY40" s="52"/>
      <c r="AZ40" s="52"/>
      <c r="BA40" s="53"/>
      <c r="BB40" s="62" t="str">
        <f t="array" ref="BB40">XLOOKUP(BB30,'食譜'!$B:$B,'食譜'!$D:$D,"")</f>
        <v/>
      </c>
      <c r="BC40" s="52"/>
      <c r="BD40" s="52"/>
      <c r="BE40" s="53"/>
      <c r="BF40" s="62" t="str">
        <f t="array" ref="BF40">XLOOKUP(BF30,'食譜'!$B:$B,'食譜'!$D:$D,"")</f>
        <v/>
      </c>
      <c r="BG40" s="52"/>
      <c r="BH40" s="52"/>
      <c r="BI40" s="53"/>
      <c r="BJ40" s="62" t="str">
        <f t="array" ref="BJ40">XLOOKUP(BJ30,'食譜'!$B:$B,'食譜'!$D:$D,"")</f>
        <v/>
      </c>
      <c r="BK40" s="52"/>
      <c r="BL40" s="52"/>
      <c r="BM40" s="53"/>
      <c r="BN40" s="62" t="str">
        <f t="array" ref="BN40">XLOOKUP(BN30,'食譜'!$B:$B,'食譜'!$D:$D,"")</f>
        <v/>
      </c>
      <c r="BO40" s="52"/>
      <c r="BP40" s="52"/>
      <c r="BQ40" s="53"/>
      <c r="BR40" s="62" t="str">
        <f t="array" ref="BR40">XLOOKUP(BR30,'食譜'!$B:$B,'食譜'!$D:$D,"")</f>
        <v/>
      </c>
      <c r="BS40" s="52"/>
      <c r="BT40" s="52"/>
      <c r="BU40" s="53"/>
      <c r="BV40" s="62" t="str">
        <f t="array" ref="BV40">XLOOKUP(BV30,'食譜'!$B:$B,'食譜'!$D:$D,"")</f>
        <v/>
      </c>
      <c r="BW40" s="52"/>
      <c r="BX40" s="52"/>
      <c r="BY40" s="53"/>
      <c r="BZ40" s="62" t="str">
        <f t="array" ref="BZ40">XLOOKUP(BZ30,'食譜'!$B:$B,'食譜'!$D:$D,"")</f>
        <v/>
      </c>
      <c r="CA40" s="52"/>
      <c r="CB40" s="52"/>
      <c r="CC40" s="53"/>
      <c r="CD40" s="62" t="str">
        <f t="array" ref="CD40">XLOOKUP(CD30,'食譜'!$B:$B,'食譜'!$D:$D,"")</f>
        <v/>
      </c>
      <c r="CE40" s="52"/>
      <c r="CF40" s="52"/>
      <c r="CG40" s="53"/>
      <c r="CH40" s="62" t="str">
        <f t="array" ref="CH40">XLOOKUP(CH30,'食譜'!$B:$B,'食譜'!$D:$D,"")</f>
        <v/>
      </c>
      <c r="CI40" s="52"/>
      <c r="CJ40" s="52"/>
      <c r="CK40" s="53"/>
      <c r="CL40" s="62" t="str">
        <f t="array" ref="CL40">XLOOKUP(CL30,'食譜'!$B:$B,'食譜'!$D:$D,"")</f>
        <v/>
      </c>
      <c r="CM40" s="52"/>
      <c r="CN40" s="52"/>
      <c r="CO40" s="53"/>
      <c r="CP40" s="62" t="str">
        <f t="array" ref="CP40">XLOOKUP(CP30,'食譜'!$B:$B,'食譜'!$D:$D,"")</f>
        <v/>
      </c>
      <c r="CQ40" s="52"/>
      <c r="CR40" s="52"/>
      <c r="CS40" s="53"/>
      <c r="CT40" s="62" t="str">
        <f t="array" ref="CT40">XLOOKUP(CT30,'食譜'!$B:$B,'食譜'!$D:$D,"")</f>
        <v/>
      </c>
      <c r="CU40" s="52"/>
      <c r="CV40" s="52"/>
      <c r="CW40" s="53"/>
      <c r="CX40" s="62" t="str">
        <f t="array" ref="CX40">XLOOKUP(CX30,'食譜'!$B:$B,'食譜'!$D:$D,"")</f>
        <v/>
      </c>
      <c r="CY40" s="52"/>
      <c r="CZ40" s="52"/>
      <c r="DA40" s="53"/>
      <c r="DB40" s="62" t="str">
        <f t="array" ref="DB40">XLOOKUP(DB30,'食譜'!$B:$B,'食譜'!$D:$D,"")</f>
        <v/>
      </c>
      <c r="DC40" s="52"/>
      <c r="DD40" s="52"/>
      <c r="DE40" s="53"/>
      <c r="DF40" s="62" t="str">
        <f t="array" ref="DF40">XLOOKUP(DF30,'食譜'!$B:$B,'食譜'!$D:$D,"")</f>
        <v/>
      </c>
      <c r="DG40" s="52"/>
      <c r="DH40" s="52"/>
      <c r="DI40" s="53"/>
      <c r="DJ40" s="62" t="str">
        <f t="array" ref="DJ40">XLOOKUP(DJ30,'食譜'!$B:$B,'食譜'!$D:$D,"")</f>
        <v/>
      </c>
      <c r="DK40" s="52"/>
      <c r="DL40" s="52"/>
      <c r="DM40" s="53"/>
      <c r="DN40" s="62" t="str">
        <f t="array" ref="DN40">XLOOKUP(DN30,'食譜'!$B:$B,'食譜'!$D:$D,"")</f>
        <v/>
      </c>
      <c r="DO40" s="52"/>
      <c r="DP40" s="52"/>
      <c r="DQ40" s="53"/>
      <c r="DR40" s="62" t="str">
        <f t="array" ref="DR40">XLOOKUP(DR30,'食譜'!$B:$B,'食譜'!$D:$D,"")</f>
        <v/>
      </c>
      <c r="DS40" s="52"/>
      <c r="DT40" s="52"/>
      <c r="DU40" s="53"/>
      <c r="DV40" s="62" t="str">
        <f t="array" ref="DV40">XLOOKUP(DV30,'食譜'!$B:$B,'食譜'!$D:$D,"")</f>
        <v/>
      </c>
      <c r="DW40" s="52"/>
      <c r="DX40" s="52"/>
      <c r="DY40" s="53"/>
      <c r="DZ40" s="62" t="str">
        <f t="array" ref="DZ40">XLOOKUP(DZ30,'食譜'!$B:$B,'食譜'!$D:$D,"")</f>
        <v/>
      </c>
      <c r="EA40" s="52"/>
      <c r="EB40" s="52"/>
      <c r="EC40" s="53"/>
      <c r="ED40" s="62" t="str">
        <f t="array" ref="ED40">XLOOKUP(ED30,'食譜'!$B:$B,'食譜'!$D:$D,"")</f>
        <v/>
      </c>
      <c r="EE40" s="52"/>
      <c r="EF40" s="52"/>
      <c r="EG40" s="53"/>
      <c r="EH40" s="62" t="str">
        <f t="array" ref="EH40">XLOOKUP(EH30,'食譜'!$B:$B,'食譜'!$D:$D,"")</f>
        <v/>
      </c>
      <c r="EI40" s="52"/>
      <c r="EJ40" s="52"/>
      <c r="EK40" s="53"/>
      <c r="EL40" s="1"/>
      <c r="EM40" s="7" t="str">
        <f t="array" ref="EM40">XLOOKUP(EQ40,'食材'!$B:$B,'食材'!$D:$D,"")</f>
        <v/>
      </c>
      <c r="EN40" s="8"/>
      <c r="EO40" s="9">
        <f t="array" ref="EO40">XLOOKUP(EQ40,'食材'!$B:$B,'食材'!$F:$F,"")</f>
        <v>342</v>
      </c>
      <c r="EP40" s="8"/>
      <c r="EQ40" s="10" t="s">
        <v>18</v>
      </c>
      <c r="ER40" s="11"/>
      <c r="ES40" s="11"/>
      <c r="ET40" s="11"/>
      <c r="EU40" s="11"/>
      <c r="EV40" s="11"/>
      <c r="EW40" s="12"/>
      <c r="EX40" s="13"/>
    </row>
    <row r="41" ht="15.0" customHeight="1">
      <c r="A41" s="106">
        <f t="array" ref="A41">XLOOKUP(C41,'食譜'!$B:$B,'食譜'!$F:$F,"")</f>
        <v>0.48</v>
      </c>
      <c r="B41" s="107" t="str">
        <f t="array" ref="B41">XLOOKUP(C41,'食譜'!$B:$B,'食譜'!$A:$A,"")</f>
        <v/>
      </c>
      <c r="C41" s="108" t="str">
        <f>IFERROR(__xludf.DUMMYFUNCTION("""COMPUTED_VALUE"""),"扮演南瓜精濃湯")</f>
        <v>扮演南瓜精濃湯</v>
      </c>
      <c r="D41" s="109">
        <f t="array" ref="D41">XLOOKUP(C41,'食譜'!$B:$B,'食譜'!$H:$H,"")</f>
        <v>15621</v>
      </c>
      <c r="E41" s="110" t="str">
        <f t="array" ref="E41">XLOOKUP(XLOOKUP(C41,'食譜'!$B:$B,'食譜'!$J:$J,""),'食材'!$B:$B,'食材'!$D:$D,"")</f>
        <v/>
      </c>
      <c r="F41" s="110" t="str">
        <f t="array" ref="F41">XLOOKUP(XLOOKUP(C41,'食譜'!$B:$B,'食譜'!$L:$L,""),'食材'!$B:$B,'食材'!$D:$D,"")</f>
        <v/>
      </c>
      <c r="G41" s="110" t="str">
        <f t="array" ref="G41">XLOOKUP(XLOOKUP(C41,'食譜'!$B:$B,'食譜'!$N:$N,""),'食材'!$B:$B,'食材'!$D:$D,"")</f>
        <v/>
      </c>
      <c r="H41" s="110" t="str">
        <f t="array" ref="H41">XLOOKUP(XLOOKUP(C41,'食譜'!$B:$B,'食譜'!$P:$P,""),'食材'!$B:$B,'食材'!$D:$D,"")</f>
        <v/>
      </c>
      <c r="I41" s="111">
        <f t="array" ref="I41">XLOOKUP(C41,'食譜'!$B:$B,'食譜'!$D:$D,"")</f>
        <v>69</v>
      </c>
      <c r="J41" s="140"/>
      <c r="K41" s="9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45"/>
      <c r="AM41" s="46"/>
      <c r="AN41" s="46"/>
      <c r="AO41" s="47"/>
      <c r="AP41" s="38"/>
      <c r="AQ41" s="39"/>
      <c r="AR41" s="39"/>
      <c r="AS41" s="40"/>
      <c r="AT41" s="38"/>
      <c r="AU41" s="39"/>
      <c r="AV41" s="39"/>
      <c r="AW41" s="40"/>
      <c r="AX41" s="38"/>
      <c r="AY41" s="39"/>
      <c r="AZ41" s="39"/>
      <c r="BA41" s="40"/>
      <c r="BB41" s="38"/>
      <c r="BC41" s="39"/>
      <c r="BD41" s="39"/>
      <c r="BE41" s="40"/>
      <c r="BF41" s="38"/>
      <c r="BG41" s="39"/>
      <c r="BH41" s="39"/>
      <c r="BI41" s="40"/>
      <c r="BJ41" s="38"/>
      <c r="BK41" s="39"/>
      <c r="BL41" s="39"/>
      <c r="BM41" s="40"/>
      <c r="BN41" s="38"/>
      <c r="BO41" s="39"/>
      <c r="BP41" s="39"/>
      <c r="BQ41" s="40"/>
      <c r="BR41" s="38"/>
      <c r="BS41" s="39"/>
      <c r="BT41" s="39"/>
      <c r="BU41" s="40"/>
      <c r="BV41" s="38"/>
      <c r="BW41" s="39"/>
      <c r="BX41" s="39"/>
      <c r="BY41" s="40"/>
      <c r="BZ41" s="38"/>
      <c r="CA41" s="39"/>
      <c r="CB41" s="39"/>
      <c r="CC41" s="40"/>
      <c r="CD41" s="38"/>
      <c r="CE41" s="39"/>
      <c r="CF41" s="39"/>
      <c r="CG41" s="40"/>
      <c r="CH41" s="38"/>
      <c r="CI41" s="39"/>
      <c r="CJ41" s="39"/>
      <c r="CK41" s="40"/>
      <c r="CL41" s="38"/>
      <c r="CM41" s="39"/>
      <c r="CN41" s="39"/>
      <c r="CO41" s="40"/>
      <c r="CP41" s="38"/>
      <c r="CQ41" s="39"/>
      <c r="CR41" s="39"/>
      <c r="CS41" s="40"/>
      <c r="CT41" s="38"/>
      <c r="CU41" s="39"/>
      <c r="CV41" s="39"/>
      <c r="CW41" s="40"/>
      <c r="CX41" s="38"/>
      <c r="CY41" s="39"/>
      <c r="CZ41" s="39"/>
      <c r="DA41" s="40"/>
      <c r="DB41" s="38"/>
      <c r="DC41" s="39"/>
      <c r="DD41" s="39"/>
      <c r="DE41" s="40"/>
      <c r="DF41" s="38"/>
      <c r="DG41" s="39"/>
      <c r="DH41" s="39"/>
      <c r="DI41" s="40"/>
      <c r="DJ41" s="38"/>
      <c r="DK41" s="39"/>
      <c r="DL41" s="39"/>
      <c r="DM41" s="40"/>
      <c r="DN41" s="38"/>
      <c r="DO41" s="39"/>
      <c r="DP41" s="39"/>
      <c r="DQ41" s="40"/>
      <c r="DR41" s="38"/>
      <c r="DS41" s="39"/>
      <c r="DT41" s="39"/>
      <c r="DU41" s="40"/>
      <c r="DV41" s="38"/>
      <c r="DW41" s="39"/>
      <c r="DX41" s="39"/>
      <c r="DY41" s="40"/>
      <c r="DZ41" s="38"/>
      <c r="EA41" s="39"/>
      <c r="EB41" s="39"/>
      <c r="EC41" s="40"/>
      <c r="ED41" s="38"/>
      <c r="EE41" s="39"/>
      <c r="EF41" s="39"/>
      <c r="EG41" s="40"/>
      <c r="EH41" s="38"/>
      <c r="EI41" s="39"/>
      <c r="EJ41" s="39"/>
      <c r="EK41" s="40"/>
      <c r="EL41" s="1"/>
      <c r="EM41" s="19"/>
      <c r="EN41" s="20"/>
      <c r="EO41" s="21"/>
      <c r="EP41" s="20"/>
      <c r="EQ41" s="21"/>
      <c r="ER41" s="22"/>
      <c r="ES41" s="22"/>
      <c r="ET41" s="22"/>
      <c r="EU41" s="22"/>
      <c r="EV41" s="22"/>
      <c r="EW41" s="23"/>
      <c r="EX41" s="13"/>
    </row>
    <row r="42" ht="15.0" customHeight="1">
      <c r="A42" s="114"/>
      <c r="B42" s="114"/>
      <c r="C42" s="114"/>
      <c r="D42" s="114"/>
      <c r="E42" s="110">
        <f t="array" ref="E42">XLOOKUP(C41,'食譜'!$B:$B,'食譜'!$K:$K,"")</f>
        <v>10</v>
      </c>
      <c r="F42" s="110">
        <f t="array" ref="F42">XLOOKUP(C41,'食譜'!$B:$B,'食譜'!$M:$M,"")</f>
        <v>16</v>
      </c>
      <c r="G42" s="110">
        <f t="array" ref="G42">XLOOKUP(C41,'食譜'!$B:$B,'食譜'!$O:$O,"")</f>
        <v>18</v>
      </c>
      <c r="H42" s="110">
        <f t="array" ref="H42">XLOOKUP(C41,'食譜'!$B:$B,'食譜'!$Q:$Q,"")</f>
        <v>25</v>
      </c>
      <c r="I42" s="114"/>
      <c r="J42" s="140"/>
      <c r="K42" s="9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41"/>
      <c r="AM42" s="41"/>
      <c r="AN42" s="41"/>
      <c r="AO42" s="41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1"/>
      <c r="EI42" s="1"/>
      <c r="EJ42" s="1"/>
      <c r="EK42" s="1"/>
      <c r="EL42" s="1"/>
      <c r="EM42" s="1"/>
      <c r="EN42" s="1"/>
      <c r="EO42" s="1"/>
      <c r="EP42" s="1"/>
      <c r="EQ42" s="43"/>
      <c r="ER42" s="43"/>
      <c r="ES42" s="43"/>
      <c r="ET42" s="43"/>
      <c r="EU42" s="43"/>
      <c r="EV42" s="43"/>
      <c r="EW42" s="43"/>
      <c r="EX42" s="43"/>
    </row>
    <row r="43" ht="15.0" customHeight="1">
      <c r="A43" s="106">
        <f t="array" ref="A43">XLOOKUP(C43,'食譜'!$B:$B,'食譜'!$F:$F,"")</f>
        <v>0.61</v>
      </c>
      <c r="B43" s="107" t="str">
        <f t="array" ref="B43">XLOOKUP(C43,'食譜'!$B:$B,'食譜'!$A:$A,"")</f>
        <v/>
      </c>
      <c r="C43" s="108" t="str">
        <f>IFERROR(__xludf.DUMMYFUNCTION("""COMPUTED_VALUE"""),"覺醒力量濃湯")</f>
        <v>覺醒力量濃湯</v>
      </c>
      <c r="D43" s="109">
        <f t="array" ref="D43">XLOOKUP(C43,'食譜'!$B:$B,'食譜'!$H:$H,"")</f>
        <v>19061</v>
      </c>
      <c r="E43" s="110" t="str">
        <f t="array" ref="E43">XLOOKUP(XLOOKUP(C43,'食譜'!$B:$B,'食譜'!$J:$J,""),'食材'!$B:$B,'食材'!$D:$D,"")</f>
        <v/>
      </c>
      <c r="F43" s="110" t="str">
        <f t="array" ref="F43">XLOOKUP(XLOOKUP(C43,'食譜'!$B:$B,'食譜'!$L:$L,""),'食材'!$B:$B,'食材'!$D:$D,"")</f>
        <v/>
      </c>
      <c r="G43" s="110" t="str">
        <f t="array" ref="G43">XLOOKUP(XLOOKUP(C43,'食譜'!$B:$B,'食譜'!$N:$N,""),'食材'!$B:$B,'食材'!$D:$D,"")</f>
        <v/>
      </c>
      <c r="H43" s="110" t="str">
        <f t="array" ref="H43">XLOOKUP(XLOOKUP(C43,'食譜'!$B:$B,'食譜'!$P:$P,""),'食材'!$B:$B,'食材'!$D:$D,"")</f>
        <v/>
      </c>
      <c r="I43" s="111">
        <f t="array" ref="I43">XLOOKUP(C43,'食譜'!$B:$B,'食譜'!$D:$D,"")</f>
        <v>92</v>
      </c>
      <c r="J43" s="140"/>
      <c r="K43" s="9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41"/>
      <c r="AM43" s="41"/>
      <c r="AN43" s="41"/>
      <c r="AO43" s="41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ht="15.0" customHeight="1">
      <c r="A44" s="114"/>
      <c r="B44" s="114"/>
      <c r="C44" s="114"/>
      <c r="D44" s="114"/>
      <c r="E44" s="110">
        <f t="array" ref="E44">XLOOKUP(C43,'食譜'!$B:$B,'食譜'!$K:$K,"")</f>
        <v>28</v>
      </c>
      <c r="F44" s="110">
        <f t="array" ref="F44">XLOOKUP(C43,'食譜'!$B:$B,'食譜'!$M:$M,"")</f>
        <v>25</v>
      </c>
      <c r="G44" s="110">
        <f t="array" ref="G44">XLOOKUP(C43,'食譜'!$B:$B,'食譜'!$O:$O,"")</f>
        <v>23</v>
      </c>
      <c r="H44" s="110">
        <f t="array" ref="H44">XLOOKUP(C43,'食譜'!$B:$B,'食譜'!$Q:$Q,"")</f>
        <v>16</v>
      </c>
      <c r="I44" s="114"/>
      <c r="J44" s="140"/>
      <c r="K44" s="9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63" t="str">
        <f t="array" ref="AL44">XLOOKUP("拌拌果汁",'食譜'!B:B,'食譜'!A:A,"")</f>
        <v/>
      </c>
      <c r="AM44" s="5"/>
      <c r="AN44" s="5"/>
      <c r="AO44" s="6"/>
      <c r="AP44" s="63">
        <f t="array" ref="AP44">XLOOKUP(AP50,'食譜'!$B:$B,'食譜'!$F:$F,"")</f>
        <v>0.19</v>
      </c>
      <c r="AQ44" s="5"/>
      <c r="AR44" s="5"/>
      <c r="AS44" s="6"/>
      <c r="AT44" s="63">
        <f t="array" ref="AT44">XLOOKUP(AT50,'食譜'!$B:$B,'食譜'!$F:$F,"")</f>
        <v>0.19</v>
      </c>
      <c r="AU44" s="5"/>
      <c r="AV44" s="5"/>
      <c r="AW44" s="6"/>
      <c r="AX44" s="63">
        <f t="array" ref="AX44">XLOOKUP(AX50,'食譜'!$B:$B,'食譜'!$F:$F,"")</f>
        <v>0.19</v>
      </c>
      <c r="AY44" s="5"/>
      <c r="AZ44" s="5"/>
      <c r="BA44" s="6"/>
      <c r="BB44" s="63">
        <f t="array" ref="BB44">XLOOKUP(BB50,'食譜'!$B:$B,'食譜'!$F:$F,"")</f>
        <v>0.19</v>
      </c>
      <c r="BC44" s="5"/>
      <c r="BD44" s="5"/>
      <c r="BE44" s="6"/>
      <c r="BF44" s="63">
        <f t="array" ref="BF44">XLOOKUP(BF50,'食譜'!$B:$B,'食譜'!$F:$F,"")</f>
        <v>0.19</v>
      </c>
      <c r="BG44" s="5"/>
      <c r="BH44" s="5"/>
      <c r="BI44" s="6"/>
      <c r="BJ44" s="63">
        <f t="array" ref="BJ44">XLOOKUP(BJ50,'食譜'!$B:$B,'食譜'!$F:$F,"")</f>
        <v>0.19</v>
      </c>
      <c r="BK44" s="5"/>
      <c r="BL44" s="5"/>
      <c r="BM44" s="6"/>
      <c r="BN44" s="63">
        <f t="array" ref="BN44">XLOOKUP(BN50,'食譜'!$B:$B,'食譜'!$F:$F,"")</f>
        <v>0.19</v>
      </c>
      <c r="BO44" s="5"/>
      <c r="BP44" s="5"/>
      <c r="BQ44" s="6"/>
      <c r="BR44" s="63">
        <f t="array" ref="BR44">XLOOKUP(BR50,'食譜'!$B:$B,'食譜'!$F:$F,"")</f>
        <v>0.19</v>
      </c>
      <c r="BS44" s="5"/>
      <c r="BT44" s="5"/>
      <c r="BU44" s="6"/>
      <c r="BV44" s="63">
        <f t="array" ref="BV44">XLOOKUP(BV50,'食譜'!$B:$B,'食譜'!$F:$F,"")</f>
        <v>0.21</v>
      </c>
      <c r="BW44" s="5"/>
      <c r="BX44" s="5"/>
      <c r="BY44" s="6"/>
      <c r="BZ44" s="63">
        <f t="array" ref="BZ44">XLOOKUP(BZ50,'食譜'!$B:$B,'食譜'!$F:$F,"")</f>
        <v>0.2</v>
      </c>
      <c r="CA44" s="5"/>
      <c r="CB44" s="5"/>
      <c r="CC44" s="6"/>
      <c r="CD44" s="63">
        <f t="array" ref="CD44">XLOOKUP(CD50,'食譜'!$B:$B,'食譜'!$F:$F,"")</f>
        <v>0.25</v>
      </c>
      <c r="CE44" s="5"/>
      <c r="CF44" s="5"/>
      <c r="CG44" s="6"/>
      <c r="CH44" s="63">
        <f t="array" ref="CH44">XLOOKUP(CH50,'食譜'!$B:$B,'食譜'!$F:$F,"")</f>
        <v>0.21</v>
      </c>
      <c r="CI44" s="5"/>
      <c r="CJ44" s="5"/>
      <c r="CK44" s="6"/>
      <c r="CL44" s="63">
        <f t="array" ref="CL44">XLOOKUP(CL50,'食譜'!$B:$B,'食譜'!$F:$F,"")</f>
        <v>0.25</v>
      </c>
      <c r="CM44" s="5"/>
      <c r="CN44" s="5"/>
      <c r="CO44" s="6"/>
      <c r="CP44" s="63">
        <f t="array" ref="CP44">XLOOKUP(CP50,'食譜'!$B:$B,'食譜'!$F:$F,"")</f>
        <v>0.25</v>
      </c>
      <c r="CQ44" s="5"/>
      <c r="CR44" s="5"/>
      <c r="CS44" s="6"/>
      <c r="CT44" s="63">
        <f t="array" ref="CT44">XLOOKUP(CT50,'食譜'!$B:$B,'食譜'!$F:$F,"")</f>
        <v>0.25</v>
      </c>
      <c r="CU44" s="5"/>
      <c r="CV44" s="5"/>
      <c r="CW44" s="6"/>
      <c r="CX44" s="63">
        <f t="array" ref="CX44">XLOOKUP(CX50,'食譜'!$B:$B,'食譜'!$F:$F,"")</f>
        <v>0.35</v>
      </c>
      <c r="CY44" s="5"/>
      <c r="CZ44" s="5"/>
      <c r="DA44" s="6"/>
      <c r="DB44" s="63">
        <f t="array" ref="DB44">XLOOKUP(DB50,'食譜'!$B:$B,'食譜'!$F:$F,"")</f>
        <v>0.35</v>
      </c>
      <c r="DC44" s="5"/>
      <c r="DD44" s="5"/>
      <c r="DE44" s="6"/>
      <c r="DF44" s="63">
        <f t="array" ref="DF44">XLOOKUP(DF50,'食譜'!$B:$B,'食譜'!$F:$F,"")</f>
        <v>0.35</v>
      </c>
      <c r="DG44" s="5"/>
      <c r="DH44" s="5"/>
      <c r="DI44" s="6"/>
      <c r="DJ44" s="63">
        <f t="array" ref="DJ44">XLOOKUP(DJ50,'食譜'!$B:$B,'食譜'!$F:$F,"")</f>
        <v>0.35</v>
      </c>
      <c r="DK44" s="5"/>
      <c r="DL44" s="5"/>
      <c r="DM44" s="6"/>
      <c r="DN44" s="63">
        <f t="array" ref="DN44">XLOOKUP(DN50,'食譜'!$B:$B,'食譜'!$F:$F,"")</f>
        <v>0.35</v>
      </c>
      <c r="DO44" s="5"/>
      <c r="DP44" s="5"/>
      <c r="DQ44" s="6"/>
      <c r="DR44" s="63">
        <f t="array" ref="DR44">XLOOKUP(DR50,'食譜'!$B:$B,'食譜'!$F:$F,"")</f>
        <v>0.35</v>
      </c>
      <c r="DS44" s="5"/>
      <c r="DT44" s="5"/>
      <c r="DU44" s="6"/>
      <c r="DV44" s="63">
        <f t="array" ref="DV44">XLOOKUP(DV50,'食譜'!$B:$B,'食譜'!$F:$F,"")</f>
        <v>0.48</v>
      </c>
      <c r="DW44" s="5"/>
      <c r="DX44" s="5"/>
      <c r="DY44" s="6"/>
      <c r="DZ44" s="63">
        <f t="array" ref="DZ44">XLOOKUP(DZ50,'食譜'!$B:$B,'食譜'!$F:$F,"")</f>
        <v>0.48</v>
      </c>
      <c r="EA44" s="5"/>
      <c r="EB44" s="5"/>
      <c r="EC44" s="6"/>
      <c r="ED44" s="63">
        <f t="array" ref="ED44">XLOOKUP(ED50,'食譜'!$B:$B,'食譜'!$F:$F,"")</f>
        <v>0.61</v>
      </c>
      <c r="EE44" s="5"/>
      <c r="EF44" s="5"/>
      <c r="EG44" s="6"/>
      <c r="EH44" s="64">
        <f t="array" ref="EH44">XLOOKUP(EH50,'食譜'!$B:$B,'食譜'!$F:$F,"")</f>
        <v>0.61</v>
      </c>
      <c r="EK44" s="15"/>
      <c r="EL44" s="64">
        <f t="array" ref="EL44">XLOOKUP(EL50,'食譜'!$B:$B,'食譜'!$F:$F,"")</f>
        <v>0.78</v>
      </c>
      <c r="EO44" s="15"/>
      <c r="EP44" s="1"/>
      <c r="EQ44" s="43"/>
      <c r="ER44" s="43"/>
      <c r="ES44" s="43"/>
      <c r="ET44" s="43"/>
      <c r="EU44" s="43"/>
      <c r="EV44" s="43"/>
      <c r="EW44" s="43"/>
      <c r="EX44" s="43"/>
    </row>
    <row r="45" ht="15.0" customHeight="1">
      <c r="A45" s="106">
        <f t="array" ref="A45">XLOOKUP(C45,'食譜'!$B:$B,'食譜'!$F:$F,"")</f>
        <v>0.61</v>
      </c>
      <c r="B45" s="107" t="str">
        <f t="array" ref="B45">XLOOKUP(C45,'食譜'!$B:$B,'食譜'!$A:$A,"")</f>
        <v/>
      </c>
      <c r="C45" s="108" t="str">
        <f>IFERROR(__xludf.DUMMYFUNCTION("""COMPUTED_VALUE"""),"居合斬壽喜燒咖哩")</f>
        <v>居合斬壽喜燒咖哩</v>
      </c>
      <c r="D45" s="109">
        <f t="array" ref="D45">XLOOKUP(C45,'食譜'!$B:$B,'食譜'!$H:$H,"")</f>
        <v>20655</v>
      </c>
      <c r="E45" s="110" t="str">
        <f t="array" ref="E45">XLOOKUP(XLOOKUP(C45,'食譜'!$B:$B,'食譜'!$J:$J,""),'食材'!$B:$B,'食材'!$D:$D,"")</f>
        <v/>
      </c>
      <c r="F45" s="110" t="str">
        <f t="array" ref="F45">XLOOKUP(XLOOKUP(C45,'食譜'!$B:$B,'食譜'!$L:$L,""),'食材'!$B:$B,'食材'!$D:$D,"")</f>
        <v/>
      </c>
      <c r="G45" s="110" t="str">
        <f t="array" ref="G45">XLOOKUP(XLOOKUP(C45,'食譜'!$B:$B,'食譜'!$N:$N,""),'食材'!$B:$B,'食材'!$D:$D,"")</f>
        <v/>
      </c>
      <c r="H45" s="110" t="str">
        <f t="array" ref="H45">XLOOKUP(XLOOKUP(C45,'食譜'!$B:$B,'食譜'!$P:$P,""),'食材'!$B:$B,'食材'!$D:$D,"")</f>
        <v/>
      </c>
      <c r="I45" s="111">
        <f t="array" ref="I45">XLOOKUP(C45,'食譜'!$B:$B,'食譜'!$D:$D,"")</f>
        <v>101</v>
      </c>
      <c r="J45" s="140"/>
      <c r="K45" s="9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4"/>
      <c r="AO45" s="15"/>
      <c r="AP45" s="66"/>
      <c r="AQ45" s="67"/>
      <c r="AR45" s="67"/>
      <c r="AS45" s="68"/>
      <c r="AT45" s="66"/>
      <c r="AU45" s="67"/>
      <c r="AV45" s="67"/>
      <c r="AW45" s="68"/>
      <c r="AX45" s="66"/>
      <c r="AY45" s="67"/>
      <c r="AZ45" s="67"/>
      <c r="BA45" s="68"/>
      <c r="BB45" s="66"/>
      <c r="BC45" s="67"/>
      <c r="BD45" s="67"/>
      <c r="BE45" s="68"/>
      <c r="BF45" s="66"/>
      <c r="BG45" s="67"/>
      <c r="BH45" s="67"/>
      <c r="BI45" s="68"/>
      <c r="BJ45" s="66"/>
      <c r="BK45" s="67"/>
      <c r="BL45" s="67"/>
      <c r="BM45" s="68"/>
      <c r="BN45" s="66"/>
      <c r="BO45" s="67"/>
      <c r="BP45" s="67"/>
      <c r="BQ45" s="68"/>
      <c r="BR45" s="66"/>
      <c r="BS45" s="67"/>
      <c r="BT45" s="67"/>
      <c r="BU45" s="68"/>
      <c r="BV45" s="66"/>
      <c r="BW45" s="67"/>
      <c r="BX45" s="67"/>
      <c r="BY45" s="68"/>
      <c r="BZ45" s="66"/>
      <c r="CA45" s="67"/>
      <c r="CB45" s="67"/>
      <c r="CC45" s="68"/>
      <c r="CD45" s="66"/>
      <c r="CE45" s="67"/>
      <c r="CF45" s="67"/>
      <c r="CG45" s="68"/>
      <c r="CH45" s="66"/>
      <c r="CI45" s="67"/>
      <c r="CJ45" s="67"/>
      <c r="CK45" s="68"/>
      <c r="CL45" s="66"/>
      <c r="CM45" s="67"/>
      <c r="CN45" s="67"/>
      <c r="CO45" s="68"/>
      <c r="CP45" s="66"/>
      <c r="CQ45" s="67"/>
      <c r="CR45" s="67"/>
      <c r="CS45" s="68"/>
      <c r="CT45" s="66"/>
      <c r="CU45" s="67"/>
      <c r="CV45" s="67"/>
      <c r="CW45" s="68"/>
      <c r="CX45" s="66"/>
      <c r="CY45" s="67"/>
      <c r="CZ45" s="67"/>
      <c r="DA45" s="68"/>
      <c r="DB45" s="66"/>
      <c r="DC45" s="67"/>
      <c r="DD45" s="67"/>
      <c r="DE45" s="68"/>
      <c r="DF45" s="66"/>
      <c r="DG45" s="67"/>
      <c r="DH45" s="67"/>
      <c r="DI45" s="68"/>
      <c r="DJ45" s="66"/>
      <c r="DK45" s="67"/>
      <c r="DL45" s="67"/>
      <c r="DM45" s="68"/>
      <c r="DN45" s="66"/>
      <c r="DO45" s="67"/>
      <c r="DP45" s="67"/>
      <c r="DQ45" s="68"/>
      <c r="DR45" s="66"/>
      <c r="DS45" s="67"/>
      <c r="DT45" s="67"/>
      <c r="DU45" s="68"/>
      <c r="DV45" s="66"/>
      <c r="DW45" s="67"/>
      <c r="DX45" s="67"/>
      <c r="DY45" s="68"/>
      <c r="DZ45" s="66"/>
      <c r="EA45" s="67"/>
      <c r="EB45" s="67"/>
      <c r="EC45" s="68"/>
      <c r="ED45" s="66"/>
      <c r="EE45" s="67"/>
      <c r="EF45" s="67"/>
      <c r="EG45" s="68"/>
      <c r="EH45" s="66"/>
      <c r="EI45" s="67"/>
      <c r="EJ45" s="67"/>
      <c r="EK45" s="68"/>
      <c r="EL45" s="66"/>
      <c r="EM45" s="67"/>
      <c r="EN45" s="67"/>
      <c r="EO45" s="68"/>
      <c r="EP45" s="1"/>
      <c r="EQ45" s="1"/>
      <c r="ER45" s="1"/>
      <c r="ES45" s="1"/>
      <c r="ET45" s="1"/>
      <c r="EU45" s="1"/>
      <c r="EV45" s="1"/>
      <c r="EW45" s="1"/>
      <c r="EX45" s="1"/>
    </row>
    <row r="46" ht="15.0" customHeight="1">
      <c r="A46" s="114"/>
      <c r="B46" s="114"/>
      <c r="C46" s="114"/>
      <c r="D46" s="114"/>
      <c r="E46" s="110">
        <f t="array" ref="E46">XLOOKUP(C45,'食譜'!$B:$B,'食譜'!$K:$K,"")</f>
        <v>27</v>
      </c>
      <c r="F46" s="110">
        <f t="array" ref="F46">XLOOKUP(C45,'食譜'!$B:$B,'食譜'!$M:$M,"")</f>
        <v>26</v>
      </c>
      <c r="G46" s="110">
        <f t="array" ref="G46">XLOOKUP(C45,'食譜'!$B:$B,'食譜'!$O:$O,"")</f>
        <v>26</v>
      </c>
      <c r="H46" s="110">
        <f t="array" ref="H46">XLOOKUP(C45,'食譜'!$B:$B,'食譜'!$Q:$Q,"")</f>
        <v>22</v>
      </c>
      <c r="I46" s="114"/>
      <c r="J46" s="140"/>
      <c r="K46" s="9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4"/>
      <c r="AO46" s="15"/>
      <c r="AP46" s="69">
        <f t="array" ref="AP46">XLOOKUP(AP50,'食譜'!$B:$B,'食譜'!$H:$H,"")</f>
        <v>814</v>
      </c>
      <c r="AQ46" s="70"/>
      <c r="AR46" s="70"/>
      <c r="AS46" s="71"/>
      <c r="AT46" s="69">
        <f t="array" ref="AT46">XLOOKUP(AT50,'食譜'!$B:$B,'食譜'!$H:$H,"")</f>
        <v>855</v>
      </c>
      <c r="AU46" s="70"/>
      <c r="AV46" s="70"/>
      <c r="AW46" s="71"/>
      <c r="AX46" s="69">
        <f t="array" ref="AX46">XLOOKUP(AX50,'食譜'!$B:$B,'食譜'!$H:$H,"")</f>
        <v>1079</v>
      </c>
      <c r="AY46" s="70"/>
      <c r="AZ46" s="70"/>
      <c r="BA46" s="71"/>
      <c r="BB46" s="69">
        <f t="array" ref="BB46">XLOOKUP(BB50,'食譜'!$B:$B,'食譜'!$H:$H,"")</f>
        <v>1748</v>
      </c>
      <c r="BC46" s="70"/>
      <c r="BD46" s="70"/>
      <c r="BE46" s="71"/>
      <c r="BF46" s="69">
        <f t="array" ref="BF46">XLOOKUP(BF50,'食譜'!$B:$B,'食譜'!$H:$H,"")</f>
        <v>1907</v>
      </c>
      <c r="BG46" s="70"/>
      <c r="BH46" s="70"/>
      <c r="BI46" s="71"/>
      <c r="BJ46" s="69">
        <f t="array" ref="BJ46">XLOOKUP(BJ50,'食譜'!$B:$B,'食譜'!$H:$H,"")</f>
        <v>1913</v>
      </c>
      <c r="BK46" s="70"/>
      <c r="BL46" s="70"/>
      <c r="BM46" s="71"/>
      <c r="BN46" s="69">
        <f t="array" ref="BN46">XLOOKUP(BN50,'食譜'!$B:$B,'食譜'!$H:$H,"")</f>
        <v>1924</v>
      </c>
      <c r="BO46" s="70"/>
      <c r="BP46" s="70"/>
      <c r="BQ46" s="71"/>
      <c r="BR46" s="69">
        <f t="array" ref="BR46">XLOOKUP(BR50,'食譜'!$B:$B,'食譜'!$H:$H,"")</f>
        <v>1924</v>
      </c>
      <c r="BS46" s="70"/>
      <c r="BT46" s="70"/>
      <c r="BU46" s="71"/>
      <c r="BV46" s="69">
        <f t="array" ref="BV46">XLOOKUP(BV50,'食譜'!$B:$B,'食譜'!$H:$H,"")</f>
        <v>3015</v>
      </c>
      <c r="BW46" s="70"/>
      <c r="BX46" s="70"/>
      <c r="BY46" s="71"/>
      <c r="BZ46" s="69">
        <f t="array" ref="BZ46">XLOOKUP(BZ50,'食譜'!$B:$B,'食譜'!$H:$H,"")</f>
        <v>3263</v>
      </c>
      <c r="CA46" s="70"/>
      <c r="CB46" s="70"/>
      <c r="CC46" s="71"/>
      <c r="CD46" s="69">
        <f t="array" ref="CD46">XLOOKUP(CD50,'食譜'!$B:$B,'食譜'!$H:$H,"")</f>
        <v>3314</v>
      </c>
      <c r="CE46" s="70"/>
      <c r="CF46" s="70"/>
      <c r="CG46" s="71"/>
      <c r="CH46" s="69">
        <f t="array" ref="CH46">XLOOKUP(CH50,'食譜'!$B:$B,'食譜'!$H:$H,"")</f>
        <v>3378</v>
      </c>
      <c r="CI46" s="70"/>
      <c r="CJ46" s="70"/>
      <c r="CK46" s="71"/>
      <c r="CL46" s="69">
        <f t="array" ref="CL46">XLOOKUP(CL50,'食譜'!$B:$B,'食譜'!$H:$H,"")</f>
        <v>4734</v>
      </c>
      <c r="CM46" s="70"/>
      <c r="CN46" s="70"/>
      <c r="CO46" s="71"/>
      <c r="CP46" s="69">
        <f t="array" ref="CP46">XLOOKUP(CP50,'食譜'!$B:$B,'食譜'!$H:$H,"")</f>
        <v>4921</v>
      </c>
      <c r="CQ46" s="70"/>
      <c r="CR46" s="70"/>
      <c r="CS46" s="71"/>
      <c r="CT46" s="69">
        <f t="array" ref="CT46">XLOOKUP(CT50,'食譜'!$B:$B,'食譜'!$H:$H,"")</f>
        <v>5065</v>
      </c>
      <c r="CU46" s="70"/>
      <c r="CV46" s="70"/>
      <c r="CW46" s="71"/>
      <c r="CX46" s="69">
        <f t="array" ref="CX46">XLOOKUP(CX50,'食譜'!$B:$B,'食譜'!$H:$H,"")</f>
        <v>5547</v>
      </c>
      <c r="CY46" s="70"/>
      <c r="CZ46" s="70"/>
      <c r="DA46" s="71"/>
      <c r="DB46" s="69">
        <f t="array" ref="DB46">XLOOKUP(DB50,'食譜'!$B:$B,'食譜'!$H:$H,"")</f>
        <v>6048</v>
      </c>
      <c r="DC46" s="70"/>
      <c r="DD46" s="70"/>
      <c r="DE46" s="71"/>
      <c r="DF46" s="69">
        <f t="array" ref="DF46">XLOOKUP(DF50,'食譜'!$B:$B,'食譜'!$H:$H,"")</f>
        <v>6793</v>
      </c>
      <c r="DG46" s="70"/>
      <c r="DH46" s="70"/>
      <c r="DI46" s="71"/>
      <c r="DJ46" s="69">
        <f t="array" ref="DJ46">XLOOKUP(DJ50,'食譜'!$B:$B,'食譜'!$H:$H,"")</f>
        <v>7125</v>
      </c>
      <c r="DK46" s="70"/>
      <c r="DL46" s="70"/>
      <c r="DM46" s="71"/>
      <c r="DN46" s="69">
        <f t="array" ref="DN46">XLOOKUP(DN50,'食譜'!$B:$B,'食譜'!$H:$H,"")</f>
        <v>7594</v>
      </c>
      <c r="DO46" s="70"/>
      <c r="DP46" s="70"/>
      <c r="DQ46" s="71"/>
      <c r="DR46" s="69">
        <f t="array" ref="DR46">XLOOKUP(DR50,'食譜'!$B:$B,'食譜'!$H:$H,"")</f>
        <v>8165</v>
      </c>
      <c r="DS46" s="70"/>
      <c r="DT46" s="70"/>
      <c r="DU46" s="71"/>
      <c r="DV46" s="69">
        <f t="array" ref="DV46">XLOOKUP(DV50,'食譜'!$B:$B,'食譜'!$H:$H,"")</f>
        <v>10925</v>
      </c>
      <c r="DW46" s="70"/>
      <c r="DX46" s="70"/>
      <c r="DY46" s="71"/>
      <c r="DZ46" s="69">
        <f t="array" ref="DZ46">XLOOKUP(DZ50,'食譜'!$B:$B,'食譜'!$H:$H,"")</f>
        <v>13834</v>
      </c>
      <c r="EA46" s="70"/>
      <c r="EB46" s="70"/>
      <c r="EC46" s="71"/>
      <c r="ED46" s="69">
        <f t="array" ref="ED46">XLOOKUP(ED50,'食譜'!$B:$B,'食譜'!$H:$H,"")</f>
        <v>17494</v>
      </c>
      <c r="EE46" s="70"/>
      <c r="EF46" s="70"/>
      <c r="EG46" s="71"/>
      <c r="EH46" s="69">
        <f t="array" ref="EH46">XLOOKUP(EH50,'食譜'!$B:$B,'食譜'!$H:$H,"")</f>
        <v>20885</v>
      </c>
      <c r="EI46" s="70"/>
      <c r="EJ46" s="70"/>
      <c r="EK46" s="71"/>
      <c r="EL46" s="69">
        <f t="array" ref="EL46">XLOOKUP(EL50,'食譜'!$B:$B,'食譜'!$H:$H,"")</f>
        <v>24354</v>
      </c>
      <c r="EM46" s="70"/>
      <c r="EN46" s="70"/>
      <c r="EO46" s="71"/>
      <c r="EP46" s="1"/>
      <c r="EQ46" s="1"/>
      <c r="ER46" s="1"/>
      <c r="ES46" s="1"/>
      <c r="ET46" s="1"/>
      <c r="EU46" s="1"/>
      <c r="EV46" s="1"/>
      <c r="EW46" s="1"/>
      <c r="EX46" s="1"/>
    </row>
    <row r="47" ht="15.0" customHeight="1">
      <c r="A47" s="106">
        <f t="array" ref="A47">XLOOKUP(C47,'食譜'!$B:$B,'食譜'!$F:$F,"")</f>
        <v>0.78</v>
      </c>
      <c r="B47" s="107" t="str">
        <f t="array" ref="B47">XLOOKUP(C47,'食譜'!$B:$B,'食譜'!$A:$A,"")</f>
        <v/>
      </c>
      <c r="C47" s="108" t="str">
        <f>IFERROR(__xludf.DUMMYFUNCTION("""COMPUTED_VALUE"""),"茂盛焗烤酪梨")</f>
        <v>茂盛焗烤酪梨</v>
      </c>
      <c r="D47" s="109">
        <f t="array" ref="D47">XLOOKUP(C47,'食譜'!$B:$B,'食譜'!$H:$H,"")</f>
        <v>24802</v>
      </c>
      <c r="E47" s="110" t="str">
        <f t="array" ref="E47">XLOOKUP(XLOOKUP(C47,'食譜'!$B:$B,'食譜'!$J:$J,""),'食材'!$B:$B,'食材'!$D:$D,"")</f>
        <v/>
      </c>
      <c r="F47" s="110" t="str">
        <f t="array" ref="F47">XLOOKUP(XLOOKUP(C47,'食譜'!$B:$B,'食譜'!$L:$L,""),'食材'!$B:$B,'食材'!$D:$D,"")</f>
        <v/>
      </c>
      <c r="G47" s="110" t="str">
        <f t="array" ref="G47">XLOOKUP(XLOOKUP(C47,'食譜'!$B:$B,'食譜'!$N:$N,""),'食材'!$B:$B,'食材'!$D:$D,"")</f>
        <v/>
      </c>
      <c r="H47" s="110" t="str">
        <f t="array" ref="H47">XLOOKUP(XLOOKUP(C47,'食譜'!$B:$B,'食譜'!$P:$P,""),'食材'!$B:$B,'食材'!$D:$D,"")</f>
        <v/>
      </c>
      <c r="I47" s="111">
        <f t="array" ref="I47">XLOOKUP(C47,'食譜'!$B:$B,'食譜'!$D:$D,"")</f>
        <v>115</v>
      </c>
      <c r="J47" s="140"/>
      <c r="K47" s="9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4"/>
      <c r="AO47" s="15"/>
      <c r="AP47" s="72" t="str">
        <f t="array" ref="AP47">XLOOKUP(AP50,'食譜'!$B:$B,'食譜'!$A:$A,"")</f>
        <v/>
      </c>
      <c r="AQ47" s="73"/>
      <c r="AR47" s="73"/>
      <c r="AS47" s="74"/>
      <c r="AT47" s="72" t="str">
        <f t="array" ref="AT47">XLOOKUP(AT50,'食譜'!$B:$B,'食譜'!$A:$A,"")</f>
        <v/>
      </c>
      <c r="AU47" s="73"/>
      <c r="AV47" s="73"/>
      <c r="AW47" s="74"/>
      <c r="AX47" s="72" t="str">
        <f t="array" ref="AX47">XLOOKUP(AX50,'食譜'!$B:$B,'食譜'!$A:$A,"")</f>
        <v/>
      </c>
      <c r="AY47" s="73"/>
      <c r="AZ47" s="73"/>
      <c r="BA47" s="74"/>
      <c r="BB47" s="72" t="str">
        <f t="array" ref="BB47">XLOOKUP(BB50,'食譜'!$B:$B,'食譜'!$A:$A,"")</f>
        <v/>
      </c>
      <c r="BC47" s="73"/>
      <c r="BD47" s="73"/>
      <c r="BE47" s="74"/>
      <c r="BF47" s="72" t="str">
        <f t="array" ref="BF47">XLOOKUP(BF50,'食譜'!$B:$B,'食譜'!$A:$A,"")</f>
        <v/>
      </c>
      <c r="BG47" s="73"/>
      <c r="BH47" s="73"/>
      <c r="BI47" s="74"/>
      <c r="BJ47" s="72" t="str">
        <f t="array" ref="BJ47">XLOOKUP(BJ50,'食譜'!$B:$B,'食譜'!$A:$A,"")</f>
        <v/>
      </c>
      <c r="BK47" s="73"/>
      <c r="BL47" s="73"/>
      <c r="BM47" s="74"/>
      <c r="BN47" s="72" t="str">
        <f t="array" ref="BN47">XLOOKUP(BN50,'食譜'!$B:$B,'食譜'!$A:$A,"")</f>
        <v/>
      </c>
      <c r="BO47" s="73"/>
      <c r="BP47" s="73"/>
      <c r="BQ47" s="74"/>
      <c r="BR47" s="72" t="str">
        <f t="array" ref="BR47">XLOOKUP(BR50,'食譜'!$B:$B,'食譜'!$A:$A,"")</f>
        <v/>
      </c>
      <c r="BS47" s="73"/>
      <c r="BT47" s="73"/>
      <c r="BU47" s="74"/>
      <c r="BV47" s="72" t="str">
        <f t="array" ref="BV47">XLOOKUP(BV50,'食譜'!$B:$B,'食譜'!$A:$A,"")</f>
        <v/>
      </c>
      <c r="BW47" s="73"/>
      <c r="BX47" s="73"/>
      <c r="BY47" s="74"/>
      <c r="BZ47" s="72" t="str">
        <f t="array" ref="BZ47">XLOOKUP(BZ50,'食譜'!$B:$B,'食譜'!$A:$A,"")</f>
        <v/>
      </c>
      <c r="CA47" s="73"/>
      <c r="CB47" s="73"/>
      <c r="CC47" s="74"/>
      <c r="CD47" s="72" t="str">
        <f t="array" ref="CD47">XLOOKUP(CD50,'食譜'!$B:$B,'食譜'!$A:$A,"")</f>
        <v/>
      </c>
      <c r="CE47" s="73"/>
      <c r="CF47" s="73"/>
      <c r="CG47" s="74"/>
      <c r="CH47" s="72" t="str">
        <f t="array" ref="CH47">XLOOKUP(CH50,'食譜'!$B:$B,'食譜'!$A:$A,"")</f>
        <v/>
      </c>
      <c r="CI47" s="73"/>
      <c r="CJ47" s="73"/>
      <c r="CK47" s="74"/>
      <c r="CL47" s="72" t="str">
        <f t="array" ref="CL47">XLOOKUP(CL50,'食譜'!$B:$B,'食譜'!$A:$A,"")</f>
        <v/>
      </c>
      <c r="CM47" s="73"/>
      <c r="CN47" s="73"/>
      <c r="CO47" s="74"/>
      <c r="CP47" s="72" t="str">
        <f t="array" ref="CP47">XLOOKUP(CP50,'食譜'!$B:$B,'食譜'!$A:$A,"")</f>
        <v/>
      </c>
      <c r="CQ47" s="73"/>
      <c r="CR47" s="73"/>
      <c r="CS47" s="74"/>
      <c r="CT47" s="72" t="str">
        <f t="array" ref="CT47">XLOOKUP(CT50,'食譜'!$B:$B,'食譜'!$A:$A,"")</f>
        <v/>
      </c>
      <c r="CU47" s="73"/>
      <c r="CV47" s="73"/>
      <c r="CW47" s="74"/>
      <c r="CX47" s="72" t="str">
        <f t="array" ref="CX47">XLOOKUP(CX50,'食譜'!$B:$B,'食譜'!$A:$A,"")</f>
        <v/>
      </c>
      <c r="CY47" s="73"/>
      <c r="CZ47" s="73"/>
      <c r="DA47" s="74"/>
      <c r="DB47" s="72" t="str">
        <f t="array" ref="DB47">XLOOKUP(DB50,'食譜'!$B:$B,'食譜'!$A:$A,"")</f>
        <v/>
      </c>
      <c r="DC47" s="73"/>
      <c r="DD47" s="73"/>
      <c r="DE47" s="74"/>
      <c r="DF47" s="72" t="str">
        <f t="array" ref="DF47">XLOOKUP(DF50,'食譜'!$B:$B,'食譜'!$A:$A,"")</f>
        <v/>
      </c>
      <c r="DG47" s="73"/>
      <c r="DH47" s="73"/>
      <c r="DI47" s="74"/>
      <c r="DJ47" s="72" t="str">
        <f t="array" ref="DJ47">XLOOKUP(DJ50,'食譜'!$B:$B,'食譜'!$A:$A,"")</f>
        <v/>
      </c>
      <c r="DK47" s="73"/>
      <c r="DL47" s="73"/>
      <c r="DM47" s="74"/>
      <c r="DN47" s="72" t="str">
        <f t="array" ref="DN47">XLOOKUP(DN50,'食譜'!$B:$B,'食譜'!$A:$A,"")</f>
        <v/>
      </c>
      <c r="DO47" s="73"/>
      <c r="DP47" s="73"/>
      <c r="DQ47" s="74"/>
      <c r="DR47" s="72" t="str">
        <f t="array" ref="DR47">XLOOKUP(DR50,'食譜'!$B:$B,'食譜'!$A:$A,"")</f>
        <v/>
      </c>
      <c r="DS47" s="73"/>
      <c r="DT47" s="73"/>
      <c r="DU47" s="74"/>
      <c r="DV47" s="72" t="str">
        <f t="array" ref="DV47">XLOOKUP(DV50,'食譜'!$B:$B,'食譜'!$A:$A,"")</f>
        <v/>
      </c>
      <c r="DW47" s="73"/>
      <c r="DX47" s="73"/>
      <c r="DY47" s="74"/>
      <c r="DZ47" s="72" t="str">
        <f t="array" ref="DZ47">XLOOKUP(DZ50,'食譜'!$B:$B,'食譜'!$A:$A,"")</f>
        <v/>
      </c>
      <c r="EA47" s="73"/>
      <c r="EB47" s="73"/>
      <c r="EC47" s="74"/>
      <c r="ED47" s="72" t="str">
        <f t="array" ref="ED47">XLOOKUP(ED50,'食譜'!$B:$B,'食譜'!$A:$A,"")</f>
        <v/>
      </c>
      <c r="EE47" s="73"/>
      <c r="EF47" s="73"/>
      <c r="EG47" s="74"/>
      <c r="EH47" s="72" t="str">
        <f t="array" ref="EH47">XLOOKUP(EH50,'食譜'!$B:$B,'食譜'!$A:$A,"")</f>
        <v/>
      </c>
      <c r="EI47" s="73"/>
      <c r="EJ47" s="73"/>
      <c r="EK47" s="74"/>
      <c r="EL47" s="72" t="str">
        <f t="array" ref="EL47">XLOOKUP(EL50,'食譜'!$B:$B,'食譜'!$A:$A,"")</f>
        <v/>
      </c>
      <c r="EM47" s="73"/>
      <c r="EN47" s="73"/>
      <c r="EO47" s="74"/>
      <c r="EP47" s="1"/>
      <c r="EQ47" s="1"/>
      <c r="ER47" s="1"/>
      <c r="ES47" s="1"/>
      <c r="ET47" s="1"/>
      <c r="EU47" s="1"/>
      <c r="EV47" s="1"/>
      <c r="EW47" s="1"/>
      <c r="EX47" s="1"/>
    </row>
    <row r="48" ht="15.0" customHeight="1">
      <c r="A48" s="114"/>
      <c r="B48" s="114"/>
      <c r="C48" s="114"/>
      <c r="D48" s="114"/>
      <c r="E48" s="110">
        <f t="array" ref="E48">XLOOKUP(C47,'食譜'!$B:$B,'食譜'!$K:$K,"")</f>
        <v>22</v>
      </c>
      <c r="F48" s="110">
        <f t="array" ref="F48">XLOOKUP(C47,'食譜'!$B:$B,'食譜'!$M:$M,"")</f>
        <v>20</v>
      </c>
      <c r="G48" s="110">
        <f t="array" ref="G48">XLOOKUP(C47,'食譜'!$B:$B,'食譜'!$O:$O,"")</f>
        <v>41</v>
      </c>
      <c r="H48" s="110">
        <f t="array" ref="H48">XLOOKUP(C47,'食譜'!$B:$B,'食譜'!$Q:$Q,"")</f>
        <v>32</v>
      </c>
      <c r="I48" s="114"/>
      <c r="J48" s="140"/>
      <c r="K48" s="9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4"/>
      <c r="AO48" s="15"/>
      <c r="AP48" s="14"/>
      <c r="AS48" s="15"/>
      <c r="AT48" s="14"/>
      <c r="AW48" s="15"/>
      <c r="AX48" s="14"/>
      <c r="BA48" s="15"/>
      <c r="BB48" s="14"/>
      <c r="BE48" s="15"/>
      <c r="BF48" s="14"/>
      <c r="BI48" s="15"/>
      <c r="BJ48" s="14"/>
      <c r="BM48" s="15"/>
      <c r="BN48" s="14"/>
      <c r="BQ48" s="15"/>
      <c r="BR48" s="14"/>
      <c r="BU48" s="15"/>
      <c r="BV48" s="14"/>
      <c r="BY48" s="15"/>
      <c r="BZ48" s="14"/>
      <c r="CC48" s="15"/>
      <c r="CD48" s="14"/>
      <c r="CG48" s="15"/>
      <c r="CH48" s="14"/>
      <c r="CK48" s="15"/>
      <c r="CL48" s="14"/>
      <c r="CO48" s="15"/>
      <c r="CP48" s="14"/>
      <c r="CS48" s="15"/>
      <c r="CT48" s="14"/>
      <c r="CW48" s="15"/>
      <c r="CX48" s="14"/>
      <c r="DA48" s="15"/>
      <c r="DB48" s="14"/>
      <c r="DE48" s="15"/>
      <c r="DF48" s="14"/>
      <c r="DI48" s="15"/>
      <c r="DJ48" s="14"/>
      <c r="DM48" s="15"/>
      <c r="DN48" s="14"/>
      <c r="DQ48" s="15"/>
      <c r="DR48" s="14"/>
      <c r="DU48" s="15"/>
      <c r="DV48" s="14"/>
      <c r="DY48" s="15"/>
      <c r="DZ48" s="14"/>
      <c r="EC48" s="15"/>
      <c r="ED48" s="14"/>
      <c r="EG48" s="15"/>
      <c r="EH48" s="14"/>
      <c r="EK48" s="15"/>
      <c r="EL48" s="14"/>
      <c r="EO48" s="15"/>
      <c r="EP48" s="1"/>
      <c r="EQ48" s="1"/>
      <c r="ER48" s="1"/>
      <c r="ES48" s="1"/>
      <c r="ET48" s="1"/>
      <c r="EU48" s="1"/>
      <c r="EV48" s="1"/>
      <c r="EW48" s="1"/>
      <c r="EX48" s="1"/>
    </row>
    <row r="49" ht="15.0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97"/>
      <c r="K49" s="9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4"/>
      <c r="AO49" s="15"/>
      <c r="AP49" s="66"/>
      <c r="AQ49" s="67"/>
      <c r="AR49" s="67"/>
      <c r="AS49" s="68"/>
      <c r="AT49" s="66"/>
      <c r="AU49" s="67"/>
      <c r="AV49" s="67"/>
      <c r="AW49" s="68"/>
      <c r="AX49" s="66"/>
      <c r="AY49" s="67"/>
      <c r="AZ49" s="67"/>
      <c r="BA49" s="68"/>
      <c r="BB49" s="66"/>
      <c r="BC49" s="67"/>
      <c r="BD49" s="67"/>
      <c r="BE49" s="68"/>
      <c r="BF49" s="66"/>
      <c r="BG49" s="67"/>
      <c r="BH49" s="67"/>
      <c r="BI49" s="68"/>
      <c r="BJ49" s="66"/>
      <c r="BK49" s="67"/>
      <c r="BL49" s="67"/>
      <c r="BM49" s="68"/>
      <c r="BN49" s="66"/>
      <c r="BO49" s="67"/>
      <c r="BP49" s="67"/>
      <c r="BQ49" s="68"/>
      <c r="BR49" s="66"/>
      <c r="BS49" s="67"/>
      <c r="BT49" s="67"/>
      <c r="BU49" s="68"/>
      <c r="BV49" s="66"/>
      <c r="BW49" s="67"/>
      <c r="BX49" s="67"/>
      <c r="BY49" s="68"/>
      <c r="BZ49" s="66"/>
      <c r="CA49" s="67"/>
      <c r="CB49" s="67"/>
      <c r="CC49" s="68"/>
      <c r="CD49" s="66"/>
      <c r="CE49" s="67"/>
      <c r="CF49" s="67"/>
      <c r="CG49" s="68"/>
      <c r="CH49" s="66"/>
      <c r="CI49" s="67"/>
      <c r="CJ49" s="67"/>
      <c r="CK49" s="68"/>
      <c r="CL49" s="66"/>
      <c r="CM49" s="67"/>
      <c r="CN49" s="67"/>
      <c r="CO49" s="68"/>
      <c r="CP49" s="66"/>
      <c r="CQ49" s="67"/>
      <c r="CR49" s="67"/>
      <c r="CS49" s="68"/>
      <c r="CT49" s="66"/>
      <c r="CU49" s="67"/>
      <c r="CV49" s="67"/>
      <c r="CW49" s="68"/>
      <c r="CX49" s="66"/>
      <c r="CY49" s="67"/>
      <c r="CZ49" s="67"/>
      <c r="DA49" s="68"/>
      <c r="DB49" s="66"/>
      <c r="DC49" s="67"/>
      <c r="DD49" s="67"/>
      <c r="DE49" s="68"/>
      <c r="DF49" s="66"/>
      <c r="DG49" s="67"/>
      <c r="DH49" s="67"/>
      <c r="DI49" s="68"/>
      <c r="DJ49" s="66"/>
      <c r="DK49" s="67"/>
      <c r="DL49" s="67"/>
      <c r="DM49" s="68"/>
      <c r="DN49" s="66"/>
      <c r="DO49" s="67"/>
      <c r="DP49" s="67"/>
      <c r="DQ49" s="68"/>
      <c r="DR49" s="66"/>
      <c r="DS49" s="67"/>
      <c r="DT49" s="67"/>
      <c r="DU49" s="68"/>
      <c r="DV49" s="66"/>
      <c r="DW49" s="67"/>
      <c r="DX49" s="67"/>
      <c r="DY49" s="68"/>
      <c r="DZ49" s="66"/>
      <c r="EA49" s="67"/>
      <c r="EB49" s="67"/>
      <c r="EC49" s="68"/>
      <c r="ED49" s="66"/>
      <c r="EE49" s="67"/>
      <c r="EF49" s="67"/>
      <c r="EG49" s="68"/>
      <c r="EH49" s="66"/>
      <c r="EI49" s="67"/>
      <c r="EJ49" s="67"/>
      <c r="EK49" s="68"/>
      <c r="EL49" s="66"/>
      <c r="EM49" s="67"/>
      <c r="EN49" s="67"/>
      <c r="EO49" s="68"/>
      <c r="EP49" s="1"/>
      <c r="EQ49" s="1"/>
      <c r="ER49" s="1"/>
      <c r="ES49" s="1"/>
      <c r="ET49" s="1"/>
      <c r="EU49" s="1"/>
      <c r="EV49" s="1"/>
      <c r="EW49" s="1"/>
      <c r="EX49" s="1"/>
    </row>
    <row r="50" ht="15.0" customHeight="1">
      <c r="A50" s="142"/>
      <c r="B50" s="142"/>
      <c r="C50" s="142"/>
      <c r="D50" s="142"/>
      <c r="E50" s="142"/>
      <c r="F50" s="142"/>
      <c r="G50" s="142"/>
      <c r="H50" s="142"/>
      <c r="I50" s="142"/>
      <c r="J50" s="97"/>
      <c r="K50" s="9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4"/>
      <c r="AO50" s="15"/>
      <c r="AP50" s="75" t="str">
        <f>IFERROR(__xludf.DUMMYFUNCTION("SPLIT(TEXTJOIN("""",TRUE,TOROW(FILTER('食譜'!$B:$B&amp;""----"", '食譜'!$E:$E=""點心、飲料"",'食譜'!$B:$B&lt;&gt;""拌拌果汁"")),"""","""",""""),""-"",TRUE,FALSE)"),"哞哞熱鮮奶")</f>
        <v>哞哞熱鮮奶</v>
      </c>
      <c r="AQ50" s="73"/>
      <c r="AR50" s="73"/>
      <c r="AS50" s="74"/>
      <c r="AT50" s="75" t="str">
        <f>IFERROR(__xludf.DUMMYFUNCTION("""COMPUTED_VALUE"""),"特選蘋果汁")</f>
        <v>特選蘋果汁</v>
      </c>
      <c r="AU50" s="73"/>
      <c r="AV50" s="73"/>
      <c r="AW50" s="74"/>
      <c r="AX50" s="75" t="str">
        <f>IFERROR(__xludf.DUMMYFUNCTION("""COMPUTED_VALUE"""),"手製勁爽汽水")</f>
        <v>手製勁爽汽水</v>
      </c>
      <c r="AY50" s="73"/>
      <c r="AZ50" s="73"/>
      <c r="BA50" s="74"/>
      <c r="BB50" s="75" t="str">
        <f>IFERROR(__xludf.DUMMYFUNCTION("""COMPUTED_VALUE"""),"祈願蘋果派")</f>
        <v>祈願蘋果派</v>
      </c>
      <c r="BC50" s="73"/>
      <c r="BD50" s="73"/>
      <c r="BE50" s="74"/>
      <c r="BF50" s="75" t="str">
        <f>IFERROR(__xludf.DUMMYFUNCTION("""COMPUTED_VALUE"""),"熟成甜薯燒")</f>
        <v>熟成甜薯燒</v>
      </c>
      <c r="BG50" s="73"/>
      <c r="BH50" s="73"/>
      <c r="BI50" s="74"/>
      <c r="BJ50" s="75" t="str">
        <f>IFERROR(__xludf.DUMMYFUNCTION("""COMPUTED_VALUE"""),"火花薑茶")</f>
        <v>火花薑茶</v>
      </c>
      <c r="BK50" s="73"/>
      <c r="BL50" s="73"/>
      <c r="BM50" s="74"/>
      <c r="BN50" s="75" t="str">
        <f>IFERROR(__xludf.DUMMYFUNCTION("""COMPUTED_VALUE"""),"輕裝豆香蛋糕")</f>
        <v>輕裝豆香蛋糕</v>
      </c>
      <c r="BO50" s="73"/>
      <c r="BP50" s="73"/>
      <c r="BQ50" s="74"/>
      <c r="BR50" s="75" t="str">
        <f>IFERROR(__xludf.DUMMYFUNCTION("""COMPUTED_VALUE"""),"我行我素蔬菜汁")</f>
        <v>我行我素蔬菜汁</v>
      </c>
      <c r="BS50" s="73"/>
      <c r="BT50" s="73"/>
      <c r="BU50" s="74"/>
      <c r="BV50" s="75" t="str">
        <f>IFERROR(__xludf.DUMMYFUNCTION("""COMPUTED_VALUE"""),"大馬拉薩達")</f>
        <v>大馬拉薩達</v>
      </c>
      <c r="BW50" s="73"/>
      <c r="BX50" s="73"/>
      <c r="BY50" s="74"/>
      <c r="BZ50" s="75" t="str">
        <f>IFERROR(__xludf.DUMMYFUNCTION("""COMPUTED_VALUE"""),"活力蛋白飲")</f>
        <v>活力蛋白飲</v>
      </c>
      <c r="CA50" s="73"/>
      <c r="CB50" s="73"/>
      <c r="CC50" s="74"/>
      <c r="CD50" s="75" t="str">
        <f>IFERROR(__xludf.DUMMYFUNCTION("""COMPUTED_VALUE"""),"花瓣舞巧克力塔")</f>
        <v>花瓣舞巧克力塔</v>
      </c>
      <c r="CE50" s="73"/>
      <c r="CF50" s="73"/>
      <c r="CG50" s="74"/>
      <c r="CH50" s="75" t="str">
        <f>IFERROR(__xludf.DUMMYFUNCTION("""COMPUTED_VALUE"""),"甜甜香氣巧克力蛋糕")</f>
        <v>甜甜香氣巧克力蛋糕</v>
      </c>
      <c r="CI50" s="73"/>
      <c r="CJ50" s="73"/>
      <c r="CK50" s="74"/>
      <c r="CL50" s="75" t="str">
        <f>IFERROR(__xludf.DUMMYFUNCTION("""COMPUTED_VALUE"""),"惡魔之吻水果牛奶")</f>
        <v>惡魔之吻水果牛奶</v>
      </c>
      <c r="CM50" s="73"/>
      <c r="CN50" s="73"/>
      <c r="CO50" s="74"/>
      <c r="CP50" s="75" t="str">
        <f>IFERROR(__xludf.DUMMYFUNCTION("""COMPUTED_VALUE"""),"不屈薑餅")</f>
        <v>不屈薑餅</v>
      </c>
      <c r="CQ50" s="73"/>
      <c r="CR50" s="73"/>
      <c r="CS50" s="74"/>
      <c r="CT50" s="75" t="str">
        <f>IFERROR(__xludf.DUMMYFUNCTION("""COMPUTED_VALUE"""),"橙夢的排毒茶")</f>
        <v>橙夢的排毒茶</v>
      </c>
      <c r="CU50" s="73"/>
      <c r="CV50" s="73"/>
      <c r="CW50" s="74"/>
      <c r="CX50" s="75" t="str">
        <f>IFERROR(__xludf.DUMMYFUNCTION("""COMPUTED_VALUE"""),"大力士豆香甜甜圈")</f>
        <v>大力士豆香甜甜圈</v>
      </c>
      <c r="CY50" s="73"/>
      <c r="CZ50" s="73"/>
      <c r="DA50" s="74"/>
      <c r="DB50" s="75" t="str">
        <f>IFERROR(__xludf.DUMMYFUNCTION("""COMPUTED_VALUE"""),"大爆炸爆米花")</f>
        <v>大爆炸爆米花</v>
      </c>
      <c r="DC50" s="73"/>
      <c r="DD50" s="73"/>
      <c r="DE50" s="74"/>
      <c r="DF50" s="75" t="str">
        <f>IFERROR(__xludf.DUMMYFUNCTION("""COMPUTED_VALUE"""),"早起咖啡凍")</f>
        <v>早起咖啡凍</v>
      </c>
      <c r="DG50" s="73"/>
      <c r="DH50" s="73"/>
      <c r="DI50" s="74"/>
      <c r="DJ50" s="75" t="str">
        <f>IFERROR(__xludf.DUMMYFUNCTION("""COMPUTED_VALUE"""),"破格玉米香提拉米蘇")</f>
        <v>破格玉米香提拉米蘇</v>
      </c>
      <c r="DK50" s="73"/>
      <c r="DL50" s="73"/>
      <c r="DM50" s="74"/>
      <c r="DN50" s="75" t="str">
        <f>IFERROR(__xludf.DUMMYFUNCTION("""COMPUTED_VALUE"""),"胖丁百匯布丁")</f>
        <v>胖丁百匯布丁</v>
      </c>
      <c r="DO50" s="73"/>
      <c r="DP50" s="73"/>
      <c r="DQ50" s="74"/>
      <c r="DR50" s="75" t="str">
        <f>IFERROR(__xludf.DUMMYFUNCTION("""COMPUTED_VALUE"""),"青草攪拌器冰沙")</f>
        <v>青草攪拌器冰沙</v>
      </c>
      <c r="DS50" s="73"/>
      <c r="DT50" s="73"/>
      <c r="DU50" s="74"/>
      <c r="DV50" s="75" t="str">
        <f>IFERROR(__xludf.DUMMYFUNCTION("""COMPUTED_VALUE"""),"茶會玉米司康")</f>
        <v>茶會玉米司康</v>
      </c>
      <c r="DW50" s="73"/>
      <c r="DX50" s="73"/>
      <c r="DY50" s="74"/>
      <c r="DZ50" s="75" t="str">
        <f>IFERROR(__xludf.DUMMYFUNCTION("""COMPUTED_VALUE"""),"花之禮馬卡龍")</f>
        <v>花之禮馬卡龍</v>
      </c>
      <c r="EA50" s="73"/>
      <c r="EB50" s="73"/>
      <c r="EC50" s="74"/>
      <c r="ED50" s="75" t="str">
        <f>IFERROR(__xludf.DUMMYFUNCTION("""COMPUTED_VALUE"""),"電光香料可樂")</f>
        <v>電光香料可樂</v>
      </c>
      <c r="EE50" s="73"/>
      <c r="EF50" s="73"/>
      <c r="EG50" s="74"/>
      <c r="EH50" s="75" t="str">
        <f>IFERROR(__xludf.DUMMYFUNCTION("""COMPUTED_VALUE"""),"土王閃電泡芙")</f>
        <v>土王閃電泡芙</v>
      </c>
      <c r="EI50" s="73"/>
      <c r="EJ50" s="73"/>
      <c r="EK50" s="74"/>
      <c r="EL50" s="75" t="str">
        <f>IFERROR(__xludf.DUMMYFUNCTION("""COMPUTED_VALUE"""),"心跳加速鬼面鬆餅")</f>
        <v>心跳加速鬼面鬆餅</v>
      </c>
      <c r="EM50" s="73"/>
      <c r="EN50" s="73"/>
      <c r="EO50" s="74"/>
      <c r="EP50" s="1" t="str">
        <f>IFERROR(__xludf.DUMMYFUNCTION("""COMPUTED_VALUE"""),"採蜜巧克力格子鬆餅")</f>
        <v>採蜜巧克力格子鬆餅</v>
      </c>
      <c r="EQ50" s="1"/>
      <c r="ER50" s="1"/>
      <c r="ES50" s="1"/>
      <c r="ET50" s="1"/>
      <c r="EU50" s="1"/>
      <c r="EV50" s="1"/>
      <c r="EW50" s="1"/>
      <c r="EX50" s="1"/>
    </row>
    <row r="51" ht="15.0" customHeight="1">
      <c r="A51" s="142"/>
      <c r="B51" s="142"/>
      <c r="C51" s="142"/>
      <c r="D51" s="142"/>
      <c r="E51" s="142"/>
      <c r="F51" s="142"/>
      <c r="G51" s="142"/>
      <c r="H51" s="142"/>
      <c r="I51" s="142"/>
      <c r="J51" s="97"/>
      <c r="K51" s="9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4"/>
      <c r="AO51" s="15"/>
      <c r="AP51" s="66"/>
      <c r="AQ51" s="67"/>
      <c r="AR51" s="67"/>
      <c r="AS51" s="68"/>
      <c r="AT51" s="66"/>
      <c r="AU51" s="67"/>
      <c r="AV51" s="67"/>
      <c r="AW51" s="68"/>
      <c r="AX51" s="66"/>
      <c r="AY51" s="67"/>
      <c r="AZ51" s="67"/>
      <c r="BA51" s="68"/>
      <c r="BB51" s="66"/>
      <c r="BC51" s="67"/>
      <c r="BD51" s="67"/>
      <c r="BE51" s="68"/>
      <c r="BF51" s="66"/>
      <c r="BG51" s="67"/>
      <c r="BH51" s="67"/>
      <c r="BI51" s="68"/>
      <c r="BJ51" s="66"/>
      <c r="BK51" s="67"/>
      <c r="BL51" s="67"/>
      <c r="BM51" s="68"/>
      <c r="BN51" s="66"/>
      <c r="BO51" s="67"/>
      <c r="BP51" s="67"/>
      <c r="BQ51" s="68"/>
      <c r="BR51" s="66"/>
      <c r="BS51" s="67"/>
      <c r="BT51" s="67"/>
      <c r="BU51" s="68"/>
      <c r="BV51" s="66"/>
      <c r="BW51" s="67"/>
      <c r="BX51" s="67"/>
      <c r="BY51" s="68"/>
      <c r="BZ51" s="66"/>
      <c r="CA51" s="67"/>
      <c r="CB51" s="67"/>
      <c r="CC51" s="68"/>
      <c r="CD51" s="66"/>
      <c r="CE51" s="67"/>
      <c r="CF51" s="67"/>
      <c r="CG51" s="68"/>
      <c r="CH51" s="66"/>
      <c r="CI51" s="67"/>
      <c r="CJ51" s="67"/>
      <c r="CK51" s="68"/>
      <c r="CL51" s="66"/>
      <c r="CM51" s="67"/>
      <c r="CN51" s="67"/>
      <c r="CO51" s="68"/>
      <c r="CP51" s="66"/>
      <c r="CQ51" s="67"/>
      <c r="CR51" s="67"/>
      <c r="CS51" s="68"/>
      <c r="CT51" s="66"/>
      <c r="CU51" s="67"/>
      <c r="CV51" s="67"/>
      <c r="CW51" s="68"/>
      <c r="CX51" s="66"/>
      <c r="CY51" s="67"/>
      <c r="CZ51" s="67"/>
      <c r="DA51" s="68"/>
      <c r="DB51" s="66"/>
      <c r="DC51" s="67"/>
      <c r="DD51" s="67"/>
      <c r="DE51" s="68"/>
      <c r="DF51" s="66"/>
      <c r="DG51" s="67"/>
      <c r="DH51" s="67"/>
      <c r="DI51" s="68"/>
      <c r="DJ51" s="66"/>
      <c r="DK51" s="67"/>
      <c r="DL51" s="67"/>
      <c r="DM51" s="68"/>
      <c r="DN51" s="66"/>
      <c r="DO51" s="67"/>
      <c r="DP51" s="67"/>
      <c r="DQ51" s="68"/>
      <c r="DR51" s="66"/>
      <c r="DS51" s="67"/>
      <c r="DT51" s="67"/>
      <c r="DU51" s="68"/>
      <c r="DV51" s="66"/>
      <c r="DW51" s="67"/>
      <c r="DX51" s="67"/>
      <c r="DY51" s="68"/>
      <c r="DZ51" s="66"/>
      <c r="EA51" s="67"/>
      <c r="EB51" s="67"/>
      <c r="EC51" s="68"/>
      <c r="ED51" s="66"/>
      <c r="EE51" s="67"/>
      <c r="EF51" s="67"/>
      <c r="EG51" s="68"/>
      <c r="EH51" s="66"/>
      <c r="EI51" s="67"/>
      <c r="EJ51" s="67"/>
      <c r="EK51" s="68"/>
      <c r="EL51" s="66"/>
      <c r="EM51" s="67"/>
      <c r="EN51" s="67"/>
      <c r="EO51" s="68"/>
      <c r="EP51" s="1"/>
      <c r="EQ51" s="1"/>
      <c r="ER51" s="1"/>
      <c r="ES51" s="1"/>
      <c r="ET51" s="1"/>
      <c r="EU51" s="1"/>
      <c r="EV51" s="1"/>
      <c r="EW51" s="1"/>
      <c r="EX51" s="1"/>
    </row>
    <row r="52" ht="15.0" customHeight="1">
      <c r="A52" s="142"/>
      <c r="B52" s="142"/>
      <c r="C52" s="142"/>
      <c r="D52" s="142"/>
      <c r="E52" s="142"/>
      <c r="F52" s="142"/>
      <c r="G52" s="142"/>
      <c r="H52" s="142"/>
      <c r="I52" s="142"/>
      <c r="J52" s="97"/>
      <c r="K52" s="9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4"/>
      <c r="AO52" s="15"/>
      <c r="AP52" s="76" t="str">
        <f t="array" ref="AP52">XLOOKUP(XLOOKUP(AP50,'食譜'!$B:$B,'食譜'!$J:$J,""),'食材'!$B:$B,'食材'!$D:$D,"")</f>
        <v/>
      </c>
      <c r="AQ52" s="77"/>
      <c r="AR52" s="78">
        <f t="array" ref="AR52">XLOOKUP(AP50,'食譜'!$B:$B,'食譜'!$K:$K,"")</f>
        <v>7</v>
      </c>
      <c r="AS52" s="74"/>
      <c r="AT52" s="76" t="str">
        <f t="array" ref="AT52">XLOOKUP(XLOOKUP(AT50,'食譜'!$B:$B,'食譜'!$J:$J,""),'食材'!$B:$B,'食材'!$D:$D,"")</f>
        <v/>
      </c>
      <c r="AU52" s="77"/>
      <c r="AV52" s="78">
        <f t="array" ref="AV52">XLOOKUP(AT50,'食譜'!$B:$B,'食譜'!$K:$K,"")</f>
        <v>8</v>
      </c>
      <c r="AW52" s="74"/>
      <c r="AX52" s="76" t="str">
        <f t="array" ref="AX52">XLOOKUP(XLOOKUP(AX50,'食譜'!$B:$B,'食譜'!$J:$J,""),'食材'!$B:$B,'食材'!$D:$D,"")</f>
        <v/>
      </c>
      <c r="AY52" s="77"/>
      <c r="AZ52" s="78">
        <f t="array" ref="AZ52">XLOOKUP(AX50,'食譜'!$B:$B,'食譜'!$K:$K,"")</f>
        <v>9</v>
      </c>
      <c r="BA52" s="74"/>
      <c r="BB52" s="76" t="str">
        <f t="array" ref="BB52">XLOOKUP(XLOOKUP(BB50,'食譜'!$B:$B,'食譜'!$J:$J,""),'食材'!$B:$B,'食材'!$D:$D,"")</f>
        <v/>
      </c>
      <c r="BC52" s="77"/>
      <c r="BD52" s="78">
        <f t="array" ref="BD52">XLOOKUP(BB50,'食譜'!$B:$B,'食譜'!$K:$K,"")</f>
        <v>12</v>
      </c>
      <c r="BE52" s="74"/>
      <c r="BF52" s="76" t="str">
        <f t="array" ref="BF52">XLOOKUP(XLOOKUP(BF50,'食譜'!$B:$B,'食譜'!$J:$J,""),'食材'!$B:$B,'食材'!$D:$D,"")</f>
        <v/>
      </c>
      <c r="BG52" s="77"/>
      <c r="BH52" s="78">
        <f t="array" ref="BH52">XLOOKUP(BF50,'食譜'!$B:$B,'食譜'!$K:$K,"")</f>
        <v>9</v>
      </c>
      <c r="BI52" s="74"/>
      <c r="BJ52" s="76" t="str">
        <f t="array" ref="BJ52">XLOOKUP(XLOOKUP(BJ50,'食譜'!$B:$B,'食譜'!$J:$J,""),'食材'!$B:$B,'食材'!$D:$D,"")</f>
        <v/>
      </c>
      <c r="BK52" s="77"/>
      <c r="BL52" s="78">
        <f t="array" ref="BL52">XLOOKUP(BJ50,'食譜'!$B:$B,'食譜'!$K:$K,"")</f>
        <v>9</v>
      </c>
      <c r="BM52" s="74"/>
      <c r="BN52" s="76" t="str">
        <f t="array" ref="BN52">XLOOKUP(XLOOKUP(BN50,'食譜'!$B:$B,'食譜'!$J:$J,""),'食材'!$B:$B,'食材'!$D:$D,"")</f>
        <v/>
      </c>
      <c r="BO52" s="77"/>
      <c r="BP52" s="78">
        <f t="array" ref="BP52">XLOOKUP(BN50,'食譜'!$B:$B,'食譜'!$K:$K,"")</f>
        <v>8</v>
      </c>
      <c r="BQ52" s="74"/>
      <c r="BR52" s="76" t="str">
        <f t="array" ref="BR52">XLOOKUP(XLOOKUP(BR50,'食譜'!$B:$B,'食譜'!$J:$J,""),'食材'!$B:$B,'食材'!$D:$D,"")</f>
        <v/>
      </c>
      <c r="BS52" s="77"/>
      <c r="BT52" s="78">
        <f t="array" ref="BT52">XLOOKUP(BR50,'食譜'!$B:$B,'食譜'!$K:$K,"")</f>
        <v>9</v>
      </c>
      <c r="BU52" s="74"/>
      <c r="BV52" s="76" t="str">
        <f t="array" ref="BV52">XLOOKUP(XLOOKUP(BV50,'食譜'!$B:$B,'食譜'!$J:$J,""),'食材'!$B:$B,'食材'!$D:$D,"")</f>
        <v/>
      </c>
      <c r="BW52" s="77"/>
      <c r="BX52" s="78">
        <f t="array" ref="BX52">XLOOKUP(BV50,'食譜'!$B:$B,'食譜'!$K:$K,"")</f>
        <v>10</v>
      </c>
      <c r="BY52" s="74"/>
      <c r="BZ52" s="76" t="str">
        <f t="array" ref="BZ52">XLOOKUP(XLOOKUP(BZ50,'食譜'!$B:$B,'食譜'!$J:$J,""),'食材'!$B:$B,'食材'!$D:$D,"")</f>
        <v/>
      </c>
      <c r="CA52" s="77"/>
      <c r="CB52" s="78">
        <f t="array" ref="CB52">XLOOKUP(BZ50,'食譜'!$B:$B,'食譜'!$K:$K,"")</f>
        <v>15</v>
      </c>
      <c r="CC52" s="74"/>
      <c r="CD52" s="76" t="str">
        <f t="array" ref="CD52">XLOOKUP(XLOOKUP(CD50,'食譜'!$B:$B,'食譜'!$J:$J,""),'食材'!$B:$B,'食材'!$D:$D,"")</f>
        <v/>
      </c>
      <c r="CE52" s="77"/>
      <c r="CF52" s="78">
        <f t="array" ref="CF52">XLOOKUP(CD50,'食譜'!$B:$B,'食譜'!$K:$K,"")</f>
        <v>11</v>
      </c>
      <c r="CG52" s="74"/>
      <c r="CH52" s="76" t="str">
        <f t="array" ref="CH52">XLOOKUP(XLOOKUP(CH50,'食譜'!$B:$B,'食譜'!$J:$J,""),'食材'!$B:$B,'食材'!$D:$D,"")</f>
        <v/>
      </c>
      <c r="CI52" s="77"/>
      <c r="CJ52" s="78">
        <f t="array" ref="CJ52">XLOOKUP(CH50,'食譜'!$B:$B,'食譜'!$K:$K,"")</f>
        <v>9</v>
      </c>
      <c r="CK52" s="74"/>
      <c r="CL52" s="76" t="str">
        <f t="array" ref="CL52">XLOOKUP(XLOOKUP(CL50,'食譜'!$B:$B,'食譜'!$J:$J,""),'食材'!$B:$B,'食材'!$D:$D,"")</f>
        <v/>
      </c>
      <c r="CM52" s="77"/>
      <c r="CN52" s="78">
        <f t="array" ref="CN52">XLOOKUP(CL50,'食譜'!$B:$B,'食譜'!$K:$K,"")</f>
        <v>11</v>
      </c>
      <c r="CO52" s="74"/>
      <c r="CP52" s="76" t="str">
        <f t="array" ref="CP52">XLOOKUP(XLOOKUP(CP50,'食譜'!$B:$B,'食譜'!$J:$J,""),'食材'!$B:$B,'食材'!$D:$D,"")</f>
        <v/>
      </c>
      <c r="CQ52" s="77"/>
      <c r="CR52" s="78">
        <f t="array" ref="CR52">XLOOKUP(CP50,'食譜'!$B:$B,'食譜'!$K:$K,"")</f>
        <v>14</v>
      </c>
      <c r="CS52" s="74"/>
      <c r="CT52" s="76" t="str">
        <f t="array" ref="CT52">XLOOKUP(XLOOKUP(CT50,'食譜'!$B:$B,'食譜'!$J:$J,""),'食材'!$B:$B,'食材'!$D:$D,"")</f>
        <v/>
      </c>
      <c r="CU52" s="77"/>
      <c r="CV52" s="78">
        <f t="array" ref="CV52">XLOOKUP(CT50,'食譜'!$B:$B,'食譜'!$K:$K,"")</f>
        <v>15</v>
      </c>
      <c r="CW52" s="74"/>
      <c r="CX52" s="76" t="str">
        <f t="array" ref="CX52">XLOOKUP(XLOOKUP(CX50,'食譜'!$B:$B,'食譜'!$J:$J,""),'食材'!$B:$B,'食材'!$D:$D,"")</f>
        <v/>
      </c>
      <c r="CY52" s="77"/>
      <c r="CZ52" s="78">
        <f t="array" ref="CZ52">XLOOKUP(CX50,'食譜'!$B:$B,'食譜'!$K:$K,"")</f>
        <v>16</v>
      </c>
      <c r="DA52" s="74"/>
      <c r="DB52" s="76" t="str">
        <f t="array" ref="DB52">XLOOKUP(XLOOKUP(DB50,'食譜'!$B:$B,'食譜'!$J:$J,""),'食材'!$B:$B,'食材'!$D:$D,"")</f>
        <v/>
      </c>
      <c r="DC52" s="77"/>
      <c r="DD52" s="78">
        <f t="array" ref="DD52">XLOOKUP(DB50,'食譜'!$B:$B,'食譜'!$K:$K,"")</f>
        <v>15</v>
      </c>
      <c r="DE52" s="74"/>
      <c r="DF52" s="76" t="str">
        <f t="array" ref="DF52">XLOOKUP(XLOOKUP(DF50,'食譜'!$B:$B,'食譜'!$J:$J,""),'食材'!$B:$B,'食材'!$D:$D,"")</f>
        <v/>
      </c>
      <c r="DG52" s="77"/>
      <c r="DH52" s="78">
        <f t="array" ref="DH52">XLOOKUP(DF50,'食譜'!$B:$B,'食譜'!$K:$K,"")</f>
        <v>16</v>
      </c>
      <c r="DI52" s="74"/>
      <c r="DJ52" s="76" t="str">
        <f t="array" ref="DJ52">XLOOKUP(XLOOKUP(DJ50,'食譜'!$B:$B,'食譜'!$J:$J,""),'食材'!$B:$B,'食材'!$D:$D,"")</f>
        <v/>
      </c>
      <c r="DK52" s="77"/>
      <c r="DL52" s="78">
        <f t="array" ref="DL52">XLOOKUP(DJ50,'食譜'!$B:$B,'食譜'!$K:$K,"")</f>
        <v>14</v>
      </c>
      <c r="DM52" s="74"/>
      <c r="DN52" s="76" t="str">
        <f t="array" ref="DN52">XLOOKUP(XLOOKUP(DN50,'食譜'!$B:$B,'食譜'!$J:$J,""),'食材'!$B:$B,'食材'!$D:$D,"")</f>
        <v/>
      </c>
      <c r="DO52" s="77"/>
      <c r="DP52" s="78">
        <f t="array" ref="DP52">XLOOKUP(DN50,'食譜'!$B:$B,'食譜'!$K:$K,"")</f>
        <v>20</v>
      </c>
      <c r="DQ52" s="74"/>
      <c r="DR52" s="76" t="str">
        <f t="array" ref="DR52">XLOOKUP(XLOOKUP(DR50,'食譜'!$B:$B,'食譜'!$J:$J,""),'食材'!$B:$B,'食材'!$D:$D,"")</f>
        <v/>
      </c>
      <c r="DS52" s="77"/>
      <c r="DT52" s="78">
        <f t="array" ref="DT52">XLOOKUP(DR50,'食譜'!$B:$B,'食譜'!$K:$K,"")</f>
        <v>18</v>
      </c>
      <c r="DU52" s="74"/>
      <c r="DV52" s="76" t="str">
        <f t="array" ref="DV52">XLOOKUP(XLOOKUP(DV50,'食譜'!$B:$B,'食譜'!$J:$J,""),'食材'!$B:$B,'食材'!$D:$D,"")</f>
        <v/>
      </c>
      <c r="DW52" s="77"/>
      <c r="DX52" s="78">
        <f t="array" ref="DX52">XLOOKUP(DV50,'食譜'!$B:$B,'食譜'!$K:$K,"")</f>
        <v>20</v>
      </c>
      <c r="DY52" s="74"/>
      <c r="DZ52" s="76" t="str">
        <f t="array" ref="DZ52">XLOOKUP(XLOOKUP(DZ50,'食譜'!$B:$B,'食譜'!$J:$J,""),'食材'!$B:$B,'食材'!$D:$D,"")</f>
        <v/>
      </c>
      <c r="EA52" s="77"/>
      <c r="EB52" s="78">
        <f t="array" ref="EB52">XLOOKUP(DZ50,'食譜'!$B:$B,'食譜'!$K:$K,"")</f>
        <v>25</v>
      </c>
      <c r="EC52" s="74"/>
      <c r="ED52" s="76" t="str">
        <f t="array" ref="ED52">XLOOKUP(XLOOKUP(ED50,'食譜'!$B:$B,'食譜'!$J:$J,""),'食材'!$B:$B,'食材'!$D:$D,"")</f>
        <v/>
      </c>
      <c r="EE52" s="77"/>
      <c r="EF52" s="78">
        <f t="array" ref="EF52">XLOOKUP(ED50,'食譜'!$B:$B,'食譜'!$K:$K,"")</f>
        <v>35</v>
      </c>
      <c r="EG52" s="74"/>
      <c r="EH52" s="76" t="str">
        <f t="array" ref="EH52">XLOOKUP(XLOOKUP(EH50,'食譜'!$B:$B,'食譜'!$J:$J,""),'食材'!$B:$B,'食材'!$D:$D,"")</f>
        <v/>
      </c>
      <c r="EI52" s="77"/>
      <c r="EJ52" s="78">
        <f t="array" ref="EJ52">XLOOKUP(EH50,'食譜'!$B:$B,'食譜'!$K:$K,"")</f>
        <v>30</v>
      </c>
      <c r="EK52" s="74"/>
      <c r="EL52" s="76" t="str">
        <f t="array" ref="EL52">XLOOKUP(XLOOKUP(EL50,'食譜'!$B:$B,'食譜'!$J:$J,""),'食材'!$B:$B,'食材'!$D:$D,"")</f>
        <v/>
      </c>
      <c r="EM52" s="77"/>
      <c r="EN52" s="78">
        <f t="array" ref="EN52">XLOOKUP(EL50,'食譜'!$B:$B,'食譜'!$K:$K,"")</f>
        <v>18</v>
      </c>
      <c r="EO52" s="74"/>
      <c r="EP52" s="1"/>
      <c r="EQ52" s="1"/>
      <c r="ER52" s="1"/>
      <c r="ES52" s="1"/>
      <c r="ET52" s="1"/>
      <c r="EU52" s="1"/>
      <c r="EV52" s="1"/>
      <c r="EW52" s="1"/>
      <c r="EX52" s="1"/>
    </row>
    <row r="53" ht="15.0" customHeight="1">
      <c r="A53" s="142"/>
      <c r="B53" s="142"/>
      <c r="C53" s="142"/>
      <c r="D53" s="142"/>
      <c r="E53" s="142"/>
      <c r="F53" s="142"/>
      <c r="G53" s="142"/>
      <c r="H53" s="142"/>
      <c r="I53" s="142"/>
      <c r="J53" s="97"/>
      <c r="K53" s="9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4"/>
      <c r="AO53" s="15"/>
      <c r="AP53" s="66"/>
      <c r="AQ53" s="79"/>
      <c r="AR53" s="80"/>
      <c r="AS53" s="68"/>
      <c r="AT53" s="66"/>
      <c r="AU53" s="79"/>
      <c r="AV53" s="80"/>
      <c r="AW53" s="68"/>
      <c r="AX53" s="66"/>
      <c r="AY53" s="79"/>
      <c r="AZ53" s="80"/>
      <c r="BA53" s="68"/>
      <c r="BB53" s="66"/>
      <c r="BC53" s="79"/>
      <c r="BD53" s="80"/>
      <c r="BE53" s="68"/>
      <c r="BF53" s="66"/>
      <c r="BG53" s="79"/>
      <c r="BH53" s="80"/>
      <c r="BI53" s="68"/>
      <c r="BJ53" s="66"/>
      <c r="BK53" s="79"/>
      <c r="BL53" s="80"/>
      <c r="BM53" s="68"/>
      <c r="BN53" s="66"/>
      <c r="BO53" s="79"/>
      <c r="BP53" s="80"/>
      <c r="BQ53" s="68"/>
      <c r="BR53" s="66"/>
      <c r="BS53" s="79"/>
      <c r="BT53" s="80"/>
      <c r="BU53" s="68"/>
      <c r="BV53" s="66"/>
      <c r="BW53" s="79"/>
      <c r="BX53" s="80"/>
      <c r="BY53" s="68"/>
      <c r="BZ53" s="66"/>
      <c r="CA53" s="79"/>
      <c r="CB53" s="80"/>
      <c r="CC53" s="68"/>
      <c r="CD53" s="66"/>
      <c r="CE53" s="79"/>
      <c r="CF53" s="80"/>
      <c r="CG53" s="68"/>
      <c r="CH53" s="66"/>
      <c r="CI53" s="79"/>
      <c r="CJ53" s="80"/>
      <c r="CK53" s="68"/>
      <c r="CL53" s="66"/>
      <c r="CM53" s="79"/>
      <c r="CN53" s="80"/>
      <c r="CO53" s="68"/>
      <c r="CP53" s="66"/>
      <c r="CQ53" s="79"/>
      <c r="CR53" s="80"/>
      <c r="CS53" s="68"/>
      <c r="CT53" s="66"/>
      <c r="CU53" s="79"/>
      <c r="CV53" s="80"/>
      <c r="CW53" s="68"/>
      <c r="CX53" s="66"/>
      <c r="CY53" s="79"/>
      <c r="CZ53" s="80"/>
      <c r="DA53" s="68"/>
      <c r="DB53" s="66"/>
      <c r="DC53" s="79"/>
      <c r="DD53" s="80"/>
      <c r="DE53" s="68"/>
      <c r="DF53" s="66"/>
      <c r="DG53" s="79"/>
      <c r="DH53" s="80"/>
      <c r="DI53" s="68"/>
      <c r="DJ53" s="66"/>
      <c r="DK53" s="79"/>
      <c r="DL53" s="80"/>
      <c r="DM53" s="68"/>
      <c r="DN53" s="66"/>
      <c r="DO53" s="79"/>
      <c r="DP53" s="80"/>
      <c r="DQ53" s="68"/>
      <c r="DR53" s="66"/>
      <c r="DS53" s="79"/>
      <c r="DT53" s="80"/>
      <c r="DU53" s="68"/>
      <c r="DV53" s="66"/>
      <c r="DW53" s="79"/>
      <c r="DX53" s="80"/>
      <c r="DY53" s="68"/>
      <c r="DZ53" s="66"/>
      <c r="EA53" s="79"/>
      <c r="EB53" s="80"/>
      <c r="EC53" s="68"/>
      <c r="ED53" s="66"/>
      <c r="EE53" s="79"/>
      <c r="EF53" s="80"/>
      <c r="EG53" s="68"/>
      <c r="EH53" s="66"/>
      <c r="EI53" s="79"/>
      <c r="EJ53" s="80"/>
      <c r="EK53" s="68"/>
      <c r="EL53" s="66"/>
      <c r="EM53" s="79"/>
      <c r="EN53" s="80"/>
      <c r="EO53" s="68"/>
      <c r="EP53" s="1"/>
      <c r="EQ53" s="1"/>
      <c r="ER53" s="1"/>
      <c r="ES53" s="1"/>
      <c r="ET53" s="1"/>
      <c r="EU53" s="1"/>
      <c r="EV53" s="1"/>
      <c r="EW53" s="1"/>
      <c r="EX53" s="1"/>
    </row>
    <row r="54" ht="15.0" customHeight="1">
      <c r="A54" s="142"/>
      <c r="B54" s="142"/>
      <c r="C54" s="142"/>
      <c r="D54" s="142"/>
      <c r="E54" s="142"/>
      <c r="F54" s="142"/>
      <c r="G54" s="142"/>
      <c r="H54" s="142"/>
      <c r="I54" s="142"/>
      <c r="J54" s="97"/>
      <c r="K54" s="9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4"/>
      <c r="AO54" s="15"/>
      <c r="AP54" s="76" t="str">
        <f t="array" ref="AP54">XLOOKUP(XLOOKUP(AP50,'食譜'!$B:$B,'食譜'!$L:$L,""),'食材'!$B:$B,'食材'!$D:$D,"")</f>
        <v/>
      </c>
      <c r="AQ54" s="77"/>
      <c r="AR54" s="78" t="str">
        <f t="array" ref="AR54">XLOOKUP(AP50,'食譜'!$B:$B,'食譜'!$M:$M,"")</f>
        <v/>
      </c>
      <c r="AS54" s="74"/>
      <c r="AT54" s="76" t="str">
        <f t="array" ref="AT54">XLOOKUP(XLOOKUP(AT50,'食譜'!$B:$B,'食譜'!$L:$L,""),'食材'!$B:$B,'食材'!$D:$D,"")</f>
        <v/>
      </c>
      <c r="AU54" s="77"/>
      <c r="AV54" s="78" t="str">
        <f t="array" ref="AV54">XLOOKUP(AT50,'食譜'!$B:$B,'食譜'!$M:$M,"")</f>
        <v/>
      </c>
      <c r="AW54" s="74"/>
      <c r="AX54" s="76" t="str">
        <f t="array" ref="AX54">XLOOKUP(XLOOKUP(AX50,'食譜'!$B:$B,'食譜'!$L:$L,""),'食材'!$B:$B,'食材'!$D:$D,"")</f>
        <v/>
      </c>
      <c r="AY54" s="77"/>
      <c r="AZ54" s="78" t="str">
        <f t="array" ref="AZ54">XLOOKUP(AX50,'食譜'!$B:$B,'食譜'!$M:$M,"")</f>
        <v/>
      </c>
      <c r="BA54" s="74"/>
      <c r="BB54" s="76" t="str">
        <f t="array" ref="BB54">XLOOKUP(XLOOKUP(BB50,'食譜'!$B:$B,'食譜'!$L:$L,""),'食材'!$B:$B,'食材'!$D:$D,"")</f>
        <v/>
      </c>
      <c r="BC54" s="77"/>
      <c r="BD54" s="78">
        <f t="array" ref="BD54">XLOOKUP(BB50,'食譜'!$B:$B,'食譜'!$M:$M,"")</f>
        <v>4</v>
      </c>
      <c r="BE54" s="74"/>
      <c r="BF54" s="76" t="str">
        <f t="array" ref="BF54">XLOOKUP(XLOOKUP(BF50,'食譜'!$B:$B,'食譜'!$L:$L,""),'食材'!$B:$B,'食材'!$D:$D,"")</f>
        <v/>
      </c>
      <c r="BG54" s="77"/>
      <c r="BH54" s="78">
        <f t="array" ref="BH54">XLOOKUP(BF50,'食譜'!$B:$B,'食譜'!$M:$M,"")</f>
        <v>5</v>
      </c>
      <c r="BI54" s="74"/>
      <c r="BJ54" s="76" t="str">
        <f t="array" ref="BJ54">XLOOKUP(XLOOKUP(BJ50,'食譜'!$B:$B,'食譜'!$L:$L,""),'食材'!$B:$B,'食材'!$D:$D,"")</f>
        <v/>
      </c>
      <c r="BK54" s="77"/>
      <c r="BL54" s="78">
        <f t="array" ref="BL54">XLOOKUP(BJ50,'食譜'!$B:$B,'食譜'!$M:$M,"")</f>
        <v>7</v>
      </c>
      <c r="BM54" s="74"/>
      <c r="BN54" s="76" t="str">
        <f t="array" ref="BN54">XLOOKUP(XLOOKUP(BN50,'食譜'!$B:$B,'食譜'!$L:$L,""),'食材'!$B:$B,'食材'!$D:$D,"")</f>
        <v/>
      </c>
      <c r="BO54" s="77"/>
      <c r="BP54" s="78">
        <f t="array" ref="BP54">XLOOKUP(BN50,'食譜'!$B:$B,'食譜'!$M:$M,"")</f>
        <v>7</v>
      </c>
      <c r="BQ54" s="74"/>
      <c r="BR54" s="76" t="str">
        <f t="array" ref="BR54">XLOOKUP(XLOOKUP(BR50,'食譜'!$B:$B,'食譜'!$L:$L,""),'食材'!$B:$B,'食材'!$D:$D,"")</f>
        <v/>
      </c>
      <c r="BS54" s="77"/>
      <c r="BT54" s="78">
        <f t="array" ref="BT54">XLOOKUP(BR50,'食譜'!$B:$B,'食譜'!$M:$M,"")</f>
        <v>7</v>
      </c>
      <c r="BU54" s="74"/>
      <c r="BV54" s="76" t="str">
        <f t="array" ref="BV54">XLOOKUP(XLOOKUP(BV50,'食譜'!$B:$B,'食譜'!$L:$L,""),'食材'!$B:$B,'食材'!$D:$D,"")</f>
        <v/>
      </c>
      <c r="BW54" s="77"/>
      <c r="BX54" s="78">
        <f t="array" ref="BX54">XLOOKUP(BV50,'食譜'!$B:$B,'食譜'!$M:$M,"")</f>
        <v>7</v>
      </c>
      <c r="BY54" s="74"/>
      <c r="BZ54" s="76" t="str">
        <f t="array" ref="BZ54">XLOOKUP(XLOOKUP(BZ50,'食譜'!$B:$B,'食譜'!$L:$L,""),'食材'!$B:$B,'食材'!$D:$D,"")</f>
        <v/>
      </c>
      <c r="CA54" s="77"/>
      <c r="CB54" s="78">
        <f t="array" ref="CB54">XLOOKUP(BZ50,'食譜'!$B:$B,'食譜'!$M:$M,"")</f>
        <v>8</v>
      </c>
      <c r="CC54" s="74"/>
      <c r="CD54" s="76" t="str">
        <f t="array" ref="CD54">XLOOKUP(XLOOKUP(CD50,'食譜'!$B:$B,'食譜'!$L:$L,""),'食材'!$B:$B,'食材'!$D:$D,"")</f>
        <v/>
      </c>
      <c r="CE54" s="77"/>
      <c r="CF54" s="78">
        <f t="array" ref="CF54">XLOOKUP(CD50,'食譜'!$B:$B,'食譜'!$M:$M,"")</f>
        <v>11</v>
      </c>
      <c r="CG54" s="74"/>
      <c r="CH54" s="76" t="str">
        <f t="array" ref="CH54">XLOOKUP(XLOOKUP(CH50,'食譜'!$B:$B,'食譜'!$L:$L,""),'食材'!$B:$B,'食材'!$D:$D,"")</f>
        <v/>
      </c>
      <c r="CI54" s="77"/>
      <c r="CJ54" s="78">
        <f t="array" ref="CJ54">XLOOKUP(CH50,'食譜'!$B:$B,'食譜'!$M:$M,"")</f>
        <v>8</v>
      </c>
      <c r="CK54" s="74"/>
      <c r="CL54" s="76" t="str">
        <f t="array" ref="CL54">XLOOKUP(XLOOKUP(CL50,'食譜'!$B:$B,'食譜'!$L:$L,""),'食材'!$B:$B,'食材'!$D:$D,"")</f>
        <v/>
      </c>
      <c r="CM54" s="77"/>
      <c r="CN54" s="78">
        <f t="array" ref="CN54">XLOOKUP(CL50,'食譜'!$B:$B,'食譜'!$M:$M,"")</f>
        <v>9</v>
      </c>
      <c r="CO54" s="74"/>
      <c r="CP54" s="76" t="str">
        <f t="array" ref="CP54">XLOOKUP(XLOOKUP(CP50,'食譜'!$B:$B,'食譜'!$L:$L,""),'食材'!$B:$B,'食材'!$D:$D,"")</f>
        <v/>
      </c>
      <c r="CQ54" s="77"/>
      <c r="CR54" s="78">
        <f t="array" ref="CR54">XLOOKUP(CP50,'食譜'!$B:$B,'食譜'!$M:$M,"")</f>
        <v>12</v>
      </c>
      <c r="CS54" s="74"/>
      <c r="CT54" s="76" t="str">
        <f t="array" ref="CT54">XLOOKUP(XLOOKUP(CT50,'食譜'!$B:$B,'食譜'!$L:$L,""),'食材'!$B:$B,'食材'!$D:$D,"")</f>
        <v/>
      </c>
      <c r="CU54" s="77"/>
      <c r="CV54" s="78">
        <f t="array" ref="CV54">XLOOKUP(CT50,'食譜'!$B:$B,'食譜'!$M:$M,"")</f>
        <v>11</v>
      </c>
      <c r="CW54" s="74"/>
      <c r="CX54" s="76" t="str">
        <f t="array" ref="CX54">XLOOKUP(XLOOKUP(CX50,'食譜'!$B:$B,'食譜'!$L:$L,""),'食材'!$B:$B,'食材'!$D:$D,"")</f>
        <v/>
      </c>
      <c r="CY54" s="77"/>
      <c r="CZ54" s="78">
        <f t="array" ref="CZ54">XLOOKUP(CX50,'食譜'!$B:$B,'食譜'!$M:$M,"")</f>
        <v>12</v>
      </c>
      <c r="DA54" s="74"/>
      <c r="DB54" s="76" t="str">
        <f t="array" ref="DB54">XLOOKUP(XLOOKUP(DB50,'食譜'!$B:$B,'食譜'!$L:$L,""),'食材'!$B:$B,'食材'!$D:$D,"")</f>
        <v/>
      </c>
      <c r="DC54" s="77"/>
      <c r="DD54" s="78">
        <f t="array" ref="DD54">XLOOKUP(DB50,'食譜'!$B:$B,'食譜'!$M:$M,"")</f>
        <v>14</v>
      </c>
      <c r="DE54" s="74"/>
      <c r="DF54" s="76" t="str">
        <f t="array" ref="DF54">XLOOKUP(XLOOKUP(DF50,'食譜'!$B:$B,'食譜'!$L:$L,""),'食材'!$B:$B,'食材'!$D:$D,"")</f>
        <v/>
      </c>
      <c r="DG54" s="77"/>
      <c r="DH54" s="78">
        <f t="array" ref="DH54">XLOOKUP(DF50,'食譜'!$B:$B,'食譜'!$M:$M,"")</f>
        <v>14</v>
      </c>
      <c r="DI54" s="74"/>
      <c r="DJ54" s="76" t="str">
        <f t="array" ref="DJ54">XLOOKUP(XLOOKUP(DJ50,'食譜'!$B:$B,'食譜'!$L:$L,""),'食材'!$B:$B,'食材'!$D:$D,"")</f>
        <v/>
      </c>
      <c r="DK54" s="77"/>
      <c r="DL54" s="78">
        <f t="array" ref="DL54">XLOOKUP(DJ50,'食譜'!$B:$B,'食譜'!$M:$M,"")</f>
        <v>14</v>
      </c>
      <c r="DM54" s="74"/>
      <c r="DN54" s="76" t="str">
        <f t="array" ref="DN54">XLOOKUP(XLOOKUP(DN50,'食譜'!$B:$B,'食譜'!$L:$L,""),'食材'!$B:$B,'食材'!$D:$D,"")</f>
        <v/>
      </c>
      <c r="DO54" s="77"/>
      <c r="DP54" s="78">
        <f t="array" ref="DP54">XLOOKUP(DN50,'食譜'!$B:$B,'食譜'!$M:$M,"")</f>
        <v>15</v>
      </c>
      <c r="DQ54" s="74"/>
      <c r="DR54" s="76" t="str">
        <f t="array" ref="DR54">XLOOKUP(XLOOKUP(DR50,'食譜'!$B:$B,'食譜'!$L:$L,""),'食材'!$B:$B,'食材'!$D:$D,"")</f>
        <v/>
      </c>
      <c r="DS54" s="77"/>
      <c r="DT54" s="78">
        <f t="array" ref="DT54">XLOOKUP(DR50,'食譜'!$B:$B,'食譜'!$M:$M,"")</f>
        <v>16</v>
      </c>
      <c r="DU54" s="74"/>
      <c r="DV54" s="76" t="str">
        <f t="array" ref="DV54">XLOOKUP(XLOOKUP(DV50,'食譜'!$B:$B,'食譜'!$L:$L,""),'食材'!$B:$B,'食材'!$D:$D,"")</f>
        <v/>
      </c>
      <c r="DW54" s="77"/>
      <c r="DX54" s="78">
        <f t="array" ref="DX54">XLOOKUP(DV50,'食譜'!$B:$B,'食譜'!$M:$M,"")</f>
        <v>20</v>
      </c>
      <c r="DY54" s="74"/>
      <c r="DZ54" s="76" t="str">
        <f t="array" ref="DZ54">XLOOKUP(XLOOKUP(DZ50,'食譜'!$B:$B,'食譜'!$L:$L,""),'食材'!$B:$B,'食材'!$D:$D,"")</f>
        <v/>
      </c>
      <c r="EA54" s="77"/>
      <c r="EB54" s="78">
        <f t="array" ref="EB54">XLOOKUP(DZ50,'食譜'!$B:$B,'食譜'!$M:$M,"")</f>
        <v>25</v>
      </c>
      <c r="EC54" s="74"/>
      <c r="ED54" s="76" t="str">
        <f t="array" ref="ED54">XLOOKUP(XLOOKUP(ED50,'食譜'!$B:$B,'食譜'!$L:$L,""),'食材'!$B:$B,'食材'!$D:$D,"")</f>
        <v/>
      </c>
      <c r="EE54" s="77"/>
      <c r="EF54" s="78">
        <f t="array" ref="EF54">XLOOKUP(ED50,'食譜'!$B:$B,'食譜'!$M:$M,"")</f>
        <v>20</v>
      </c>
      <c r="EG54" s="74"/>
      <c r="EH54" s="76" t="str">
        <f t="array" ref="EH54">XLOOKUP(XLOOKUP(EH50,'食譜'!$B:$B,'食譜'!$L:$L,""),'食材'!$B:$B,'食材'!$D:$D,"")</f>
        <v/>
      </c>
      <c r="EI54" s="77"/>
      <c r="EJ54" s="78">
        <f t="array" ref="EJ54">XLOOKUP(EH50,'食譜'!$B:$B,'食譜'!$M:$M,"")</f>
        <v>26</v>
      </c>
      <c r="EK54" s="74"/>
      <c r="EL54" s="76" t="str">
        <f t="array" ref="EL54">XLOOKUP(XLOOKUP(EL50,'食譜'!$B:$B,'食譜'!$L:$L,""),'食材'!$B:$B,'食材'!$D:$D,"")</f>
        <v/>
      </c>
      <c r="EM54" s="77"/>
      <c r="EN54" s="78">
        <f t="array" ref="EN54">XLOOKUP(EL50,'食譜'!$B:$B,'食譜'!$M:$M,"")</f>
        <v>24</v>
      </c>
      <c r="EO54" s="74"/>
      <c r="EP54" s="1"/>
      <c r="EQ54" s="1"/>
      <c r="ER54" s="1"/>
      <c r="ES54" s="1"/>
      <c r="ET54" s="1"/>
      <c r="EU54" s="1"/>
      <c r="EV54" s="1"/>
      <c r="EW54" s="1"/>
      <c r="EX54" s="1"/>
    </row>
    <row r="55" ht="15.0" customHeight="1">
      <c r="A55" s="142"/>
      <c r="B55" s="142"/>
      <c r="C55" s="142"/>
      <c r="D55" s="142"/>
      <c r="E55" s="142"/>
      <c r="F55" s="142"/>
      <c r="G55" s="142"/>
      <c r="H55" s="142"/>
      <c r="I55" s="142"/>
      <c r="J55" s="97"/>
      <c r="K55" s="9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4"/>
      <c r="AO55" s="15"/>
      <c r="AP55" s="66"/>
      <c r="AQ55" s="79"/>
      <c r="AR55" s="80"/>
      <c r="AS55" s="68"/>
      <c r="AT55" s="66"/>
      <c r="AU55" s="79"/>
      <c r="AV55" s="80"/>
      <c r="AW55" s="68"/>
      <c r="AX55" s="66"/>
      <c r="AY55" s="79"/>
      <c r="AZ55" s="80"/>
      <c r="BA55" s="68"/>
      <c r="BB55" s="66"/>
      <c r="BC55" s="79"/>
      <c r="BD55" s="80"/>
      <c r="BE55" s="68"/>
      <c r="BF55" s="66"/>
      <c r="BG55" s="79"/>
      <c r="BH55" s="80"/>
      <c r="BI55" s="68"/>
      <c r="BJ55" s="66"/>
      <c r="BK55" s="79"/>
      <c r="BL55" s="80"/>
      <c r="BM55" s="68"/>
      <c r="BN55" s="66"/>
      <c r="BO55" s="79"/>
      <c r="BP55" s="80"/>
      <c r="BQ55" s="68"/>
      <c r="BR55" s="66"/>
      <c r="BS55" s="79"/>
      <c r="BT55" s="80"/>
      <c r="BU55" s="68"/>
      <c r="BV55" s="66"/>
      <c r="BW55" s="79"/>
      <c r="BX55" s="80"/>
      <c r="BY55" s="68"/>
      <c r="BZ55" s="66"/>
      <c r="CA55" s="79"/>
      <c r="CB55" s="80"/>
      <c r="CC55" s="68"/>
      <c r="CD55" s="66"/>
      <c r="CE55" s="79"/>
      <c r="CF55" s="80"/>
      <c r="CG55" s="68"/>
      <c r="CH55" s="66"/>
      <c r="CI55" s="79"/>
      <c r="CJ55" s="80"/>
      <c r="CK55" s="68"/>
      <c r="CL55" s="66"/>
      <c r="CM55" s="79"/>
      <c r="CN55" s="80"/>
      <c r="CO55" s="68"/>
      <c r="CP55" s="66"/>
      <c r="CQ55" s="79"/>
      <c r="CR55" s="80"/>
      <c r="CS55" s="68"/>
      <c r="CT55" s="66"/>
      <c r="CU55" s="79"/>
      <c r="CV55" s="80"/>
      <c r="CW55" s="68"/>
      <c r="CX55" s="66"/>
      <c r="CY55" s="79"/>
      <c r="CZ55" s="80"/>
      <c r="DA55" s="68"/>
      <c r="DB55" s="66"/>
      <c r="DC55" s="79"/>
      <c r="DD55" s="80"/>
      <c r="DE55" s="68"/>
      <c r="DF55" s="66"/>
      <c r="DG55" s="79"/>
      <c r="DH55" s="80"/>
      <c r="DI55" s="68"/>
      <c r="DJ55" s="66"/>
      <c r="DK55" s="79"/>
      <c r="DL55" s="80"/>
      <c r="DM55" s="68"/>
      <c r="DN55" s="66"/>
      <c r="DO55" s="79"/>
      <c r="DP55" s="80"/>
      <c r="DQ55" s="68"/>
      <c r="DR55" s="66"/>
      <c r="DS55" s="79"/>
      <c r="DT55" s="80"/>
      <c r="DU55" s="68"/>
      <c r="DV55" s="66"/>
      <c r="DW55" s="79"/>
      <c r="DX55" s="80"/>
      <c r="DY55" s="68"/>
      <c r="DZ55" s="66"/>
      <c r="EA55" s="79"/>
      <c r="EB55" s="80"/>
      <c r="EC55" s="68"/>
      <c r="ED55" s="66"/>
      <c r="EE55" s="79"/>
      <c r="EF55" s="80"/>
      <c r="EG55" s="68"/>
      <c r="EH55" s="66"/>
      <c r="EI55" s="79"/>
      <c r="EJ55" s="80"/>
      <c r="EK55" s="68"/>
      <c r="EL55" s="66"/>
      <c r="EM55" s="79"/>
      <c r="EN55" s="80"/>
      <c r="EO55" s="68"/>
      <c r="EP55" s="1"/>
      <c r="EQ55" s="1"/>
      <c r="ER55" s="1"/>
      <c r="ES55" s="1"/>
      <c r="ET55" s="1"/>
      <c r="EU55" s="1"/>
      <c r="EV55" s="1"/>
      <c r="EW55" s="1"/>
      <c r="EX55" s="1"/>
    </row>
    <row r="56" ht="15.0" customHeight="1">
      <c r="A56" s="142"/>
      <c r="B56" s="142"/>
      <c r="C56" s="142"/>
      <c r="D56" s="142"/>
      <c r="E56" s="142"/>
      <c r="F56" s="142"/>
      <c r="G56" s="142"/>
      <c r="H56" s="142"/>
      <c r="I56" s="142"/>
      <c r="J56" s="97"/>
      <c r="K56" s="9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4"/>
      <c r="AO56" s="15"/>
      <c r="AP56" s="76" t="str">
        <f t="array" ref="AP56">XLOOKUP(XLOOKUP(AP50,'食譜'!$B:$B,'食譜'!$N:$N,""),'食材'!$B:$B,'食材'!$D:$D,"")</f>
        <v/>
      </c>
      <c r="AQ56" s="77"/>
      <c r="AR56" s="78" t="str">
        <f t="array" ref="AR56">XLOOKUP(AP50,'食譜'!$B:$B,'食譜'!$O:$O,"")</f>
        <v/>
      </c>
      <c r="AS56" s="74"/>
      <c r="AT56" s="76" t="str">
        <f t="array" ref="AT56">XLOOKUP(XLOOKUP(AT50,'食譜'!$B:$B,'食譜'!$N:$N,""),'食材'!$B:$B,'食材'!$D:$D,"")</f>
        <v/>
      </c>
      <c r="AU56" s="77"/>
      <c r="AV56" s="78" t="str">
        <f t="array" ref="AV56">XLOOKUP(AT50,'食譜'!$B:$B,'食譜'!$O:$O,"")</f>
        <v/>
      </c>
      <c r="AW56" s="74"/>
      <c r="AX56" s="76" t="str">
        <f t="array" ref="AX56">XLOOKUP(XLOOKUP(AX50,'食譜'!$B:$B,'食譜'!$N:$N,""),'食材'!$B:$B,'食材'!$D:$D,"")</f>
        <v/>
      </c>
      <c r="AY56" s="77"/>
      <c r="AZ56" s="78" t="str">
        <f t="array" ref="AZ56">XLOOKUP(AX50,'食譜'!$B:$B,'食譜'!$O:$O,"")</f>
        <v/>
      </c>
      <c r="BA56" s="74"/>
      <c r="BB56" s="76" t="str">
        <f t="array" ref="BB56">XLOOKUP(XLOOKUP(BB50,'食譜'!$B:$B,'食譜'!$N:$N,""),'食材'!$B:$B,'食材'!$D:$D,"")</f>
        <v/>
      </c>
      <c r="BC56" s="77"/>
      <c r="BD56" s="78" t="str">
        <f t="array" ref="BD56">XLOOKUP(BB50,'食譜'!$B:$B,'食譜'!$O:$O,"")</f>
        <v/>
      </c>
      <c r="BE56" s="74"/>
      <c r="BF56" s="76" t="str">
        <f t="array" ref="BF56">XLOOKUP(XLOOKUP(BF50,'食譜'!$B:$B,'食譜'!$N:$N,""),'食材'!$B:$B,'食材'!$D:$D,"")</f>
        <v/>
      </c>
      <c r="BG56" s="77"/>
      <c r="BH56" s="78" t="str">
        <f t="array" ref="BH56">XLOOKUP(BF50,'食譜'!$B:$B,'食譜'!$O:$O,"")</f>
        <v/>
      </c>
      <c r="BI56" s="74"/>
      <c r="BJ56" s="76" t="str">
        <f t="array" ref="BJ56">XLOOKUP(XLOOKUP(BJ50,'食譜'!$B:$B,'食譜'!$N:$N,""),'食材'!$B:$B,'食材'!$D:$D,"")</f>
        <v/>
      </c>
      <c r="BK56" s="77"/>
      <c r="BL56" s="78" t="str">
        <f t="array" ref="BL56">XLOOKUP(BJ50,'食譜'!$B:$B,'食譜'!$O:$O,"")</f>
        <v/>
      </c>
      <c r="BM56" s="74"/>
      <c r="BN56" s="76" t="str">
        <f t="array" ref="BN56">XLOOKUP(XLOOKUP(BN50,'食譜'!$B:$B,'食譜'!$N:$N,""),'食材'!$B:$B,'食材'!$D:$D,"")</f>
        <v/>
      </c>
      <c r="BO56" s="77"/>
      <c r="BP56" s="78" t="str">
        <f t="array" ref="BP56">XLOOKUP(BN50,'食譜'!$B:$B,'食譜'!$O:$O,"")</f>
        <v/>
      </c>
      <c r="BQ56" s="74"/>
      <c r="BR56" s="76" t="str">
        <f t="array" ref="BR56">XLOOKUP(XLOOKUP(BR50,'食譜'!$B:$B,'食譜'!$N:$N,""),'食材'!$B:$B,'食材'!$D:$D,"")</f>
        <v/>
      </c>
      <c r="BS56" s="77"/>
      <c r="BT56" s="78" t="str">
        <f t="array" ref="BT56">XLOOKUP(BR50,'食譜'!$B:$B,'食譜'!$O:$O,"")</f>
        <v/>
      </c>
      <c r="BU56" s="74"/>
      <c r="BV56" s="76" t="str">
        <f t="array" ref="BV56">XLOOKUP(XLOOKUP(BV50,'食譜'!$B:$B,'食譜'!$N:$N,""),'食材'!$B:$B,'食材'!$D:$D,"")</f>
        <v/>
      </c>
      <c r="BW56" s="77"/>
      <c r="BX56" s="78">
        <f t="array" ref="BX56">XLOOKUP(BV50,'食譜'!$B:$B,'食譜'!$O:$O,"")</f>
        <v>6</v>
      </c>
      <c r="BY56" s="74"/>
      <c r="BZ56" s="76" t="str">
        <f t="array" ref="BZ56">XLOOKUP(XLOOKUP(BZ50,'食譜'!$B:$B,'食譜'!$N:$N,""),'食材'!$B:$B,'食材'!$D:$D,"")</f>
        <v/>
      </c>
      <c r="CA56" s="77"/>
      <c r="CB56" s="78" t="str">
        <f t="array" ref="CB56">XLOOKUP(BZ50,'食譜'!$B:$B,'食譜'!$O:$O,"")</f>
        <v/>
      </c>
      <c r="CC56" s="74"/>
      <c r="CD56" s="76" t="str">
        <f t="array" ref="CD56">XLOOKUP(XLOOKUP(CD50,'食譜'!$B:$B,'食譜'!$N:$N,""),'食材'!$B:$B,'食材'!$D:$D,"")</f>
        <v/>
      </c>
      <c r="CE56" s="77"/>
      <c r="CF56" s="78" t="str">
        <f t="array" ref="CF56">XLOOKUP(CD50,'食譜'!$B:$B,'食譜'!$O:$O,"")</f>
        <v/>
      </c>
      <c r="CG56" s="74"/>
      <c r="CH56" s="76" t="str">
        <f t="array" ref="CH56">XLOOKUP(XLOOKUP(CH50,'食譜'!$B:$B,'食譜'!$N:$N,""),'食材'!$B:$B,'食材'!$D:$D,"")</f>
        <v/>
      </c>
      <c r="CI56" s="77"/>
      <c r="CJ56" s="78">
        <f t="array" ref="CJ56">XLOOKUP(CH50,'食譜'!$B:$B,'食譜'!$O:$O,"")</f>
        <v>7</v>
      </c>
      <c r="CK56" s="74"/>
      <c r="CL56" s="76" t="str">
        <f t="array" ref="CL56">XLOOKUP(XLOOKUP(CL50,'食譜'!$B:$B,'食譜'!$N:$N,""),'食材'!$B:$B,'食材'!$D:$D,"")</f>
        <v/>
      </c>
      <c r="CM56" s="77"/>
      <c r="CN56" s="78">
        <f t="array" ref="CN56">XLOOKUP(CL50,'食譜'!$B:$B,'食譜'!$O:$O,"")</f>
        <v>8</v>
      </c>
      <c r="CO56" s="74"/>
      <c r="CP56" s="76" t="str">
        <f t="array" ref="CP56">XLOOKUP(XLOOKUP(CP50,'食譜'!$B:$B,'食譜'!$N:$N,""),'食材'!$B:$B,'食材'!$D:$D,"")</f>
        <v/>
      </c>
      <c r="CQ56" s="77"/>
      <c r="CR56" s="78">
        <f t="array" ref="CR56">XLOOKUP(CP50,'食譜'!$B:$B,'食譜'!$O:$O,"")</f>
        <v>5</v>
      </c>
      <c r="CS56" s="74"/>
      <c r="CT56" s="76" t="str">
        <f t="array" ref="CT56">XLOOKUP(XLOOKUP(CT50,'食譜'!$B:$B,'食譜'!$N:$N,""),'食材'!$B:$B,'食材'!$D:$D,"")</f>
        <v/>
      </c>
      <c r="CU56" s="77"/>
      <c r="CV56" s="78">
        <f t="array" ref="CV56">XLOOKUP(CT50,'食譜'!$B:$B,'食譜'!$O:$O,"")</f>
        <v>9</v>
      </c>
      <c r="CW56" s="74"/>
      <c r="CX56" s="76" t="str">
        <f t="array" ref="CX56">XLOOKUP(XLOOKUP(CX50,'食譜'!$B:$B,'食譜'!$N:$N,""),'食材'!$B:$B,'食材'!$D:$D,"")</f>
        <v/>
      </c>
      <c r="CY56" s="77"/>
      <c r="CZ56" s="78">
        <f t="array" ref="CZ56">XLOOKUP(CX50,'食譜'!$B:$B,'食譜'!$O:$O,"")</f>
        <v>7</v>
      </c>
      <c r="DA56" s="74"/>
      <c r="DB56" s="76" t="str">
        <f t="array" ref="DB56">XLOOKUP(XLOOKUP(DB50,'食譜'!$B:$B,'食譜'!$N:$N,""),'食材'!$B:$B,'食材'!$D:$D,"")</f>
        <v/>
      </c>
      <c r="DC56" s="77"/>
      <c r="DD56" s="78">
        <f t="array" ref="DD56">XLOOKUP(DB50,'食譜'!$B:$B,'食譜'!$O:$O,"")</f>
        <v>7</v>
      </c>
      <c r="DE56" s="74"/>
      <c r="DF56" s="76" t="str">
        <f t="array" ref="DF56">XLOOKUP(XLOOKUP(DF50,'食譜'!$B:$B,'食譜'!$N:$N,""),'食材'!$B:$B,'食材'!$D:$D,"")</f>
        <v/>
      </c>
      <c r="DG56" s="77"/>
      <c r="DH56" s="78">
        <f t="array" ref="DH56">XLOOKUP(DF50,'食譜'!$B:$B,'食譜'!$O:$O,"")</f>
        <v>12</v>
      </c>
      <c r="DI56" s="74"/>
      <c r="DJ56" s="76" t="str">
        <f t="array" ref="DJ56">XLOOKUP(XLOOKUP(DJ50,'食譜'!$B:$B,'食譜'!$N:$N,""),'食材'!$B:$B,'食材'!$D:$D,"")</f>
        <v/>
      </c>
      <c r="DK56" s="77"/>
      <c r="DL56" s="78">
        <f t="array" ref="DL56">XLOOKUP(DJ50,'食譜'!$B:$B,'食譜'!$O:$O,"")</f>
        <v>12</v>
      </c>
      <c r="DM56" s="74"/>
      <c r="DN56" s="76" t="str">
        <f t="array" ref="DN56">XLOOKUP(XLOOKUP(DN50,'食譜'!$B:$B,'食譜'!$N:$N,""),'食材'!$B:$B,'食材'!$D:$D,"")</f>
        <v/>
      </c>
      <c r="DO56" s="77"/>
      <c r="DP56" s="78">
        <f t="array" ref="DP56">XLOOKUP(DN50,'食譜'!$B:$B,'食譜'!$O:$O,"")</f>
        <v>10</v>
      </c>
      <c r="DQ56" s="74"/>
      <c r="DR56" s="76" t="str">
        <f t="array" ref="DR56">XLOOKUP(XLOOKUP(DR50,'食譜'!$B:$B,'食譜'!$N:$N,""),'食材'!$B:$B,'食材'!$D:$D,"")</f>
        <v/>
      </c>
      <c r="DS56" s="77"/>
      <c r="DT56" s="78">
        <f t="array" ref="DT56">XLOOKUP(DR50,'食譜'!$B:$B,'食譜'!$O:$O,"")</f>
        <v>14</v>
      </c>
      <c r="DU56" s="74"/>
      <c r="DV56" s="76" t="str">
        <f t="array" ref="DV56">XLOOKUP(XLOOKUP(DV50,'食譜'!$B:$B,'食譜'!$N:$N,""),'食材'!$B:$B,'食材'!$D:$D,"")</f>
        <v/>
      </c>
      <c r="DW56" s="77"/>
      <c r="DX56" s="78">
        <f t="array" ref="DX56">XLOOKUP(DV50,'食譜'!$B:$B,'食譜'!$O:$O,"")</f>
        <v>18</v>
      </c>
      <c r="DY56" s="74"/>
      <c r="DZ56" s="76" t="str">
        <f t="array" ref="DZ56">XLOOKUP(XLOOKUP(DZ50,'食譜'!$B:$B,'食譜'!$N:$N,""),'食材'!$B:$B,'食材'!$D:$D,"")</f>
        <v/>
      </c>
      <c r="EA56" s="77"/>
      <c r="EB56" s="78">
        <f t="array" ref="EB56">XLOOKUP(DZ50,'食譜'!$B:$B,'食譜'!$O:$O,"")</f>
        <v>17</v>
      </c>
      <c r="EC56" s="74"/>
      <c r="ED56" s="76" t="str">
        <f t="array" ref="ED56">XLOOKUP(XLOOKUP(ED50,'食譜'!$B:$B,'食譜'!$N:$N,""),'食材'!$B:$B,'食材'!$D:$D,"")</f>
        <v/>
      </c>
      <c r="EE56" s="77"/>
      <c r="EF56" s="78">
        <f t="array" ref="EF56">XLOOKUP(ED50,'食譜'!$B:$B,'食譜'!$O:$O,"")</f>
        <v>20</v>
      </c>
      <c r="EG56" s="74"/>
      <c r="EH56" s="76" t="str">
        <f t="array" ref="EH56">XLOOKUP(XLOOKUP(EH50,'食譜'!$B:$B,'食譜'!$N:$N,""),'食材'!$B:$B,'食材'!$D:$D,"")</f>
        <v/>
      </c>
      <c r="EI56" s="77"/>
      <c r="EJ56" s="78">
        <f t="array" ref="EJ56">XLOOKUP(EH50,'食譜'!$B:$B,'食譜'!$O:$O,"")</f>
        <v>24</v>
      </c>
      <c r="EK56" s="74"/>
      <c r="EL56" s="76" t="str">
        <f t="array" ref="EL56">XLOOKUP(XLOOKUP(EL50,'食譜'!$B:$B,'食譜'!$N:$N,""),'食材'!$B:$B,'食材'!$D:$D,"")</f>
        <v/>
      </c>
      <c r="EM56" s="77"/>
      <c r="EN56" s="78">
        <f t="array" ref="EN56">XLOOKUP(EL50,'食譜'!$B:$B,'食譜'!$O:$O,"")</f>
        <v>32</v>
      </c>
      <c r="EO56" s="74"/>
      <c r="EP56" s="1"/>
      <c r="EQ56" s="1"/>
      <c r="ER56" s="1"/>
      <c r="ES56" s="1"/>
      <c r="ET56" s="1"/>
      <c r="EU56" s="1"/>
      <c r="EV56" s="1"/>
      <c r="EW56" s="1"/>
      <c r="EX56" s="1"/>
    </row>
    <row r="57" ht="15.0" customHeight="1">
      <c r="A57" s="142"/>
      <c r="B57" s="142"/>
      <c r="C57" s="142"/>
      <c r="D57" s="142"/>
      <c r="E57" s="142"/>
      <c r="F57" s="142"/>
      <c r="G57" s="142"/>
      <c r="H57" s="142"/>
      <c r="I57" s="142"/>
      <c r="J57" s="97"/>
      <c r="K57" s="9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4"/>
      <c r="AO57" s="15"/>
      <c r="AP57" s="66"/>
      <c r="AQ57" s="79"/>
      <c r="AR57" s="80"/>
      <c r="AS57" s="68"/>
      <c r="AT57" s="66"/>
      <c r="AU57" s="79"/>
      <c r="AV57" s="80"/>
      <c r="AW57" s="68"/>
      <c r="AX57" s="66"/>
      <c r="AY57" s="79"/>
      <c r="AZ57" s="80"/>
      <c r="BA57" s="68"/>
      <c r="BB57" s="66"/>
      <c r="BC57" s="79"/>
      <c r="BD57" s="80"/>
      <c r="BE57" s="68"/>
      <c r="BF57" s="66"/>
      <c r="BG57" s="79"/>
      <c r="BH57" s="80"/>
      <c r="BI57" s="68"/>
      <c r="BJ57" s="66"/>
      <c r="BK57" s="79"/>
      <c r="BL57" s="80"/>
      <c r="BM57" s="68"/>
      <c r="BN57" s="66"/>
      <c r="BO57" s="79"/>
      <c r="BP57" s="80"/>
      <c r="BQ57" s="68"/>
      <c r="BR57" s="66"/>
      <c r="BS57" s="79"/>
      <c r="BT57" s="80"/>
      <c r="BU57" s="68"/>
      <c r="BV57" s="66"/>
      <c r="BW57" s="79"/>
      <c r="BX57" s="80"/>
      <c r="BY57" s="68"/>
      <c r="BZ57" s="66"/>
      <c r="CA57" s="79"/>
      <c r="CB57" s="80"/>
      <c r="CC57" s="68"/>
      <c r="CD57" s="66"/>
      <c r="CE57" s="79"/>
      <c r="CF57" s="80"/>
      <c r="CG57" s="68"/>
      <c r="CH57" s="66"/>
      <c r="CI57" s="79"/>
      <c r="CJ57" s="80"/>
      <c r="CK57" s="68"/>
      <c r="CL57" s="66"/>
      <c r="CM57" s="79"/>
      <c r="CN57" s="80"/>
      <c r="CO57" s="68"/>
      <c r="CP57" s="66"/>
      <c r="CQ57" s="79"/>
      <c r="CR57" s="80"/>
      <c r="CS57" s="68"/>
      <c r="CT57" s="66"/>
      <c r="CU57" s="79"/>
      <c r="CV57" s="80"/>
      <c r="CW57" s="68"/>
      <c r="CX57" s="66"/>
      <c r="CY57" s="79"/>
      <c r="CZ57" s="80"/>
      <c r="DA57" s="68"/>
      <c r="DB57" s="66"/>
      <c r="DC57" s="79"/>
      <c r="DD57" s="80"/>
      <c r="DE57" s="68"/>
      <c r="DF57" s="66"/>
      <c r="DG57" s="79"/>
      <c r="DH57" s="80"/>
      <c r="DI57" s="68"/>
      <c r="DJ57" s="66"/>
      <c r="DK57" s="79"/>
      <c r="DL57" s="80"/>
      <c r="DM57" s="68"/>
      <c r="DN57" s="66"/>
      <c r="DO57" s="79"/>
      <c r="DP57" s="80"/>
      <c r="DQ57" s="68"/>
      <c r="DR57" s="66"/>
      <c r="DS57" s="79"/>
      <c r="DT57" s="80"/>
      <c r="DU57" s="68"/>
      <c r="DV57" s="66"/>
      <c r="DW57" s="79"/>
      <c r="DX57" s="80"/>
      <c r="DY57" s="68"/>
      <c r="DZ57" s="66"/>
      <c r="EA57" s="79"/>
      <c r="EB57" s="80"/>
      <c r="EC57" s="68"/>
      <c r="ED57" s="66"/>
      <c r="EE57" s="79"/>
      <c r="EF57" s="80"/>
      <c r="EG57" s="68"/>
      <c r="EH57" s="66"/>
      <c r="EI57" s="79"/>
      <c r="EJ57" s="80"/>
      <c r="EK57" s="68"/>
      <c r="EL57" s="66"/>
      <c r="EM57" s="79"/>
      <c r="EN57" s="80"/>
      <c r="EO57" s="68"/>
      <c r="EP57" s="1"/>
      <c r="EQ57" s="1"/>
      <c r="ER57" s="1"/>
      <c r="ES57" s="1"/>
      <c r="ET57" s="1"/>
      <c r="EU57" s="1"/>
      <c r="EV57" s="1"/>
      <c r="EW57" s="1"/>
      <c r="EX57" s="1"/>
    </row>
    <row r="58" ht="15.0" customHeight="1">
      <c r="A58" s="142"/>
      <c r="B58" s="142"/>
      <c r="C58" s="142"/>
      <c r="D58" s="142"/>
      <c r="E58" s="142"/>
      <c r="F58" s="142"/>
      <c r="G58" s="142"/>
      <c r="H58" s="142"/>
      <c r="I58" s="142"/>
      <c r="J58" s="97"/>
      <c r="K58" s="9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4"/>
      <c r="AO58" s="15"/>
      <c r="AP58" s="76" t="str">
        <f t="array" ref="AP58">XLOOKUP(XLOOKUP(AP50,'食譜'!$B:$B,'食譜'!$P:$P,""),'食材'!$B:$B,'食材'!$D:$D,"")</f>
        <v/>
      </c>
      <c r="AQ58" s="77"/>
      <c r="AR58" s="78" t="str">
        <f t="array" ref="AR58">XLOOKUP(AP50,'食譜'!$B:$B,'食譜'!$Q:$Q,"")</f>
        <v/>
      </c>
      <c r="AS58" s="74"/>
      <c r="AT58" s="76" t="str">
        <f t="array" ref="AT58">XLOOKUP(XLOOKUP(AT50,'食譜'!$B:$B,'食譜'!$P:$P,""),'食材'!$B:$B,'食材'!$D:$D,"")</f>
        <v/>
      </c>
      <c r="AU58" s="77"/>
      <c r="AV58" s="78" t="str">
        <f t="array" ref="AV58">XLOOKUP(AT50,'食譜'!$B:$B,'食譜'!$Q:$Q,"")</f>
        <v/>
      </c>
      <c r="AW58" s="74"/>
      <c r="AX58" s="76" t="str">
        <f t="array" ref="AX58">XLOOKUP(XLOOKUP(AX50,'食譜'!$B:$B,'食譜'!$P:$P,""),'食材'!$B:$B,'食材'!$D:$D,"")</f>
        <v/>
      </c>
      <c r="AY58" s="77"/>
      <c r="AZ58" s="78" t="str">
        <f t="array" ref="AZ58">XLOOKUP(AX50,'食譜'!$B:$B,'食譜'!$Q:$Q,"")</f>
        <v/>
      </c>
      <c r="BA58" s="74"/>
      <c r="BB58" s="76" t="str">
        <f t="array" ref="BB58">XLOOKUP(XLOOKUP(BB50,'食譜'!$B:$B,'食譜'!$P:$P,""),'食材'!$B:$B,'食材'!$D:$D,"")</f>
        <v/>
      </c>
      <c r="BC58" s="77"/>
      <c r="BD58" s="78" t="str">
        <f t="array" ref="BD58">XLOOKUP(BB50,'食譜'!$B:$B,'食譜'!$Q:$Q,"")</f>
        <v/>
      </c>
      <c r="BE58" s="74"/>
      <c r="BF58" s="76" t="str">
        <f t="array" ref="BF58">XLOOKUP(XLOOKUP(BF50,'食譜'!$B:$B,'食譜'!$P:$P,""),'食材'!$B:$B,'食材'!$D:$D,"")</f>
        <v/>
      </c>
      <c r="BG58" s="77"/>
      <c r="BH58" s="78" t="str">
        <f t="array" ref="BH58">XLOOKUP(BF50,'食譜'!$B:$B,'食譜'!$Q:$Q,"")</f>
        <v/>
      </c>
      <c r="BI58" s="74"/>
      <c r="BJ58" s="76" t="str">
        <f t="array" ref="BJ58">XLOOKUP(XLOOKUP(BJ50,'食譜'!$B:$B,'食譜'!$P:$P,""),'食材'!$B:$B,'食材'!$D:$D,"")</f>
        <v/>
      </c>
      <c r="BK58" s="77"/>
      <c r="BL58" s="78" t="str">
        <f t="array" ref="BL58">XLOOKUP(BJ50,'食譜'!$B:$B,'食譜'!$Q:$Q,"")</f>
        <v/>
      </c>
      <c r="BM58" s="74"/>
      <c r="BN58" s="76" t="str">
        <f t="array" ref="BN58">XLOOKUP(XLOOKUP(BN50,'食譜'!$B:$B,'食譜'!$P:$P,""),'食材'!$B:$B,'食材'!$D:$D,"")</f>
        <v/>
      </c>
      <c r="BO58" s="77"/>
      <c r="BP58" s="78" t="str">
        <f t="array" ref="BP58">XLOOKUP(BN50,'食譜'!$B:$B,'食譜'!$Q:$Q,"")</f>
        <v/>
      </c>
      <c r="BQ58" s="74"/>
      <c r="BR58" s="76" t="str">
        <f t="array" ref="BR58">XLOOKUP(XLOOKUP(BR50,'食譜'!$B:$B,'食譜'!$P:$P,""),'食材'!$B:$B,'食材'!$D:$D,"")</f>
        <v/>
      </c>
      <c r="BS58" s="77"/>
      <c r="BT58" s="78" t="str">
        <f t="array" ref="BT58">XLOOKUP(BR50,'食譜'!$B:$B,'食譜'!$Q:$Q,"")</f>
        <v/>
      </c>
      <c r="BU58" s="74"/>
      <c r="BV58" s="76" t="str">
        <f t="array" ref="BV58">XLOOKUP(XLOOKUP(BV50,'食譜'!$B:$B,'食譜'!$P:$P,""),'食材'!$B:$B,'食材'!$D:$D,"")</f>
        <v/>
      </c>
      <c r="BW58" s="77"/>
      <c r="BX58" s="78" t="str">
        <f t="array" ref="BX58">XLOOKUP(BV50,'食譜'!$B:$B,'食譜'!$Q:$Q,"")</f>
        <v/>
      </c>
      <c r="BY58" s="74"/>
      <c r="BZ58" s="76" t="str">
        <f t="array" ref="BZ58">XLOOKUP(XLOOKUP(BZ50,'食譜'!$B:$B,'食譜'!$P:$P,""),'食材'!$B:$B,'食材'!$D:$D,"")</f>
        <v/>
      </c>
      <c r="CA58" s="77"/>
      <c r="CB58" s="78" t="str">
        <f t="array" ref="CB58">XLOOKUP(BZ50,'食譜'!$B:$B,'食譜'!$Q:$Q,"")</f>
        <v/>
      </c>
      <c r="CC58" s="74"/>
      <c r="CD58" s="76" t="str">
        <f t="array" ref="CD58">XLOOKUP(XLOOKUP(CD50,'食譜'!$B:$B,'食譜'!$P:$P,""),'食材'!$B:$B,'食材'!$D:$D,"")</f>
        <v/>
      </c>
      <c r="CE58" s="77"/>
      <c r="CF58" s="78" t="str">
        <f t="array" ref="CF58">XLOOKUP(CD50,'食譜'!$B:$B,'食譜'!$Q:$Q,"")</f>
        <v/>
      </c>
      <c r="CG58" s="74"/>
      <c r="CH58" s="76" t="str">
        <f t="array" ref="CH58">XLOOKUP(XLOOKUP(CH50,'食譜'!$B:$B,'食譜'!$P:$P,""),'食材'!$B:$B,'食材'!$D:$D,"")</f>
        <v/>
      </c>
      <c r="CI58" s="77"/>
      <c r="CJ58" s="78" t="str">
        <f t="array" ref="CJ58">XLOOKUP(CH50,'食譜'!$B:$B,'食譜'!$Q:$Q,"")</f>
        <v/>
      </c>
      <c r="CK58" s="74"/>
      <c r="CL58" s="76" t="str">
        <f t="array" ref="CL58">XLOOKUP(XLOOKUP(CL50,'食譜'!$B:$B,'食譜'!$P:$P,""),'食材'!$B:$B,'食材'!$D:$D,"")</f>
        <v/>
      </c>
      <c r="CM58" s="77"/>
      <c r="CN58" s="78">
        <f t="array" ref="CN58">XLOOKUP(CL50,'食譜'!$B:$B,'食譜'!$Q:$Q,"")</f>
        <v>7</v>
      </c>
      <c r="CO58" s="74"/>
      <c r="CP58" s="76" t="str">
        <f t="array" ref="CP58">XLOOKUP(XLOOKUP(CP50,'食譜'!$B:$B,'食譜'!$P:$P,""),'食材'!$B:$B,'食材'!$D:$D,"")</f>
        <v/>
      </c>
      <c r="CQ58" s="77"/>
      <c r="CR58" s="78">
        <f t="array" ref="CR58">XLOOKUP(CP50,'食譜'!$B:$B,'食譜'!$Q:$Q,"")</f>
        <v>4</v>
      </c>
      <c r="CS58" s="74"/>
      <c r="CT58" s="76" t="str">
        <f t="array" ref="CT58">XLOOKUP(XLOOKUP(CT50,'食譜'!$B:$B,'食譜'!$P:$P,""),'食材'!$B:$B,'食材'!$D:$D,"")</f>
        <v/>
      </c>
      <c r="CU58" s="77"/>
      <c r="CV58" s="78" t="str">
        <f t="array" ref="CV58">XLOOKUP(CT50,'食譜'!$B:$B,'食譜'!$Q:$Q,"")</f>
        <v/>
      </c>
      <c r="CW58" s="74"/>
      <c r="CX58" s="76" t="str">
        <f t="array" ref="CX58">XLOOKUP(XLOOKUP(CX50,'食譜'!$B:$B,'食譜'!$P:$P,""),'食材'!$B:$B,'食材'!$D:$D,"")</f>
        <v/>
      </c>
      <c r="CY58" s="77"/>
      <c r="CZ58" s="78" t="str">
        <f t="array" ref="CZ58">XLOOKUP(CX50,'食譜'!$B:$B,'食譜'!$Q:$Q,"")</f>
        <v/>
      </c>
      <c r="DA58" s="74"/>
      <c r="DB58" s="76" t="str">
        <f t="array" ref="DB58">XLOOKUP(XLOOKUP(DB50,'食譜'!$B:$B,'食譜'!$P:$P,""),'食材'!$B:$B,'食材'!$D:$D,"")</f>
        <v/>
      </c>
      <c r="DC58" s="77"/>
      <c r="DD58" s="78" t="str">
        <f t="array" ref="DD58">XLOOKUP(DB50,'食譜'!$B:$B,'食譜'!$Q:$Q,"")</f>
        <v/>
      </c>
      <c r="DE58" s="74"/>
      <c r="DF58" s="76" t="str">
        <f t="array" ref="DF58">XLOOKUP(XLOOKUP(DF50,'食譜'!$B:$B,'食譜'!$P:$P,""),'食材'!$B:$B,'食材'!$D:$D,"")</f>
        <v/>
      </c>
      <c r="DG58" s="77"/>
      <c r="DH58" s="78" t="str">
        <f t="array" ref="DH58">XLOOKUP(DF50,'食譜'!$B:$B,'食譜'!$Q:$Q,"")</f>
        <v/>
      </c>
      <c r="DI58" s="74"/>
      <c r="DJ58" s="76" t="str">
        <f t="array" ref="DJ58">XLOOKUP(XLOOKUP(DJ50,'食譜'!$B:$B,'食譜'!$P:$P,""),'食材'!$B:$B,'食材'!$D:$D,"")</f>
        <v/>
      </c>
      <c r="DK58" s="77"/>
      <c r="DL58" s="78" t="str">
        <f t="array" ref="DL58">XLOOKUP(DJ50,'食譜'!$B:$B,'食譜'!$Q:$Q,"")</f>
        <v/>
      </c>
      <c r="DM58" s="74"/>
      <c r="DN58" s="76" t="str">
        <f t="array" ref="DN58">XLOOKUP(XLOOKUP(DN50,'食譜'!$B:$B,'食譜'!$P:$P,""),'食材'!$B:$B,'食材'!$D:$D,"")</f>
        <v/>
      </c>
      <c r="DO58" s="77"/>
      <c r="DP58" s="78">
        <f t="array" ref="DP58">XLOOKUP(DN50,'食譜'!$B:$B,'食譜'!$Q:$Q,"")</f>
        <v>10</v>
      </c>
      <c r="DQ58" s="74"/>
      <c r="DR58" s="76" t="str">
        <f t="array" ref="DR58">XLOOKUP(XLOOKUP(DR50,'食譜'!$B:$B,'食譜'!$P:$P,""),'食材'!$B:$B,'食材'!$D:$D,"")</f>
        <v/>
      </c>
      <c r="DS58" s="77"/>
      <c r="DT58" s="78" t="str">
        <f t="array" ref="DT58">XLOOKUP(DR50,'食譜'!$B:$B,'食譜'!$Q:$Q,"")</f>
        <v/>
      </c>
      <c r="DU58" s="74"/>
      <c r="DV58" s="76" t="str">
        <f t="array" ref="DV58">XLOOKUP(XLOOKUP(DV50,'食譜'!$B:$B,'食譜'!$P:$P,""),'食材'!$B:$B,'食材'!$D:$D,"")</f>
        <v/>
      </c>
      <c r="DW58" s="77"/>
      <c r="DX58" s="78">
        <f t="array" ref="DX58">XLOOKUP(DV50,'食譜'!$B:$B,'食譜'!$Q:$Q,"")</f>
        <v>9</v>
      </c>
      <c r="DY58" s="74"/>
      <c r="DZ58" s="76" t="str">
        <f t="array" ref="DZ58">XLOOKUP(XLOOKUP(DZ50,'食譜'!$B:$B,'食譜'!$P:$P,""),'食材'!$B:$B,'食材'!$D:$D,"")</f>
        <v/>
      </c>
      <c r="EA58" s="77"/>
      <c r="EB58" s="78">
        <f t="array" ref="EB58">XLOOKUP(DZ50,'食譜'!$B:$B,'食譜'!$Q:$Q,"")</f>
        <v>10</v>
      </c>
      <c r="EC58" s="74"/>
      <c r="ED58" s="76" t="str">
        <f t="array" ref="ED58">XLOOKUP(XLOOKUP(ED50,'食譜'!$B:$B,'食譜'!$P:$P,""),'食材'!$B:$B,'食材'!$D:$D,"")</f>
        <v/>
      </c>
      <c r="EE58" s="77"/>
      <c r="EF58" s="78">
        <f t="array" ref="EF58">XLOOKUP(ED50,'食譜'!$B:$B,'食譜'!$Q:$Q,"")</f>
        <v>12</v>
      </c>
      <c r="EG58" s="74"/>
      <c r="EH58" s="76" t="str">
        <f t="array" ref="EH58">XLOOKUP(XLOOKUP(EH50,'食譜'!$B:$B,'食譜'!$P:$P,""),'食材'!$B:$B,'食材'!$D:$D,"")</f>
        <v/>
      </c>
      <c r="EI58" s="77"/>
      <c r="EJ58" s="78">
        <f t="array" ref="EJ58">XLOOKUP(EH50,'食譜'!$B:$B,'食譜'!$Q:$Q,"")</f>
        <v>22</v>
      </c>
      <c r="EK58" s="74"/>
      <c r="EL58" s="76" t="str">
        <f t="array" ref="EL58">XLOOKUP(XLOOKUP(EL50,'食譜'!$B:$B,'食譜'!$P:$P,""),'食材'!$B:$B,'食材'!$D:$D,"")</f>
        <v/>
      </c>
      <c r="EM58" s="77"/>
      <c r="EN58" s="78">
        <f t="array" ref="EN58">XLOOKUP(EL50,'食譜'!$B:$B,'食譜'!$Q:$Q,"")</f>
        <v>29</v>
      </c>
      <c r="EO58" s="74"/>
      <c r="EP58" s="1"/>
      <c r="EQ58" s="1"/>
      <c r="ER58" s="1"/>
      <c r="ES58" s="1"/>
      <c r="ET58" s="1"/>
      <c r="EU58" s="1"/>
      <c r="EV58" s="1"/>
      <c r="EW58" s="1"/>
      <c r="EX58" s="1"/>
    </row>
    <row r="59" ht="15.0" customHeight="1">
      <c r="A59" s="142"/>
      <c r="B59" s="142"/>
      <c r="C59" s="142"/>
      <c r="D59" s="142"/>
      <c r="E59" s="142"/>
      <c r="F59" s="142"/>
      <c r="G59" s="142"/>
      <c r="H59" s="142"/>
      <c r="I59" s="142"/>
      <c r="J59" s="97"/>
      <c r="K59" s="9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4"/>
      <c r="AO59" s="15"/>
      <c r="AP59" s="66"/>
      <c r="AQ59" s="79"/>
      <c r="AR59" s="80"/>
      <c r="AS59" s="68"/>
      <c r="AT59" s="66"/>
      <c r="AU59" s="79"/>
      <c r="AV59" s="80"/>
      <c r="AW59" s="68"/>
      <c r="AX59" s="66"/>
      <c r="AY59" s="79"/>
      <c r="AZ59" s="80"/>
      <c r="BA59" s="68"/>
      <c r="BB59" s="66"/>
      <c r="BC59" s="79"/>
      <c r="BD59" s="80"/>
      <c r="BE59" s="68"/>
      <c r="BF59" s="66"/>
      <c r="BG59" s="79"/>
      <c r="BH59" s="80"/>
      <c r="BI59" s="68"/>
      <c r="BJ59" s="66"/>
      <c r="BK59" s="79"/>
      <c r="BL59" s="80"/>
      <c r="BM59" s="68"/>
      <c r="BN59" s="66"/>
      <c r="BO59" s="79"/>
      <c r="BP59" s="80"/>
      <c r="BQ59" s="68"/>
      <c r="BR59" s="66"/>
      <c r="BS59" s="79"/>
      <c r="BT59" s="80"/>
      <c r="BU59" s="68"/>
      <c r="BV59" s="66"/>
      <c r="BW59" s="79"/>
      <c r="BX59" s="80"/>
      <c r="BY59" s="68"/>
      <c r="BZ59" s="66"/>
      <c r="CA59" s="79"/>
      <c r="CB59" s="80"/>
      <c r="CC59" s="68"/>
      <c r="CD59" s="66"/>
      <c r="CE59" s="79"/>
      <c r="CF59" s="80"/>
      <c r="CG59" s="68"/>
      <c r="CH59" s="66"/>
      <c r="CI59" s="79"/>
      <c r="CJ59" s="80"/>
      <c r="CK59" s="68"/>
      <c r="CL59" s="66"/>
      <c r="CM59" s="79"/>
      <c r="CN59" s="80"/>
      <c r="CO59" s="68"/>
      <c r="CP59" s="66"/>
      <c r="CQ59" s="79"/>
      <c r="CR59" s="80"/>
      <c r="CS59" s="68"/>
      <c r="CT59" s="66"/>
      <c r="CU59" s="79"/>
      <c r="CV59" s="80"/>
      <c r="CW59" s="68"/>
      <c r="CX59" s="66"/>
      <c r="CY59" s="79"/>
      <c r="CZ59" s="80"/>
      <c r="DA59" s="68"/>
      <c r="DB59" s="66"/>
      <c r="DC59" s="79"/>
      <c r="DD59" s="80"/>
      <c r="DE59" s="68"/>
      <c r="DF59" s="66"/>
      <c r="DG59" s="79"/>
      <c r="DH59" s="80"/>
      <c r="DI59" s="68"/>
      <c r="DJ59" s="66"/>
      <c r="DK59" s="79"/>
      <c r="DL59" s="80"/>
      <c r="DM59" s="68"/>
      <c r="DN59" s="66"/>
      <c r="DO59" s="79"/>
      <c r="DP59" s="80"/>
      <c r="DQ59" s="68"/>
      <c r="DR59" s="66"/>
      <c r="DS59" s="79"/>
      <c r="DT59" s="80"/>
      <c r="DU59" s="68"/>
      <c r="DV59" s="66"/>
      <c r="DW59" s="79"/>
      <c r="DX59" s="80"/>
      <c r="DY59" s="68"/>
      <c r="DZ59" s="66"/>
      <c r="EA59" s="79"/>
      <c r="EB59" s="80"/>
      <c r="EC59" s="68"/>
      <c r="ED59" s="66"/>
      <c r="EE59" s="79"/>
      <c r="EF59" s="80"/>
      <c r="EG59" s="68"/>
      <c r="EH59" s="66"/>
      <c r="EI59" s="79"/>
      <c r="EJ59" s="80"/>
      <c r="EK59" s="68"/>
      <c r="EL59" s="66"/>
      <c r="EM59" s="79"/>
      <c r="EN59" s="80"/>
      <c r="EO59" s="68"/>
      <c r="EP59" s="1"/>
      <c r="EQ59" s="1"/>
      <c r="ER59" s="1"/>
      <c r="ES59" s="1"/>
      <c r="ET59" s="1"/>
      <c r="EU59" s="1"/>
      <c r="EV59" s="1"/>
      <c r="EW59" s="1"/>
      <c r="EX59" s="1"/>
    </row>
    <row r="60" ht="15.0" customHeight="1">
      <c r="A60" s="142"/>
      <c r="B60" s="142"/>
      <c r="C60" s="142"/>
      <c r="D60" s="142"/>
      <c r="E60" s="142"/>
      <c r="F60" s="142"/>
      <c r="G60" s="142"/>
      <c r="H60" s="142"/>
      <c r="I60" s="142"/>
      <c r="J60" s="97"/>
      <c r="K60" s="9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4"/>
      <c r="AO60" s="15"/>
      <c r="AP60" s="81">
        <f t="array" ref="AP60">XLOOKUP(AP50,'食譜'!$B:$B,'食譜'!$D:$D,"")</f>
        <v>7</v>
      </c>
      <c r="AQ60" s="73"/>
      <c r="AR60" s="73"/>
      <c r="AS60" s="74"/>
      <c r="AT60" s="81">
        <f t="array" ref="AT60">XLOOKUP(AT50,'食譜'!$B:$B,'食譜'!$D:$D,"")</f>
        <v>8</v>
      </c>
      <c r="AU60" s="73"/>
      <c r="AV60" s="73"/>
      <c r="AW60" s="74"/>
      <c r="AX60" s="81">
        <f t="array" ref="AX60">XLOOKUP(AX50,'食譜'!$B:$B,'食譜'!$D:$D,"")</f>
        <v>9</v>
      </c>
      <c r="AY60" s="73"/>
      <c r="AZ60" s="73"/>
      <c r="BA60" s="74"/>
      <c r="BB60" s="81">
        <f t="array" ref="BB60">XLOOKUP(BB50,'食譜'!$B:$B,'食譜'!$D:$D,"")</f>
        <v>16</v>
      </c>
      <c r="BC60" s="73"/>
      <c r="BD60" s="73"/>
      <c r="BE60" s="74"/>
      <c r="BF60" s="81">
        <f t="array" ref="BF60">XLOOKUP(BF50,'食譜'!$B:$B,'食譜'!$D:$D,"")</f>
        <v>14</v>
      </c>
      <c r="BG60" s="73"/>
      <c r="BH60" s="73"/>
      <c r="BI60" s="74"/>
      <c r="BJ60" s="81">
        <f t="array" ref="BJ60">XLOOKUP(BJ50,'食譜'!$B:$B,'食譜'!$D:$D,"")</f>
        <v>16</v>
      </c>
      <c r="BK60" s="73"/>
      <c r="BL60" s="73"/>
      <c r="BM60" s="74"/>
      <c r="BN60" s="81">
        <f t="array" ref="BN60">XLOOKUP(BN50,'食譜'!$B:$B,'食譜'!$D:$D,"")</f>
        <v>15</v>
      </c>
      <c r="BO60" s="73"/>
      <c r="BP60" s="73"/>
      <c r="BQ60" s="74"/>
      <c r="BR60" s="81">
        <f t="array" ref="BR60">XLOOKUP(BR50,'食譜'!$B:$B,'食譜'!$D:$D,"")</f>
        <v>16</v>
      </c>
      <c r="BS60" s="73"/>
      <c r="BT60" s="73"/>
      <c r="BU60" s="74"/>
      <c r="BV60" s="81">
        <f t="array" ref="BV60">XLOOKUP(BV50,'食譜'!$B:$B,'食譜'!$D:$D,"")</f>
        <v>23</v>
      </c>
      <c r="BW60" s="73"/>
      <c r="BX60" s="73"/>
      <c r="BY60" s="74"/>
      <c r="BZ60" s="81">
        <f t="array" ref="BZ60">XLOOKUP(BZ50,'食譜'!$B:$B,'食譜'!$D:$D,"")</f>
        <v>23</v>
      </c>
      <c r="CA60" s="73"/>
      <c r="CB60" s="73"/>
      <c r="CC60" s="74"/>
      <c r="CD60" s="81">
        <f t="array" ref="CD60">XLOOKUP(CD50,'食譜'!$B:$B,'食譜'!$D:$D,"")</f>
        <v>22</v>
      </c>
      <c r="CE60" s="73"/>
      <c r="CF60" s="73"/>
      <c r="CG60" s="74"/>
      <c r="CH60" s="81">
        <f t="array" ref="CH60">XLOOKUP(CH50,'食譜'!$B:$B,'食譜'!$D:$D,"")</f>
        <v>24</v>
      </c>
      <c r="CI60" s="73"/>
      <c r="CJ60" s="73"/>
      <c r="CK60" s="74"/>
      <c r="CL60" s="81">
        <f t="array" ref="CL60">XLOOKUP(CL50,'食譜'!$B:$B,'食譜'!$D:$D,"")</f>
        <v>35</v>
      </c>
      <c r="CM60" s="73"/>
      <c r="CN60" s="73"/>
      <c r="CO60" s="74"/>
      <c r="CP60" s="81">
        <f t="array" ref="CP60">XLOOKUP(CP50,'食譜'!$B:$B,'食譜'!$D:$D,"")</f>
        <v>35</v>
      </c>
      <c r="CQ60" s="73"/>
      <c r="CR60" s="73"/>
      <c r="CS60" s="74"/>
      <c r="CT60" s="81">
        <f t="array" ref="CT60">XLOOKUP(CT50,'食譜'!$B:$B,'食譜'!$D:$D,"")</f>
        <v>35</v>
      </c>
      <c r="CU60" s="73"/>
      <c r="CV60" s="73"/>
      <c r="CW60" s="74"/>
      <c r="CX60" s="81">
        <f t="array" ref="CX60">XLOOKUP(CX50,'食譜'!$B:$B,'食譜'!$D:$D,"")</f>
        <v>35</v>
      </c>
      <c r="CY60" s="73"/>
      <c r="CZ60" s="73"/>
      <c r="DA60" s="74"/>
      <c r="DB60" s="81">
        <f t="array" ref="DB60">XLOOKUP(DB50,'食譜'!$B:$B,'食譜'!$D:$D,"")</f>
        <v>36</v>
      </c>
      <c r="DC60" s="73"/>
      <c r="DD60" s="73"/>
      <c r="DE60" s="74"/>
      <c r="DF60" s="81">
        <f t="array" ref="DF60">XLOOKUP(DF50,'食譜'!$B:$B,'食譜'!$D:$D,"")</f>
        <v>42</v>
      </c>
      <c r="DG60" s="73"/>
      <c r="DH60" s="73"/>
      <c r="DI60" s="74"/>
      <c r="DJ60" s="81">
        <f t="array" ref="DJ60">XLOOKUP(DJ50,'食譜'!$B:$B,'食譜'!$D:$D,"")</f>
        <v>40</v>
      </c>
      <c r="DK60" s="73"/>
      <c r="DL60" s="73"/>
      <c r="DM60" s="74"/>
      <c r="DN60" s="81">
        <f t="array" ref="DN60">XLOOKUP(DN50,'食譜'!$B:$B,'食譜'!$D:$D,"")</f>
        <v>55</v>
      </c>
      <c r="DO60" s="73"/>
      <c r="DP60" s="73"/>
      <c r="DQ60" s="74"/>
      <c r="DR60" s="81">
        <f t="array" ref="DR60">XLOOKUP(DR50,'食譜'!$B:$B,'食譜'!$D:$D,"")</f>
        <v>48</v>
      </c>
      <c r="DS60" s="73"/>
      <c r="DT60" s="73"/>
      <c r="DU60" s="74"/>
      <c r="DV60" s="81">
        <f t="array" ref="DV60">XLOOKUP(DV50,'食譜'!$B:$B,'食譜'!$D:$D,"")</f>
        <v>67</v>
      </c>
      <c r="DW60" s="73"/>
      <c r="DX60" s="73"/>
      <c r="DY60" s="74"/>
      <c r="DZ60" s="81">
        <f t="array" ref="DZ60">XLOOKUP(DZ50,'食譜'!$B:$B,'食譜'!$D:$D,"")</f>
        <v>77</v>
      </c>
      <c r="EA60" s="73"/>
      <c r="EB60" s="73"/>
      <c r="EC60" s="74"/>
      <c r="ED60" s="81">
        <f t="array" ref="ED60">XLOOKUP(ED50,'食譜'!$B:$B,'食譜'!$D:$D,"")</f>
        <v>87</v>
      </c>
      <c r="EE60" s="73"/>
      <c r="EF60" s="73"/>
      <c r="EG60" s="74"/>
      <c r="EH60" s="81">
        <f t="array" ref="EH60">XLOOKUP(EH50,'食譜'!$B:$B,'食譜'!$D:$D,"")</f>
        <v>102</v>
      </c>
      <c r="EI60" s="73"/>
      <c r="EJ60" s="73"/>
      <c r="EK60" s="74"/>
      <c r="EL60" s="81">
        <f t="array" ref="EL60">XLOOKUP(EL50,'食譜'!$B:$B,'食譜'!$D:$D,"")</f>
        <v>103</v>
      </c>
      <c r="EM60" s="73"/>
      <c r="EN60" s="73"/>
      <c r="EO60" s="74"/>
      <c r="EP60" s="1"/>
      <c r="EQ60" s="1"/>
      <c r="ER60" s="1"/>
      <c r="ES60" s="1"/>
      <c r="ET60" s="1"/>
      <c r="EU60" s="1"/>
      <c r="EV60" s="1"/>
      <c r="EW60" s="1"/>
      <c r="EX60" s="1"/>
    </row>
    <row r="61" ht="15.0" customHeight="1">
      <c r="A61" s="142"/>
      <c r="B61" s="142"/>
      <c r="C61" s="142"/>
      <c r="D61" s="142"/>
      <c r="E61" s="142"/>
      <c r="F61" s="142"/>
      <c r="G61" s="142"/>
      <c r="H61" s="142"/>
      <c r="I61" s="142"/>
      <c r="J61" s="97"/>
      <c r="K61" s="9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66"/>
      <c r="AM61" s="67"/>
      <c r="AN61" s="67"/>
      <c r="AO61" s="68"/>
      <c r="AP61" s="38"/>
      <c r="AQ61" s="39"/>
      <c r="AR61" s="39"/>
      <c r="AS61" s="40"/>
      <c r="AT61" s="38"/>
      <c r="AU61" s="39"/>
      <c r="AV61" s="39"/>
      <c r="AW61" s="40"/>
      <c r="AX61" s="38"/>
      <c r="AY61" s="39"/>
      <c r="AZ61" s="39"/>
      <c r="BA61" s="40"/>
      <c r="BB61" s="38"/>
      <c r="BC61" s="39"/>
      <c r="BD61" s="39"/>
      <c r="BE61" s="40"/>
      <c r="BF61" s="38"/>
      <c r="BG61" s="39"/>
      <c r="BH61" s="39"/>
      <c r="BI61" s="40"/>
      <c r="BJ61" s="38"/>
      <c r="BK61" s="39"/>
      <c r="BL61" s="39"/>
      <c r="BM61" s="40"/>
      <c r="BN61" s="38"/>
      <c r="BO61" s="39"/>
      <c r="BP61" s="39"/>
      <c r="BQ61" s="40"/>
      <c r="BR61" s="38"/>
      <c r="BS61" s="39"/>
      <c r="BT61" s="39"/>
      <c r="BU61" s="40"/>
      <c r="BV61" s="38"/>
      <c r="BW61" s="39"/>
      <c r="BX61" s="39"/>
      <c r="BY61" s="40"/>
      <c r="BZ61" s="38"/>
      <c r="CA61" s="39"/>
      <c r="CB61" s="39"/>
      <c r="CC61" s="40"/>
      <c r="CD61" s="38"/>
      <c r="CE61" s="39"/>
      <c r="CF61" s="39"/>
      <c r="CG61" s="40"/>
      <c r="CH61" s="38"/>
      <c r="CI61" s="39"/>
      <c r="CJ61" s="39"/>
      <c r="CK61" s="40"/>
      <c r="CL61" s="38"/>
      <c r="CM61" s="39"/>
      <c r="CN61" s="39"/>
      <c r="CO61" s="40"/>
      <c r="CP61" s="38"/>
      <c r="CQ61" s="39"/>
      <c r="CR61" s="39"/>
      <c r="CS61" s="40"/>
      <c r="CT61" s="38"/>
      <c r="CU61" s="39"/>
      <c r="CV61" s="39"/>
      <c r="CW61" s="40"/>
      <c r="CX61" s="38"/>
      <c r="CY61" s="39"/>
      <c r="CZ61" s="39"/>
      <c r="DA61" s="40"/>
      <c r="DB61" s="38"/>
      <c r="DC61" s="39"/>
      <c r="DD61" s="39"/>
      <c r="DE61" s="40"/>
      <c r="DF61" s="38"/>
      <c r="DG61" s="39"/>
      <c r="DH61" s="39"/>
      <c r="DI61" s="40"/>
      <c r="DJ61" s="38"/>
      <c r="DK61" s="39"/>
      <c r="DL61" s="39"/>
      <c r="DM61" s="40"/>
      <c r="DN61" s="38"/>
      <c r="DO61" s="39"/>
      <c r="DP61" s="39"/>
      <c r="DQ61" s="40"/>
      <c r="DR61" s="38"/>
      <c r="DS61" s="39"/>
      <c r="DT61" s="39"/>
      <c r="DU61" s="40"/>
      <c r="DV61" s="38"/>
      <c r="DW61" s="39"/>
      <c r="DX61" s="39"/>
      <c r="DY61" s="40"/>
      <c r="DZ61" s="38"/>
      <c r="EA61" s="39"/>
      <c r="EB61" s="39"/>
      <c r="EC61" s="40"/>
      <c r="ED61" s="38"/>
      <c r="EE61" s="39"/>
      <c r="EF61" s="39"/>
      <c r="EG61" s="40"/>
      <c r="EH61" s="38"/>
      <c r="EI61" s="39"/>
      <c r="EJ61" s="39"/>
      <c r="EK61" s="40"/>
      <c r="EL61" s="38"/>
      <c r="EM61" s="39"/>
      <c r="EN61" s="39"/>
      <c r="EO61" s="40"/>
      <c r="EP61" s="1"/>
      <c r="EQ61" s="1"/>
      <c r="ER61" s="1"/>
      <c r="ES61" s="1"/>
      <c r="ET61" s="1"/>
      <c r="EU61" s="1"/>
      <c r="EV61" s="1"/>
      <c r="EW61" s="1"/>
      <c r="EX61" s="1"/>
    </row>
    <row r="62" ht="15.0" customHeight="1">
      <c r="A62" s="142"/>
      <c r="B62" s="142"/>
      <c r="C62" s="142"/>
      <c r="D62" s="142"/>
      <c r="E62" s="142"/>
      <c r="F62" s="142"/>
      <c r="G62" s="142"/>
      <c r="H62" s="142"/>
      <c r="I62" s="142"/>
      <c r="J62" s="97"/>
      <c r="K62" s="9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41"/>
      <c r="AM62" s="41"/>
      <c r="AN62" s="41"/>
      <c r="AO62" s="41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</row>
    <row r="63" ht="15.0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4"/>
      <c r="K63" s="144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  <c r="BS63" s="145"/>
      <c r="BT63" s="145"/>
      <c r="BU63" s="145"/>
      <c r="BV63" s="145"/>
      <c r="BW63" s="145"/>
      <c r="BX63" s="145"/>
      <c r="BY63" s="145"/>
      <c r="BZ63" s="145"/>
      <c r="CA63" s="145"/>
      <c r="CB63" s="145"/>
      <c r="CC63" s="145"/>
      <c r="CD63" s="145"/>
      <c r="CE63" s="145"/>
      <c r="CF63" s="145"/>
      <c r="CG63" s="145"/>
      <c r="CH63" s="145"/>
      <c r="CI63" s="145"/>
      <c r="CJ63" s="145"/>
      <c r="CK63" s="145"/>
      <c r="CL63" s="145"/>
      <c r="CM63" s="145"/>
      <c r="CN63" s="145"/>
      <c r="CO63" s="145"/>
      <c r="CP63" s="145"/>
      <c r="CQ63" s="145"/>
      <c r="CR63" s="145"/>
      <c r="CS63" s="145"/>
      <c r="CT63" s="145"/>
      <c r="CU63" s="145"/>
      <c r="CV63" s="145"/>
      <c r="CW63" s="145"/>
      <c r="CX63" s="145"/>
      <c r="CY63" s="145"/>
      <c r="CZ63" s="145"/>
      <c r="DA63" s="145"/>
      <c r="DB63" s="145"/>
      <c r="DC63" s="145"/>
      <c r="DD63" s="145"/>
      <c r="DE63" s="145"/>
      <c r="DF63" s="145"/>
      <c r="DG63" s="145"/>
      <c r="DH63" s="145"/>
      <c r="DI63" s="145"/>
      <c r="DJ63" s="145"/>
      <c r="DK63" s="145"/>
      <c r="DL63" s="145"/>
      <c r="DM63" s="145"/>
      <c r="DN63" s="145"/>
      <c r="DO63" s="145"/>
      <c r="DP63" s="145"/>
      <c r="DQ63" s="145"/>
      <c r="DR63" s="145"/>
      <c r="DS63" s="145"/>
      <c r="DT63" s="145"/>
      <c r="DU63" s="145"/>
      <c r="DV63" s="145"/>
      <c r="DW63" s="145"/>
      <c r="DX63" s="145"/>
      <c r="DY63" s="145"/>
      <c r="DZ63" s="145"/>
      <c r="EA63" s="145"/>
      <c r="EB63" s="145"/>
      <c r="EC63" s="145"/>
      <c r="ED63" s="145"/>
      <c r="EE63" s="145"/>
      <c r="EF63" s="145"/>
      <c r="EG63" s="145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</row>
  </sheetData>
  <mergeCells count="1024">
    <mergeCell ref="DB6:DE6"/>
    <mergeCell ref="DF6:DI6"/>
    <mergeCell ref="DJ6:DM6"/>
    <mergeCell ref="DN6:DQ6"/>
    <mergeCell ref="DR6:DU6"/>
    <mergeCell ref="DV6:DY6"/>
    <mergeCell ref="DZ6:EC6"/>
    <mergeCell ref="BZ6:CC6"/>
    <mergeCell ref="CD6:CG6"/>
    <mergeCell ref="CH6:CK6"/>
    <mergeCell ref="CL6:CO6"/>
    <mergeCell ref="CP6:CS6"/>
    <mergeCell ref="CT6:CW6"/>
    <mergeCell ref="CX6:DA6"/>
    <mergeCell ref="EO3:EP5"/>
    <mergeCell ref="EQ3:EW5"/>
    <mergeCell ref="EM6:EN7"/>
    <mergeCell ref="EO6:EP7"/>
    <mergeCell ref="EQ6:EW7"/>
    <mergeCell ref="EM8:EN9"/>
    <mergeCell ref="EO8:EP9"/>
    <mergeCell ref="EQ8:EW9"/>
    <mergeCell ref="DF3:DI5"/>
    <mergeCell ref="DJ3:DM5"/>
    <mergeCell ref="DN3:DQ5"/>
    <mergeCell ref="DR3:DU5"/>
    <mergeCell ref="DV3:DY5"/>
    <mergeCell ref="DZ3:EC5"/>
    <mergeCell ref="EM3:EN5"/>
    <mergeCell ref="A1:I2"/>
    <mergeCell ref="A3:A4"/>
    <mergeCell ref="B3:B4"/>
    <mergeCell ref="C3:C4"/>
    <mergeCell ref="D3:D4"/>
    <mergeCell ref="I3:I4"/>
    <mergeCell ref="BZ3:CC5"/>
    <mergeCell ref="CD3:CG5"/>
    <mergeCell ref="CH3:CK5"/>
    <mergeCell ref="CL3:CO5"/>
    <mergeCell ref="CP3:CS5"/>
    <mergeCell ref="CT3:CW5"/>
    <mergeCell ref="CX3:DA5"/>
    <mergeCell ref="DB3:DE5"/>
    <mergeCell ref="DB7:DE9"/>
    <mergeCell ref="DF7:DI9"/>
    <mergeCell ref="DJ7:DM9"/>
    <mergeCell ref="DN7:DQ9"/>
    <mergeCell ref="DR7:DU9"/>
    <mergeCell ref="DV7:DY9"/>
    <mergeCell ref="DZ7:EC9"/>
    <mergeCell ref="I7:I8"/>
    <mergeCell ref="I9:I10"/>
    <mergeCell ref="BZ7:CC9"/>
    <mergeCell ref="CD7:CG9"/>
    <mergeCell ref="CH7:CK9"/>
    <mergeCell ref="CL7:CO9"/>
    <mergeCell ref="CP7:CS9"/>
    <mergeCell ref="CT7:CW9"/>
    <mergeCell ref="CX7:DA9"/>
    <mergeCell ref="CL12:CM13"/>
    <mergeCell ref="CN12:CO13"/>
    <mergeCell ref="CP12:CQ13"/>
    <mergeCell ref="CR12:CS13"/>
    <mergeCell ref="CT12:CU13"/>
    <mergeCell ref="CV12:CW13"/>
    <mergeCell ref="CX12:CY13"/>
    <mergeCell ref="BX12:BY13"/>
    <mergeCell ref="BZ12:CA13"/>
    <mergeCell ref="CB12:CC13"/>
    <mergeCell ref="CD12:CE13"/>
    <mergeCell ref="CF12:CG13"/>
    <mergeCell ref="CH12:CI13"/>
    <mergeCell ref="CJ12:CK13"/>
    <mergeCell ref="DR14:DS15"/>
    <mergeCell ref="DT14:DU15"/>
    <mergeCell ref="DD14:DE15"/>
    <mergeCell ref="DF14:DG15"/>
    <mergeCell ref="DH14:DI15"/>
    <mergeCell ref="DJ14:DK15"/>
    <mergeCell ref="DL14:DM15"/>
    <mergeCell ref="DN14:DO15"/>
    <mergeCell ref="DP14:DQ15"/>
    <mergeCell ref="EM10:EN11"/>
    <mergeCell ref="EO10:EP11"/>
    <mergeCell ref="EQ10:EW11"/>
    <mergeCell ref="DB10:DE11"/>
    <mergeCell ref="DF10:DI11"/>
    <mergeCell ref="DJ10:DM11"/>
    <mergeCell ref="DN10:DQ11"/>
    <mergeCell ref="DR10:DU11"/>
    <mergeCell ref="DV10:DY11"/>
    <mergeCell ref="DZ10:EC11"/>
    <mergeCell ref="BZ10:CC11"/>
    <mergeCell ref="CD10:CG11"/>
    <mergeCell ref="CH10:CK11"/>
    <mergeCell ref="CL10:CO11"/>
    <mergeCell ref="CP10:CS11"/>
    <mergeCell ref="CT10:CW11"/>
    <mergeCell ref="CX10:DA11"/>
    <mergeCell ref="EB12:EC13"/>
    <mergeCell ref="EM12:EN13"/>
    <mergeCell ref="EO12:EP13"/>
    <mergeCell ref="EQ12:EW13"/>
    <mergeCell ref="BX14:BY15"/>
    <mergeCell ref="BZ14:CA15"/>
    <mergeCell ref="CB14:CC15"/>
    <mergeCell ref="CD14:CE15"/>
    <mergeCell ref="CF14:CG15"/>
    <mergeCell ref="CH14:CI15"/>
    <mergeCell ref="CJ14:CK15"/>
    <mergeCell ref="CZ12:DA13"/>
    <mergeCell ref="DB12:DC13"/>
    <mergeCell ref="DD12:DE13"/>
    <mergeCell ref="DF12:DG13"/>
    <mergeCell ref="DH12:DI13"/>
    <mergeCell ref="DJ12:DK13"/>
    <mergeCell ref="DL12:DM13"/>
    <mergeCell ref="DV14:DW15"/>
    <mergeCell ref="DX14:DY15"/>
    <mergeCell ref="DZ14:EA15"/>
    <mergeCell ref="EB14:EC15"/>
    <mergeCell ref="EM14:EN15"/>
    <mergeCell ref="EO14:EP15"/>
    <mergeCell ref="EQ14:EW15"/>
    <mergeCell ref="DN12:DO13"/>
    <mergeCell ref="DP12:DQ13"/>
    <mergeCell ref="DR12:DS13"/>
    <mergeCell ref="DT12:DU13"/>
    <mergeCell ref="DV12:DW13"/>
    <mergeCell ref="DX12:DY13"/>
    <mergeCell ref="DZ12:EA13"/>
    <mergeCell ref="CL18:CM19"/>
    <mergeCell ref="CN18:CO19"/>
    <mergeCell ref="CP18:CQ19"/>
    <mergeCell ref="CR18:CS19"/>
    <mergeCell ref="CT18:CU19"/>
    <mergeCell ref="CV18:CW19"/>
    <mergeCell ref="CX18:CY19"/>
    <mergeCell ref="CZ18:DA19"/>
    <mergeCell ref="DB18:DC19"/>
    <mergeCell ref="DD18:DE19"/>
    <mergeCell ref="DF18:DG19"/>
    <mergeCell ref="DH18:DI19"/>
    <mergeCell ref="DJ18:DK19"/>
    <mergeCell ref="DL18:DM19"/>
    <mergeCell ref="EB18:EC19"/>
    <mergeCell ref="EM18:EN19"/>
    <mergeCell ref="EO18:EP19"/>
    <mergeCell ref="EQ18:EW19"/>
    <mergeCell ref="DN18:DO19"/>
    <mergeCell ref="DP18:DQ19"/>
    <mergeCell ref="DR18:DS19"/>
    <mergeCell ref="DT18:DU19"/>
    <mergeCell ref="DV18:DW19"/>
    <mergeCell ref="DX18:DY19"/>
    <mergeCell ref="DZ18:EA19"/>
    <mergeCell ref="BX18:BY19"/>
    <mergeCell ref="BZ18:CA19"/>
    <mergeCell ref="CB18:CC19"/>
    <mergeCell ref="CD18:CE19"/>
    <mergeCell ref="CF18:CG19"/>
    <mergeCell ref="CH18:CI19"/>
    <mergeCell ref="CJ18:CK19"/>
    <mergeCell ref="BZ20:CC21"/>
    <mergeCell ref="CD20:CG21"/>
    <mergeCell ref="CH20:CK21"/>
    <mergeCell ref="CL20:CO21"/>
    <mergeCell ref="CP20:CS21"/>
    <mergeCell ref="CT20:CW21"/>
    <mergeCell ref="CX20:DA21"/>
    <mergeCell ref="EM20:EN21"/>
    <mergeCell ref="EO20:EP21"/>
    <mergeCell ref="EQ20:EW21"/>
    <mergeCell ref="EM22:EN23"/>
    <mergeCell ref="EO22:EP23"/>
    <mergeCell ref="EQ22:EW23"/>
    <mergeCell ref="DB20:DE21"/>
    <mergeCell ref="DF20:DI21"/>
    <mergeCell ref="DJ20:DM21"/>
    <mergeCell ref="DN20:DQ21"/>
    <mergeCell ref="DR20:DU21"/>
    <mergeCell ref="DV20:DY21"/>
    <mergeCell ref="DZ20:EC21"/>
    <mergeCell ref="CZ14:DA15"/>
    <mergeCell ref="DB14:DC15"/>
    <mergeCell ref="CL14:CM15"/>
    <mergeCell ref="CN14:CO15"/>
    <mergeCell ref="CP14:CQ15"/>
    <mergeCell ref="CR14:CS15"/>
    <mergeCell ref="CT14:CU15"/>
    <mergeCell ref="CV14:CW15"/>
    <mergeCell ref="CX14:CY15"/>
    <mergeCell ref="CL16:CM17"/>
    <mergeCell ref="CN16:CO17"/>
    <mergeCell ref="CP16:CQ17"/>
    <mergeCell ref="CR16:CS17"/>
    <mergeCell ref="CT16:CU17"/>
    <mergeCell ref="CV16:CW17"/>
    <mergeCell ref="CX16:CY17"/>
    <mergeCell ref="CZ16:DA17"/>
    <mergeCell ref="DB16:DC17"/>
    <mergeCell ref="DD16:DE17"/>
    <mergeCell ref="DF16:DG17"/>
    <mergeCell ref="DH16:DI17"/>
    <mergeCell ref="DJ16:DK17"/>
    <mergeCell ref="DL16:DM17"/>
    <mergeCell ref="EB16:EC17"/>
    <mergeCell ref="EM16:EN17"/>
    <mergeCell ref="EO16:EP17"/>
    <mergeCell ref="EQ16:EW17"/>
    <mergeCell ref="DN16:DO17"/>
    <mergeCell ref="DP16:DQ17"/>
    <mergeCell ref="DR16:DS17"/>
    <mergeCell ref="DT16:DU17"/>
    <mergeCell ref="DV16:DW17"/>
    <mergeCell ref="DX16:DY17"/>
    <mergeCell ref="DZ16:EA17"/>
    <mergeCell ref="BX16:BY17"/>
    <mergeCell ref="BZ16:CA17"/>
    <mergeCell ref="CB16:CC17"/>
    <mergeCell ref="CD16:CE17"/>
    <mergeCell ref="CF16:CG17"/>
    <mergeCell ref="CH16:CI17"/>
    <mergeCell ref="CJ16:CK17"/>
    <mergeCell ref="DJ26:DM26"/>
    <mergeCell ref="DN26:DQ26"/>
    <mergeCell ref="EM26:EN27"/>
    <mergeCell ref="EO26:EP27"/>
    <mergeCell ref="EQ26:EW27"/>
    <mergeCell ref="CH26:CK26"/>
    <mergeCell ref="CL26:CO26"/>
    <mergeCell ref="CP26:CS26"/>
    <mergeCell ref="CT26:CW26"/>
    <mergeCell ref="CX26:DA26"/>
    <mergeCell ref="DB26:DE26"/>
    <mergeCell ref="DF26:DI26"/>
    <mergeCell ref="A17:A18"/>
    <mergeCell ref="B17:B18"/>
    <mergeCell ref="C17:C18"/>
    <mergeCell ref="D17:D18"/>
    <mergeCell ref="I17:I18"/>
    <mergeCell ref="BN24:BQ25"/>
    <mergeCell ref="BR24:BU25"/>
    <mergeCell ref="BV24:BY25"/>
    <mergeCell ref="BZ24:CC25"/>
    <mergeCell ref="CD24:CG25"/>
    <mergeCell ref="CH24:CK25"/>
    <mergeCell ref="CL24:CO25"/>
    <mergeCell ref="CP24:CS25"/>
    <mergeCell ref="CT24:CW25"/>
    <mergeCell ref="CX24:DA25"/>
    <mergeCell ref="DB24:DE25"/>
    <mergeCell ref="DF24:DI25"/>
    <mergeCell ref="DJ24:DM25"/>
    <mergeCell ref="DN24:DQ25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AP26:AS26"/>
    <mergeCell ref="AT26:AW26"/>
    <mergeCell ref="BN26:BQ26"/>
    <mergeCell ref="BR26:BU26"/>
    <mergeCell ref="BV26:BY26"/>
    <mergeCell ref="BZ26:CC26"/>
    <mergeCell ref="CD26:CG26"/>
    <mergeCell ref="DR24:DU25"/>
    <mergeCell ref="DR26:DU26"/>
    <mergeCell ref="DV26:DY26"/>
    <mergeCell ref="DZ26:EC26"/>
    <mergeCell ref="ED26:EG26"/>
    <mergeCell ref="EH26:EK26"/>
    <mergeCell ref="DV24:DY25"/>
    <mergeCell ref="DZ24:EC25"/>
    <mergeCell ref="ED24:EG25"/>
    <mergeCell ref="EH24:EK25"/>
    <mergeCell ref="EM24:EN25"/>
    <mergeCell ref="EO24:EP25"/>
    <mergeCell ref="EQ24:EW25"/>
    <mergeCell ref="CH27:CK29"/>
    <mergeCell ref="CL27:CO29"/>
    <mergeCell ref="CP27:CS29"/>
    <mergeCell ref="CT27:CW29"/>
    <mergeCell ref="CX27:DA29"/>
    <mergeCell ref="DB27:DE29"/>
    <mergeCell ref="DF27:DI29"/>
    <mergeCell ref="DJ27:DM29"/>
    <mergeCell ref="DN27:DQ29"/>
    <mergeCell ref="DR27:DU29"/>
    <mergeCell ref="DV27:DY29"/>
    <mergeCell ref="DZ27:EC29"/>
    <mergeCell ref="ED27:EG29"/>
    <mergeCell ref="EH27:EK29"/>
    <mergeCell ref="EQ28:EW29"/>
    <mergeCell ref="A5:A6"/>
    <mergeCell ref="B5:B6"/>
    <mergeCell ref="C5:C6"/>
    <mergeCell ref="D5:D6"/>
    <mergeCell ref="I5:I6"/>
    <mergeCell ref="A7:A8"/>
    <mergeCell ref="B7:B8"/>
    <mergeCell ref="B11:B12"/>
    <mergeCell ref="C11:C12"/>
    <mergeCell ref="I11:I12"/>
    <mergeCell ref="I13:I14"/>
    <mergeCell ref="C7:C8"/>
    <mergeCell ref="D7:D8"/>
    <mergeCell ref="A9:A10"/>
    <mergeCell ref="B9:B10"/>
    <mergeCell ref="C9:C10"/>
    <mergeCell ref="D9:D10"/>
    <mergeCell ref="D11:D12"/>
    <mergeCell ref="C15:C16"/>
    <mergeCell ref="D15:D16"/>
    <mergeCell ref="I15:I16"/>
    <mergeCell ref="A11:A12"/>
    <mergeCell ref="A13:A14"/>
    <mergeCell ref="B13:B14"/>
    <mergeCell ref="C13:C14"/>
    <mergeCell ref="D13:D14"/>
    <mergeCell ref="A15:A16"/>
    <mergeCell ref="B15:B16"/>
    <mergeCell ref="A27:A28"/>
    <mergeCell ref="A29:A30"/>
    <mergeCell ref="B29:B30"/>
    <mergeCell ref="C29:C30"/>
    <mergeCell ref="D29:D30"/>
    <mergeCell ref="I37:I38"/>
    <mergeCell ref="I39:I40"/>
    <mergeCell ref="I41:I42"/>
    <mergeCell ref="I43:I44"/>
    <mergeCell ref="I45:I46"/>
    <mergeCell ref="I47:I48"/>
    <mergeCell ref="I21:I22"/>
    <mergeCell ref="I23:I24"/>
    <mergeCell ref="I27:I28"/>
    <mergeCell ref="I29:I30"/>
    <mergeCell ref="I31:I32"/>
    <mergeCell ref="I33:I34"/>
    <mergeCell ref="I35:I36"/>
    <mergeCell ref="DJ30:DM31"/>
    <mergeCell ref="DN30:DQ31"/>
    <mergeCell ref="CH30:CK31"/>
    <mergeCell ref="CL30:CO31"/>
    <mergeCell ref="CP30:CS31"/>
    <mergeCell ref="CT30:CW31"/>
    <mergeCell ref="CX30:DA31"/>
    <mergeCell ref="DB30:DE31"/>
    <mergeCell ref="DF30:DI31"/>
    <mergeCell ref="AX26:BA26"/>
    <mergeCell ref="BB26:BE26"/>
    <mergeCell ref="BF26:BI26"/>
    <mergeCell ref="BJ26:BM26"/>
    <mergeCell ref="AP27:AS29"/>
    <mergeCell ref="AT27:AW29"/>
    <mergeCell ref="BF27:BI29"/>
    <mergeCell ref="BJ27:BM29"/>
    <mergeCell ref="BN27:BQ29"/>
    <mergeCell ref="BR27:BU29"/>
    <mergeCell ref="BV27:BY29"/>
    <mergeCell ref="BZ27:CC29"/>
    <mergeCell ref="CD27:CG29"/>
    <mergeCell ref="EM28:EN29"/>
    <mergeCell ref="EO28:EP29"/>
    <mergeCell ref="AP30:AS31"/>
    <mergeCell ref="AT30:AW31"/>
    <mergeCell ref="DR30:DU31"/>
    <mergeCell ref="DV30:DY31"/>
    <mergeCell ref="DZ30:EC31"/>
    <mergeCell ref="ED30:EG31"/>
    <mergeCell ref="EH30:EK31"/>
    <mergeCell ref="EM30:EN31"/>
    <mergeCell ref="EO30:EP31"/>
    <mergeCell ref="EQ30:EW31"/>
    <mergeCell ref="AX30:BA31"/>
    <mergeCell ref="BB30:BE31"/>
    <mergeCell ref="BN30:BQ31"/>
    <mergeCell ref="BR30:BU31"/>
    <mergeCell ref="BV30:BY31"/>
    <mergeCell ref="BZ30:CC31"/>
    <mergeCell ref="CD30:CG31"/>
    <mergeCell ref="C45:C46"/>
    <mergeCell ref="D45:D46"/>
    <mergeCell ref="AP46:AS46"/>
    <mergeCell ref="AT46:AW46"/>
    <mergeCell ref="AX46:BA46"/>
    <mergeCell ref="BB46:BE46"/>
    <mergeCell ref="BF46:BI46"/>
    <mergeCell ref="BJ46:BM46"/>
    <mergeCell ref="BN46:BQ46"/>
    <mergeCell ref="BR46:BU46"/>
    <mergeCell ref="BV46:BY46"/>
    <mergeCell ref="BZ46:CC46"/>
    <mergeCell ref="CD46:CG46"/>
    <mergeCell ref="CH46:CK46"/>
    <mergeCell ref="DN46:DQ46"/>
    <mergeCell ref="DR46:DU46"/>
    <mergeCell ref="DV46:DY46"/>
    <mergeCell ref="DZ46:EC46"/>
    <mergeCell ref="ED46:EG46"/>
    <mergeCell ref="EH46:EK46"/>
    <mergeCell ref="EL46:EO46"/>
    <mergeCell ref="CL46:CO46"/>
    <mergeCell ref="CP46:CS46"/>
    <mergeCell ref="CT46:CW46"/>
    <mergeCell ref="CX46:DA46"/>
    <mergeCell ref="DB46:DE46"/>
    <mergeCell ref="DF46:DI46"/>
    <mergeCell ref="DJ46:DM46"/>
    <mergeCell ref="C21:C22"/>
    <mergeCell ref="D21:D22"/>
    <mergeCell ref="A23:A24"/>
    <mergeCell ref="B23:B24"/>
    <mergeCell ref="C23:C24"/>
    <mergeCell ref="D23:D24"/>
    <mergeCell ref="D27:D28"/>
    <mergeCell ref="B33:B34"/>
    <mergeCell ref="C33:C34"/>
    <mergeCell ref="B27:B28"/>
    <mergeCell ref="C27:C28"/>
    <mergeCell ref="A31:A32"/>
    <mergeCell ref="B31:B32"/>
    <mergeCell ref="C31:C32"/>
    <mergeCell ref="D31:D32"/>
    <mergeCell ref="D33:D34"/>
    <mergeCell ref="C37:C38"/>
    <mergeCell ref="D37:D38"/>
    <mergeCell ref="A33:A34"/>
    <mergeCell ref="A35:A36"/>
    <mergeCell ref="B35:B36"/>
    <mergeCell ref="C35:C36"/>
    <mergeCell ref="D35:D36"/>
    <mergeCell ref="A37:A38"/>
    <mergeCell ref="B37:B38"/>
    <mergeCell ref="A39:A40"/>
    <mergeCell ref="B39:B40"/>
    <mergeCell ref="C39:C40"/>
    <mergeCell ref="D39:D40"/>
    <mergeCell ref="B41:B42"/>
    <mergeCell ref="C41:C42"/>
    <mergeCell ref="D41:D42"/>
    <mergeCell ref="A47:A48"/>
    <mergeCell ref="B47:B48"/>
    <mergeCell ref="C47:C48"/>
    <mergeCell ref="D47:D48"/>
    <mergeCell ref="A41:A42"/>
    <mergeCell ref="A43:A44"/>
    <mergeCell ref="B43:B44"/>
    <mergeCell ref="C43:C44"/>
    <mergeCell ref="D43:D44"/>
    <mergeCell ref="A45:A46"/>
    <mergeCell ref="B45:B46"/>
    <mergeCell ref="BX32:BY33"/>
    <mergeCell ref="BZ32:CA33"/>
    <mergeCell ref="CB32:CC33"/>
    <mergeCell ref="CD32:CE33"/>
    <mergeCell ref="CF32:CG33"/>
    <mergeCell ref="CH32:CI33"/>
    <mergeCell ref="CJ32:CK33"/>
    <mergeCell ref="CL32:CM33"/>
    <mergeCell ref="CN32:CO33"/>
    <mergeCell ref="CP32:CQ33"/>
    <mergeCell ref="CR32:CS33"/>
    <mergeCell ref="CT32:CU33"/>
    <mergeCell ref="CV32:CW33"/>
    <mergeCell ref="CX32:CY33"/>
    <mergeCell ref="CZ32:DA33"/>
    <mergeCell ref="DB32:DC33"/>
    <mergeCell ref="DD32:DE33"/>
    <mergeCell ref="DF32:DG33"/>
    <mergeCell ref="DH32:DI33"/>
    <mergeCell ref="DJ32:DK33"/>
    <mergeCell ref="DL32:DM33"/>
    <mergeCell ref="EB32:EC33"/>
    <mergeCell ref="ED32:EE33"/>
    <mergeCell ref="EF32:EG33"/>
    <mergeCell ref="EH32:EI33"/>
    <mergeCell ref="EJ32:EK33"/>
    <mergeCell ref="EM32:EN33"/>
    <mergeCell ref="EO32:EP33"/>
    <mergeCell ref="EQ32:EW33"/>
    <mergeCell ref="DN32:DO33"/>
    <mergeCell ref="DP32:DQ33"/>
    <mergeCell ref="DR32:DS33"/>
    <mergeCell ref="DT32:DU33"/>
    <mergeCell ref="DV32:DW33"/>
    <mergeCell ref="DX32:DY33"/>
    <mergeCell ref="DZ32:EA33"/>
    <mergeCell ref="BF30:BI31"/>
    <mergeCell ref="BJ30:BM31"/>
    <mergeCell ref="AP32:AQ33"/>
    <mergeCell ref="AR32:AS33"/>
    <mergeCell ref="AT32:AU33"/>
    <mergeCell ref="AV32:AW33"/>
    <mergeCell ref="AX32:AY33"/>
    <mergeCell ref="AZ32:BA33"/>
    <mergeCell ref="BB32:BC33"/>
    <mergeCell ref="BD32:BE33"/>
    <mergeCell ref="BF32:BG33"/>
    <mergeCell ref="BH32:BI33"/>
    <mergeCell ref="BJ32:BK33"/>
    <mergeCell ref="BL32:BM33"/>
    <mergeCell ref="BN32:BO33"/>
    <mergeCell ref="BP32:BQ33"/>
    <mergeCell ref="BR32:BS33"/>
    <mergeCell ref="BT32:BU33"/>
    <mergeCell ref="BV32:BW33"/>
    <mergeCell ref="BJ34:BK35"/>
    <mergeCell ref="BL34:BM35"/>
    <mergeCell ref="BN34:BO35"/>
    <mergeCell ref="BP34:BQ35"/>
    <mergeCell ref="BR34:BS35"/>
    <mergeCell ref="BT34:BU35"/>
    <mergeCell ref="BV34:BW35"/>
    <mergeCell ref="BX34:BY35"/>
    <mergeCell ref="BZ34:CA35"/>
    <mergeCell ref="CB34:CC35"/>
    <mergeCell ref="CD34:CE35"/>
    <mergeCell ref="CF34:CG35"/>
    <mergeCell ref="CH34:CI35"/>
    <mergeCell ref="CJ34:CK35"/>
    <mergeCell ref="CL34:CM35"/>
    <mergeCell ref="CN34:CO35"/>
    <mergeCell ref="CP34:CQ35"/>
    <mergeCell ref="CR34:CS35"/>
    <mergeCell ref="CT34:CU35"/>
    <mergeCell ref="CV34:CW35"/>
    <mergeCell ref="CX34:CY35"/>
    <mergeCell ref="CZ34:DA35"/>
    <mergeCell ref="DB34:DC35"/>
    <mergeCell ref="DD34:DE35"/>
    <mergeCell ref="DF34:DG35"/>
    <mergeCell ref="DH34:DI35"/>
    <mergeCell ref="DJ34:DK35"/>
    <mergeCell ref="DL34:DM35"/>
    <mergeCell ref="EB34:EC35"/>
    <mergeCell ref="ED34:EE35"/>
    <mergeCell ref="EF34:EG35"/>
    <mergeCell ref="EH34:EI35"/>
    <mergeCell ref="EJ34:EK35"/>
    <mergeCell ref="EM34:EN35"/>
    <mergeCell ref="EO34:EP35"/>
    <mergeCell ref="EQ34:EW35"/>
    <mergeCell ref="DN34:DO35"/>
    <mergeCell ref="DP34:DQ35"/>
    <mergeCell ref="DR34:DS35"/>
    <mergeCell ref="DT34:DU35"/>
    <mergeCell ref="DV34:DW35"/>
    <mergeCell ref="DX34:DY35"/>
    <mergeCell ref="DZ34:EA35"/>
    <mergeCell ref="BX36:BY37"/>
    <mergeCell ref="BZ36:CA37"/>
    <mergeCell ref="CB36:CC37"/>
    <mergeCell ref="CD36:CE37"/>
    <mergeCell ref="CF36:CG37"/>
    <mergeCell ref="CH36:CI37"/>
    <mergeCell ref="CJ36:CK37"/>
    <mergeCell ref="CL36:CM37"/>
    <mergeCell ref="CN36:CO37"/>
    <mergeCell ref="CP36:CQ37"/>
    <mergeCell ref="CR36:CS37"/>
    <mergeCell ref="CT36:CU37"/>
    <mergeCell ref="CV36:CW37"/>
    <mergeCell ref="CX36:CY37"/>
    <mergeCell ref="CZ36:DA37"/>
    <mergeCell ref="DB36:DC37"/>
    <mergeCell ref="DD36:DE37"/>
    <mergeCell ref="DF36:DG37"/>
    <mergeCell ref="DH36:DI37"/>
    <mergeCell ref="DJ36:DK37"/>
    <mergeCell ref="DL36:DM37"/>
    <mergeCell ref="EB36:EC37"/>
    <mergeCell ref="ED36:EE37"/>
    <mergeCell ref="EF36:EG37"/>
    <mergeCell ref="EH36:EI37"/>
    <mergeCell ref="EJ36:EK37"/>
    <mergeCell ref="EM36:EN37"/>
    <mergeCell ref="EO36:EP37"/>
    <mergeCell ref="EQ36:EW37"/>
    <mergeCell ref="DN36:DO37"/>
    <mergeCell ref="DP36:DQ37"/>
    <mergeCell ref="DR36:DS37"/>
    <mergeCell ref="DT36:DU37"/>
    <mergeCell ref="DV36:DW37"/>
    <mergeCell ref="DX36:DY37"/>
    <mergeCell ref="DZ36:EA37"/>
    <mergeCell ref="AX27:BA29"/>
    <mergeCell ref="BB27:BE29"/>
    <mergeCell ref="BB38:BC39"/>
    <mergeCell ref="BD38:BE39"/>
    <mergeCell ref="BF38:BG39"/>
    <mergeCell ref="BH38:BI39"/>
    <mergeCell ref="BJ38:BK39"/>
    <mergeCell ref="BL38:BM39"/>
    <mergeCell ref="AP40:AS41"/>
    <mergeCell ref="AT40:AW41"/>
    <mergeCell ref="AX40:BA41"/>
    <mergeCell ref="BB40:BE41"/>
    <mergeCell ref="BF40:BI41"/>
    <mergeCell ref="BJ40:BM41"/>
    <mergeCell ref="AL24:AO41"/>
    <mergeCell ref="AP24:AS25"/>
    <mergeCell ref="AT24:AW25"/>
    <mergeCell ref="AX24:BA25"/>
    <mergeCell ref="BB24:BE25"/>
    <mergeCell ref="BF24:BI25"/>
    <mergeCell ref="BJ24:BM25"/>
    <mergeCell ref="BX38:BY39"/>
    <mergeCell ref="BZ38:CA39"/>
    <mergeCell ref="CB38:CC39"/>
    <mergeCell ref="CD38:CE39"/>
    <mergeCell ref="CF38:CG39"/>
    <mergeCell ref="CH38:CI39"/>
    <mergeCell ref="CJ38:CK39"/>
    <mergeCell ref="CL38:CM39"/>
    <mergeCell ref="CN38:CO39"/>
    <mergeCell ref="CP38:CQ39"/>
    <mergeCell ref="CR38:CS39"/>
    <mergeCell ref="CT38:CU39"/>
    <mergeCell ref="CV38:CW39"/>
    <mergeCell ref="CX38:CY39"/>
    <mergeCell ref="CZ38:DA39"/>
    <mergeCell ref="DB38:DC39"/>
    <mergeCell ref="DD38:DE39"/>
    <mergeCell ref="DF38:DG39"/>
    <mergeCell ref="DH38:DI39"/>
    <mergeCell ref="DJ38:DK39"/>
    <mergeCell ref="DL38:DM39"/>
    <mergeCell ref="EB38:EC39"/>
    <mergeCell ref="ED38:EE39"/>
    <mergeCell ref="EF38:EG39"/>
    <mergeCell ref="EH38:EI39"/>
    <mergeCell ref="EJ38:EK39"/>
    <mergeCell ref="EM38:EN39"/>
    <mergeCell ref="EO38:EP39"/>
    <mergeCell ref="EQ38:EW39"/>
    <mergeCell ref="DN38:DO39"/>
    <mergeCell ref="DP38:DQ39"/>
    <mergeCell ref="DR38:DS39"/>
    <mergeCell ref="DT38:DU39"/>
    <mergeCell ref="DV38:DW39"/>
    <mergeCell ref="DX38:DY39"/>
    <mergeCell ref="DZ38:EA39"/>
    <mergeCell ref="BN40:BQ41"/>
    <mergeCell ref="BR40:BU41"/>
    <mergeCell ref="BV40:BY41"/>
    <mergeCell ref="BZ40:CC41"/>
    <mergeCell ref="CD40:CG41"/>
    <mergeCell ref="CH40:CK41"/>
    <mergeCell ref="CL40:CO41"/>
    <mergeCell ref="DR40:DU41"/>
    <mergeCell ref="DV40:DY41"/>
    <mergeCell ref="DZ40:EC41"/>
    <mergeCell ref="ED40:EG41"/>
    <mergeCell ref="EH40:EK41"/>
    <mergeCell ref="EM40:EN41"/>
    <mergeCell ref="EO40:EP41"/>
    <mergeCell ref="EQ40:EW41"/>
    <mergeCell ref="CP40:CS41"/>
    <mergeCell ref="CT40:CW41"/>
    <mergeCell ref="CX40:DA41"/>
    <mergeCell ref="DB40:DE41"/>
    <mergeCell ref="DF40:DI41"/>
    <mergeCell ref="DJ40:DM41"/>
    <mergeCell ref="DN40:DQ41"/>
    <mergeCell ref="AX36:AY37"/>
    <mergeCell ref="AZ36:BA37"/>
    <mergeCell ref="BB36:BC37"/>
    <mergeCell ref="BD36:BE37"/>
    <mergeCell ref="BF36:BG37"/>
    <mergeCell ref="BH36:BI37"/>
    <mergeCell ref="BJ36:BK37"/>
    <mergeCell ref="BL36:BM37"/>
    <mergeCell ref="BN38:BO39"/>
    <mergeCell ref="BP38:BQ39"/>
    <mergeCell ref="BR38:BS39"/>
    <mergeCell ref="BT38:BU39"/>
    <mergeCell ref="BV38:BW39"/>
    <mergeCell ref="AX38:AY39"/>
    <mergeCell ref="AZ38:BA39"/>
    <mergeCell ref="AX44:BA45"/>
    <mergeCell ref="BB44:BE45"/>
    <mergeCell ref="BF44:BI45"/>
    <mergeCell ref="BJ44:BM45"/>
    <mergeCell ref="BN44:BQ45"/>
    <mergeCell ref="BJ52:BK53"/>
    <mergeCell ref="BL52:BM53"/>
    <mergeCell ref="BN52:BO53"/>
    <mergeCell ref="BP52:BQ53"/>
    <mergeCell ref="BR52:BS53"/>
    <mergeCell ref="BT52:BU53"/>
    <mergeCell ref="BV52:BW53"/>
    <mergeCell ref="AT38:AU39"/>
    <mergeCell ref="AV38:AW39"/>
    <mergeCell ref="AT44:AW45"/>
    <mergeCell ref="AT47:AW49"/>
    <mergeCell ref="AX47:BA49"/>
    <mergeCell ref="BB47:BE49"/>
    <mergeCell ref="BF47:BI49"/>
    <mergeCell ref="CN56:CO57"/>
    <mergeCell ref="CP56:CQ57"/>
    <mergeCell ref="BZ56:CA57"/>
    <mergeCell ref="CB56:CC57"/>
    <mergeCell ref="CD56:CE57"/>
    <mergeCell ref="CF56:CG57"/>
    <mergeCell ref="CH56:CI57"/>
    <mergeCell ref="CJ56:CK57"/>
    <mergeCell ref="CL56:CM57"/>
    <mergeCell ref="BZ60:CC61"/>
    <mergeCell ref="CD60:CG61"/>
    <mergeCell ref="CH60:CK61"/>
    <mergeCell ref="CL60:CO61"/>
    <mergeCell ref="CP60:CS61"/>
    <mergeCell ref="CT60:CW61"/>
    <mergeCell ref="CX60:DA61"/>
    <mergeCell ref="ED60:EG61"/>
    <mergeCell ref="EH60:EK61"/>
    <mergeCell ref="EL60:EO61"/>
    <mergeCell ref="DB60:DE61"/>
    <mergeCell ref="DF60:DI61"/>
    <mergeCell ref="DJ60:DM61"/>
    <mergeCell ref="DN60:DQ61"/>
    <mergeCell ref="DR60:DU61"/>
    <mergeCell ref="DV60:DY61"/>
    <mergeCell ref="DZ60:EC61"/>
    <mergeCell ref="DF56:DG57"/>
    <mergeCell ref="DH56:DI57"/>
    <mergeCell ref="CR56:CS57"/>
    <mergeCell ref="CT56:CU57"/>
    <mergeCell ref="CV56:CW57"/>
    <mergeCell ref="CX56:CY57"/>
    <mergeCell ref="CZ56:DA57"/>
    <mergeCell ref="DB56:DC57"/>
    <mergeCell ref="DD56:DE57"/>
    <mergeCell ref="AP38:AQ39"/>
    <mergeCell ref="AR38:AS39"/>
    <mergeCell ref="AL44:AO61"/>
    <mergeCell ref="AP44:AS45"/>
    <mergeCell ref="AP47:AS49"/>
    <mergeCell ref="AP50:AS51"/>
    <mergeCell ref="AP52:AQ53"/>
    <mergeCell ref="AP60:AS61"/>
    <mergeCell ref="AP58:AQ59"/>
    <mergeCell ref="AR58:AS59"/>
    <mergeCell ref="AT58:AU59"/>
    <mergeCell ref="AX58:AY59"/>
    <mergeCell ref="AZ58:BA59"/>
    <mergeCell ref="BB58:BC59"/>
    <mergeCell ref="BD58:BE59"/>
    <mergeCell ref="BR60:BU61"/>
    <mergeCell ref="BV60:BY61"/>
    <mergeCell ref="AV58:AW59"/>
    <mergeCell ref="AT60:AW61"/>
    <mergeCell ref="AX60:BA61"/>
    <mergeCell ref="BB60:BE61"/>
    <mergeCell ref="BF60:BI61"/>
    <mergeCell ref="BJ60:BM61"/>
    <mergeCell ref="BN60:BQ61"/>
    <mergeCell ref="AP54:AQ55"/>
    <mergeCell ref="AR54:AS55"/>
    <mergeCell ref="AT54:AU55"/>
    <mergeCell ref="AV54:AW55"/>
    <mergeCell ref="AX54:AY55"/>
    <mergeCell ref="AZ54:BA55"/>
    <mergeCell ref="BB54:BC55"/>
    <mergeCell ref="CT54:CU55"/>
    <mergeCell ref="CV54:CW55"/>
    <mergeCell ref="CX54:CY55"/>
    <mergeCell ref="CZ54:DA55"/>
    <mergeCell ref="DB54:DC55"/>
    <mergeCell ref="DD54:DE55"/>
    <mergeCell ref="DF54:DG55"/>
    <mergeCell ref="BD54:BE55"/>
    <mergeCell ref="BF54:BG55"/>
    <mergeCell ref="BH54:BI55"/>
    <mergeCell ref="BJ54:BK55"/>
    <mergeCell ref="BL54:BM55"/>
    <mergeCell ref="BN54:BO55"/>
    <mergeCell ref="BP54:BQ55"/>
    <mergeCell ref="BR54:BS55"/>
    <mergeCell ref="BT54:BU55"/>
    <mergeCell ref="BV54:BW55"/>
    <mergeCell ref="BX54:BY55"/>
    <mergeCell ref="BZ54:CA55"/>
    <mergeCell ref="CB54:CC55"/>
    <mergeCell ref="CD54:CE55"/>
    <mergeCell ref="CF54:CG55"/>
    <mergeCell ref="CH54:CI55"/>
    <mergeCell ref="CJ54:CK55"/>
    <mergeCell ref="CL54:CM55"/>
    <mergeCell ref="CN54:CO55"/>
    <mergeCell ref="CP54:CQ55"/>
    <mergeCell ref="CR54:CS55"/>
    <mergeCell ref="DJ56:DK57"/>
    <mergeCell ref="DL56:DM57"/>
    <mergeCell ref="DN56:DO57"/>
    <mergeCell ref="DP56:DQ57"/>
    <mergeCell ref="DR56:DS57"/>
    <mergeCell ref="DT56:DU57"/>
    <mergeCell ref="DH54:DI55"/>
    <mergeCell ref="DJ54:DK55"/>
    <mergeCell ref="DL54:DM55"/>
    <mergeCell ref="DN54:DO55"/>
    <mergeCell ref="DP54:DQ55"/>
    <mergeCell ref="DR54:DS55"/>
    <mergeCell ref="DT54:DU55"/>
    <mergeCell ref="EL58:EM59"/>
    <mergeCell ref="EN58:EO59"/>
    <mergeCell ref="DX58:DY59"/>
    <mergeCell ref="DZ58:EA59"/>
    <mergeCell ref="EB58:EC59"/>
    <mergeCell ref="ED58:EE59"/>
    <mergeCell ref="EF58:EG59"/>
    <mergeCell ref="EH58:EI59"/>
    <mergeCell ref="EJ58:EK59"/>
    <mergeCell ref="BV56:BW57"/>
    <mergeCell ref="BX56:BY57"/>
    <mergeCell ref="BH56:BI57"/>
    <mergeCell ref="BJ56:BK57"/>
    <mergeCell ref="BL56:BM57"/>
    <mergeCell ref="BN56:BO57"/>
    <mergeCell ref="BP56:BQ57"/>
    <mergeCell ref="BR56:BS57"/>
    <mergeCell ref="BT56:BU57"/>
    <mergeCell ref="BF58:BG59"/>
    <mergeCell ref="BH58:BI59"/>
    <mergeCell ref="BJ58:BK59"/>
    <mergeCell ref="BL58:BM59"/>
    <mergeCell ref="BN58:BO59"/>
    <mergeCell ref="BP58:BQ59"/>
    <mergeCell ref="BR58:BS59"/>
    <mergeCell ref="BT58:BU59"/>
    <mergeCell ref="BV58:BW59"/>
    <mergeCell ref="BX58:BY59"/>
    <mergeCell ref="BZ58:CA59"/>
    <mergeCell ref="CB58:CC59"/>
    <mergeCell ref="CD58:CE59"/>
    <mergeCell ref="CF58:CG59"/>
    <mergeCell ref="CH58:CI59"/>
    <mergeCell ref="CJ58:CK59"/>
    <mergeCell ref="CL58:CM59"/>
    <mergeCell ref="CN58:CO59"/>
    <mergeCell ref="CP58:CQ59"/>
    <mergeCell ref="CR58:CS59"/>
    <mergeCell ref="CT58:CU59"/>
    <mergeCell ref="CV58:CW59"/>
    <mergeCell ref="CX58:CY59"/>
    <mergeCell ref="CZ58:DA59"/>
    <mergeCell ref="DB58:DC59"/>
    <mergeCell ref="DD58:DE59"/>
    <mergeCell ref="DF58:DG59"/>
    <mergeCell ref="DH58:DI59"/>
    <mergeCell ref="DJ58:DK59"/>
    <mergeCell ref="DL58:DM59"/>
    <mergeCell ref="DN58:DO59"/>
    <mergeCell ref="DP58:DQ59"/>
    <mergeCell ref="DR58:DS59"/>
    <mergeCell ref="DT58:DU59"/>
    <mergeCell ref="DV58:DW59"/>
    <mergeCell ref="AP34:AQ35"/>
    <mergeCell ref="AR34:AS35"/>
    <mergeCell ref="AT34:AU35"/>
    <mergeCell ref="AV34:AW35"/>
    <mergeCell ref="AX34:AY35"/>
    <mergeCell ref="AZ34:BA35"/>
    <mergeCell ref="BB34:BC35"/>
    <mergeCell ref="BD34:BE35"/>
    <mergeCell ref="AP36:AQ37"/>
    <mergeCell ref="AR36:AS37"/>
    <mergeCell ref="AT36:AU37"/>
    <mergeCell ref="AV36:AW37"/>
    <mergeCell ref="BF34:BG35"/>
    <mergeCell ref="BH34:BI35"/>
    <mergeCell ref="BN36:BO37"/>
    <mergeCell ref="BP36:BQ37"/>
    <mergeCell ref="BR36:BS37"/>
    <mergeCell ref="BT36:BU37"/>
    <mergeCell ref="BV36:BW37"/>
    <mergeCell ref="BR44:BU45"/>
    <mergeCell ref="BV44:BY45"/>
    <mergeCell ref="BZ44:CC45"/>
    <mergeCell ref="CD44:CG45"/>
    <mergeCell ref="CH44:CK45"/>
    <mergeCell ref="CL44:CO45"/>
    <mergeCell ref="CP44:CS45"/>
    <mergeCell ref="DV44:DY45"/>
    <mergeCell ref="DZ44:EC45"/>
    <mergeCell ref="ED44:EG45"/>
    <mergeCell ref="EH44:EK45"/>
    <mergeCell ref="EL44:EO45"/>
    <mergeCell ref="CT44:CW45"/>
    <mergeCell ref="CX44:DA45"/>
    <mergeCell ref="DB44:DE45"/>
    <mergeCell ref="DF44:DI45"/>
    <mergeCell ref="DJ44:DM45"/>
    <mergeCell ref="DN44:DQ45"/>
    <mergeCell ref="DR44:DU45"/>
    <mergeCell ref="BJ47:BM49"/>
    <mergeCell ref="BN47:BQ49"/>
    <mergeCell ref="BR47:BU49"/>
    <mergeCell ref="BV47:BY49"/>
    <mergeCell ref="BZ47:CC49"/>
    <mergeCell ref="CD47:CG49"/>
    <mergeCell ref="CH47:CK49"/>
    <mergeCell ref="DN47:DQ49"/>
    <mergeCell ref="DR47:DU49"/>
    <mergeCell ref="DV47:DY49"/>
    <mergeCell ref="DZ47:EC49"/>
    <mergeCell ref="ED47:EG49"/>
    <mergeCell ref="EH47:EK49"/>
    <mergeCell ref="EL47:EO49"/>
    <mergeCell ref="CL47:CO49"/>
    <mergeCell ref="CP47:CS49"/>
    <mergeCell ref="CT47:CW49"/>
    <mergeCell ref="CX47:DA49"/>
    <mergeCell ref="DB47:DE49"/>
    <mergeCell ref="DF47:DI49"/>
    <mergeCell ref="DJ47:DM49"/>
    <mergeCell ref="AT50:AW51"/>
    <mergeCell ref="AX50:BA51"/>
    <mergeCell ref="BB50:BE51"/>
    <mergeCell ref="BF50:BI51"/>
    <mergeCell ref="BJ50:BM51"/>
    <mergeCell ref="BN50:BQ51"/>
    <mergeCell ref="BR50:BU51"/>
    <mergeCell ref="BV50:BY51"/>
    <mergeCell ref="BZ50:CC51"/>
    <mergeCell ref="CD50:CG51"/>
    <mergeCell ref="CH50:CK51"/>
    <mergeCell ref="CL50:CO51"/>
    <mergeCell ref="CP50:CS51"/>
    <mergeCell ref="CT50:CW51"/>
    <mergeCell ref="DZ50:EC51"/>
    <mergeCell ref="ED50:EG51"/>
    <mergeCell ref="EH50:EK51"/>
    <mergeCell ref="EL50:EO51"/>
    <mergeCell ref="CX50:DA51"/>
    <mergeCell ref="DB50:DE51"/>
    <mergeCell ref="DF50:DI51"/>
    <mergeCell ref="DJ50:DM51"/>
    <mergeCell ref="DN50:DQ51"/>
    <mergeCell ref="DR50:DU51"/>
    <mergeCell ref="DV50:DY51"/>
    <mergeCell ref="AR52:AS53"/>
    <mergeCell ref="AT52:AU53"/>
    <mergeCell ref="AV52:AW53"/>
    <mergeCell ref="AX52:AY53"/>
    <mergeCell ref="AZ52:BA53"/>
    <mergeCell ref="BB52:BC53"/>
    <mergeCell ref="BD52:BE53"/>
    <mergeCell ref="BF52:BG53"/>
    <mergeCell ref="BH52:BI53"/>
    <mergeCell ref="BX52:BY53"/>
    <mergeCell ref="BZ52:CA53"/>
    <mergeCell ref="CB52:CC53"/>
    <mergeCell ref="CD52:CE53"/>
    <mergeCell ref="CF52:CG53"/>
    <mergeCell ref="CH52:CI53"/>
    <mergeCell ref="CJ52:CK53"/>
    <mergeCell ref="CL52:CM53"/>
    <mergeCell ref="CN52:CO53"/>
    <mergeCell ref="CP52:CQ53"/>
    <mergeCell ref="CR52:CS53"/>
    <mergeCell ref="CT52:CU53"/>
    <mergeCell ref="CV52:CW53"/>
    <mergeCell ref="CX52:CY53"/>
    <mergeCell ref="CZ52:DA53"/>
    <mergeCell ref="DB52:DC53"/>
    <mergeCell ref="DD52:DE53"/>
    <mergeCell ref="DF52:DG53"/>
    <mergeCell ref="DH52:DI53"/>
    <mergeCell ref="DJ52:DK53"/>
    <mergeCell ref="DL52:DM53"/>
    <mergeCell ref="DN52:DO53"/>
    <mergeCell ref="DP52:DQ53"/>
    <mergeCell ref="DR52:DS53"/>
    <mergeCell ref="DT52:DU53"/>
    <mergeCell ref="DV52:DW53"/>
    <mergeCell ref="EL52:EM53"/>
    <mergeCell ref="EN52:EO53"/>
    <mergeCell ref="DX52:DY53"/>
    <mergeCell ref="DZ52:EA53"/>
    <mergeCell ref="EB52:EC53"/>
    <mergeCell ref="ED52:EE53"/>
    <mergeCell ref="EF52:EG53"/>
    <mergeCell ref="EH52:EI53"/>
    <mergeCell ref="EJ52:EK53"/>
    <mergeCell ref="EJ54:EK55"/>
    <mergeCell ref="EL54:EM55"/>
    <mergeCell ref="EN54:EO55"/>
    <mergeCell ref="DV54:DW55"/>
    <mergeCell ref="DX54:DY55"/>
    <mergeCell ref="DZ54:EA55"/>
    <mergeCell ref="EB54:EC55"/>
    <mergeCell ref="ED54:EE55"/>
    <mergeCell ref="EF54:EG55"/>
    <mergeCell ref="EH54:EI55"/>
    <mergeCell ref="EJ56:EK57"/>
    <mergeCell ref="EL56:EM57"/>
    <mergeCell ref="EN56:EO57"/>
    <mergeCell ref="DV56:DW57"/>
    <mergeCell ref="DX56:DY57"/>
    <mergeCell ref="DZ56:EA57"/>
    <mergeCell ref="EB56:EC57"/>
    <mergeCell ref="ED56:EE57"/>
    <mergeCell ref="EF56:EG57"/>
    <mergeCell ref="EH56:EI57"/>
    <mergeCell ref="BD56:BE57"/>
    <mergeCell ref="BF56:BG57"/>
    <mergeCell ref="AP56:AQ57"/>
    <mergeCell ref="AR56:AS57"/>
    <mergeCell ref="AT56:AU57"/>
    <mergeCell ref="AV56:AW57"/>
    <mergeCell ref="AX56:AY57"/>
    <mergeCell ref="AZ56:BA57"/>
    <mergeCell ref="BB56:BC57"/>
  </mergeCells>
  <printOptions gridLines="1" horizontalCentered="1"/>
  <pageMargins bottom="0.0" footer="0.0" header="0.0" left="0.0" right="0.0" top="0.0"/>
  <pageSetup fitToWidth="0" cellComments="atEnd" orientation="landscape" pageOrder="overThenDown" paperHeight="6.299212598425196in" paperWidth="12.598425196850393in"/>
  <drawing r:id="rId1"/>
</worksheet>
</file>