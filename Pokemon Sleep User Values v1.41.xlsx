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的食材隊檔案" sheetId="1" r:id="rId5"/>
    <sheet state="visible" name="我的食材效率" sheetId="2" r:id="rId6"/>
    <sheet state="visible" name="我的料理效率" sheetId="3" r:id="rId7"/>
    <sheet state="visible" name="應用日產（AP）" sheetId="4" r:id="rId8"/>
    <sheet state="visible" name="計算公式" sheetId="5" r:id="rId9"/>
    <sheet state="visible" name="食譜" sheetId="6" r:id="rId10"/>
  </sheets>
  <definedNames>
    <definedName name="ing_ico">'我的食材隊檔案'!$E$2:$E$30</definedName>
    <definedName name="my_prod">'我的食材隊檔案'!$F$2:$F$30</definedName>
    <definedName name="ing_table">'我的食材隊檔案'!$A$2:$F$30</definedName>
    <definedName name="ing_name">'我的食材隊檔案'!$D$2:$D$30</definedName>
    <definedName name="applied_prod">'應用日產（AP）'!$C$2:$C$30</definedName>
    <definedName name="ing_energy">'我的食材隊檔案'!$A$2:$A$30</definedName>
  </definedNames>
  <calcPr/>
</workbook>
</file>

<file path=xl/sharedStrings.xml><?xml version="1.0" encoding="utf-8"?>
<sst xmlns="http://schemas.openxmlformats.org/spreadsheetml/2006/main" count="338" uniqueCount="109">
  <si>
    <t>食材圖</t>
  </si>
  <si>
    <t>我的日產（不計幫獎）</t>
  </si>
  <si>
    <t>幫獎？</t>
  </si>
  <si>
    <t>暫缺</t>
  </si>
  <si>
    <t>目的</t>
  </si>
  <si>
    <t>Y</t>
  </si>
  <si>
    <t>爆擊公式</t>
  </si>
  <si>
    <t>求空置隊伍位與料理總能量之換算，以兩技咚為基準，此為上限，公式應有衰減。</t>
  </si>
  <si>
    <t>基準樹果充能手</t>
  </si>
  <si>
    <t>同上，求空置隊伍與總能量（料理＋其他）的換算，此為下限，更多用於助新手對比低階食譜。</t>
  </si>
  <si>
    <t>更好的排板</t>
  </si>
  <si>
    <t>能不能外包啊？實在缺乏美術細胞</t>
  </si>
  <si>
    <t>島加成</t>
  </si>
  <si>
    <t>有必要嗎？能幫到人，但是也怕和網頁一樣，大家貼圖時忘了移除加成耶。</t>
  </si>
  <si>
    <t>補師是否持幫獎</t>
  </si>
  <si>
    <t>毫無作用。但相信有人和我一樣，看到隊伍已有幫獎為5就覺得身心舒暢。</t>
  </si>
  <si>
    <t>日後或能期待</t>
  </si>
  <si>
    <t>一週計算</t>
  </si>
  <si>
    <t>以加入備料系統（800）、ABB/ABA的多餘食材（週佔位*週副產）、週日三倍料理能量、平滑爆擊曲線等等⋯日計算我實在想不到怎麼硬爆。</t>
  </si>
  <si>
    <t>個人檔案VS</t>
  </si>
  <si>
    <t>不確定群友有沒有玩這麼大，所以搞不起，想對比強度還是很簡單的：全料理計算幫獎環境後的總佔位相除即可</t>
  </si>
  <si>
    <t>食材手主技能</t>
  </si>
  <si>
    <t>古月鳥爆鍋、貓擴鍋、食材精選（週計算）等。其中只有爆鍋和精選這些類型能直接量化為數值。</t>
  </si>
  <si>
    <t>Version</t>
  </si>
  <si>
    <t>Debug完成。Outsource給社群。我好想有人搞美化啊。</t>
  </si>
  <si>
    <t>分割食材效率和料理效率頁面。純粹基於美觀考量。食材效率和料理效率的自定義欄寬差太多了啦。</t>
  </si>
  <si>
    <t>創建以AP（應用日產）評估料理的總效率的頁面。公式簡化為（一日料理總能量*爆擊倍率）/一日需佔隊伍位置數。由此可得量化的排行榜。</t>
  </si>
  <si>
    <t>創建以個人檔案計算一日料理的總效率的頁面。理論上，用戶輸入自定義，和計算頁面分割，能夠允許頁面美化和導出一個玩家的"個體值"——但我實在不會頁面設計。</t>
  </si>
  <si>
    <t>和食譜Sheet對齊（Importrange），不需要維護者付出額外勞動，即可自動更新觀看全食譜數據。放棄了高端大氣上檔次的VBA，使用大國工匠手填公式（所以只有十個料理，你有本事就自己去填去改，又不難（</t>
  </si>
  <si>
    <t>優化了自己大腦。放棄了非常酷炫的意義不明的複雜公式。優化了用戶體驗，現在第一頁是個人檔案，只有F行的個人日產和預估幫獎數要自己填寫。</t>
  </si>
  <si>
    <t>計算日產時，建議以網頁滿活力，去除幫獎技能（5%）計算。是否考慮持有和其他因素可自行判斷。</t>
  </si>
  <si>
    <t>應用日產以網頁滿活力、持有無上限、食M且性格加食減經驗計算。在無幫獎環境約可視為接近最優的產值（PR99），所以更適合追求PR95的玩家衡量標準。</t>
  </si>
  <si>
    <t>填寫你計算的料理名</t>
  </si>
  <si>
    <t>填寫你預估的幫獎數</t>
  </si>
  <si>
    <t>已有幫獎</t>
  </si>
  <si>
    <t>懶得全填上IFERROR，勞煩計算日產時填個正數，至少填個1，我不想這裡限制玩家，因為填0的確有填0的好處。</t>
  </si>
  <si>
    <t>覺醒力量濃湯</t>
  </si>
  <si>
    <t>居合斬壽喜燒咖哩</t>
  </si>
  <si>
    <t>茂盛焗烤酪梨</t>
  </si>
  <si>
    <t>重踏酪梨醬脆片</t>
  </si>
  <si>
    <t>蘋果酸優格沙拉</t>
  </si>
  <si>
    <t>不服輸咖啡沙拉</t>
  </si>
  <si>
    <t>採蜜巧克力格子鬆餅</t>
  </si>
  <si>
    <t>心跳加速鬼面鬆餅</t>
  </si>
  <si>
    <t>土王閃電泡芙</t>
  </si>
  <si>
    <t>電光香料可樂</t>
  </si>
  <si>
    <t>食材基礎分</t>
  </si>
  <si>
    <t>英文名</t>
  </si>
  <si>
    <t>ID</t>
  </si>
  <si>
    <t>食材名</t>
  </si>
  <si>
    <t>我的日產（MP）</t>
  </si>
  <si>
    <t>應用日產（AP）</t>
  </si>
  <si>
    <t>MP/AP</t>
  </si>
  <si>
    <t>一餐需</t>
  </si>
  <si>
    <t>對應最高級料理為</t>
  </si>
  <si>
    <t>三餐需（BLD）</t>
  </si>
  <si>
    <t>MP/BLD</t>
  </si>
  <si>
    <t>AP/BLD</t>
  </si>
  <si>
    <t>食材</t>
  </si>
  <si>
    <t>日產</t>
  </si>
  <si>
    <t>超產能力</t>
  </si>
  <si>
    <t>日佔位</t>
  </si>
  <si>
    <t>隊伍</t>
  </si>
  <si>
    <t>實際運作</t>
  </si>
  <si>
    <t>爆擊修正</t>
  </si>
  <si>
    <t>已選擇料理</t>
  </si>
  <si>
    <t>已定義幫獎環境</t>
  </si>
  <si>
    <t>MP隊伍總佔位</t>
  </si>
  <si>
    <t>料理效率</t>
  </si>
  <si>
    <t>BLD/AP</t>
  </si>
  <si>
    <t>Time</t>
  </si>
  <si>
    <t>AP</t>
  </si>
  <si>
    <t>BLD</t>
  </si>
  <si>
    <t>需</t>
  </si>
  <si>
    <t>佔比</t>
  </si>
  <si>
    <t>MP</t>
  </si>
  <si>
    <t>BLD/MP</t>
  </si>
  <si>
    <t>總佔位</t>
  </si>
  <si>
    <t>倍率修正</t>
  </si>
  <si>
    <t>總需時</t>
  </si>
  <si>
    <t>總料理能量</t>
  </si>
  <si>
    <t>爆擊倍率</t>
  </si>
  <si>
    <t>AP隊伍總佔位</t>
  </si>
  <si>
    <t>應用日產(預設持有上限）</t>
  </si>
  <si>
    <t>基準日產（BP）</t>
  </si>
  <si>
    <t>食材1AP</t>
  </si>
  <si>
    <t>食材1BLD</t>
  </si>
  <si>
    <t>食材1AP/BLD</t>
  </si>
  <si>
    <t>食材1BLD/AP</t>
  </si>
  <si>
    <t>食材1Time</t>
  </si>
  <si>
    <t>食材2AP</t>
  </si>
  <si>
    <t>食材2BLD</t>
  </si>
  <si>
    <t>食材2AP/BLD</t>
  </si>
  <si>
    <t>食材2BLD/AP</t>
  </si>
  <si>
    <t>食材2Time</t>
  </si>
  <si>
    <t>食材3AP</t>
  </si>
  <si>
    <t>食材3BLD</t>
  </si>
  <si>
    <t>食材3AP/BLD</t>
  </si>
  <si>
    <t>食材3BLD/AP</t>
  </si>
  <si>
    <t>食材3Ttime</t>
  </si>
  <si>
    <t>食材4AP</t>
  </si>
  <si>
    <t>食材4BLD</t>
  </si>
  <si>
    <t>食材4AP/BLD</t>
  </si>
  <si>
    <t>食材4BLD/AP</t>
  </si>
  <si>
    <t>食材4Time</t>
  </si>
  <si>
    <t>TotalTime</t>
  </si>
  <si>
    <t>TotalOccupiedSlot</t>
  </si>
  <si>
    <t>BLDRecipeEnergy</t>
  </si>
  <si>
    <t>BLDRecipeEnergy/TotalOccupiedSlot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</si>
</sst>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Iansui"/>
    </font>
    <font>
      <color rgb="FFFFFFFF"/>
      <name val="Iansui"/>
    </font>
    <font>
      <color rgb="FF434343"/>
      <name val="Iansui"/>
    </font>
    <font/>
    <font>
      <b/>
      <color theme="1"/>
      <name val="Iansui"/>
    </font>
    <font>
      <sz val="10.0"/>
      <color theme="1"/>
      <name val="Iansui"/>
    </font>
    <font>
      <sz val="11.0"/>
      <color rgb="FF343A40"/>
      <name val="Iansui"/>
    </font>
    <font>
      <color theme="1"/>
      <name val="Arial"/>
      <scheme val="minor"/>
    </font>
    <font>
      <sz val="11.0"/>
      <color rgb="FF333D42"/>
      <name val="Arial"/>
    </font>
    <font>
      <sz val="11.0"/>
      <color rgb="FF333D42"/>
      <name val="-apple-system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B1AB"/>
        <bgColor rgb="FFF0B1AB"/>
      </patternFill>
    </fill>
    <fill>
      <patternFill patternType="solid">
        <fgColor rgb="FFE9ECEF"/>
        <bgColor rgb="FFE9ECEF"/>
      </patternFill>
    </fill>
    <fill>
      <patternFill patternType="solid">
        <fgColor rgb="FFE67C73"/>
        <bgColor rgb="FFE67C73"/>
      </patternFill>
    </fill>
    <fill>
      <patternFill patternType="solid">
        <fgColor rgb="FFEEA19B"/>
        <bgColor rgb="FFEEA19B"/>
      </patternFill>
    </fill>
    <fill>
      <patternFill patternType="solid">
        <fgColor rgb="FFFAE3E2"/>
        <bgColor rgb="FFFAE3E2"/>
      </patternFill>
    </fill>
    <fill>
      <patternFill patternType="solid">
        <fgColor rgb="FFFBE9E8"/>
        <bgColor rgb="FFFBE9E8"/>
      </patternFill>
    </fill>
    <fill>
      <patternFill patternType="solid">
        <fgColor rgb="FFF5FBF8"/>
        <bgColor rgb="FFF5FBF8"/>
      </patternFill>
    </fill>
    <fill>
      <patternFill patternType="solid">
        <fgColor rgb="FFFFFCFC"/>
        <bgColor rgb="FFFFFCFC"/>
      </patternFill>
    </fill>
    <fill>
      <patternFill patternType="solid">
        <fgColor rgb="FFFFFBFA"/>
        <bgColor rgb="FFFFFBFA"/>
      </patternFill>
    </fill>
    <fill>
      <patternFill patternType="solid">
        <fgColor rgb="FFF1B2AC"/>
        <bgColor rgb="FFF1B2A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readingOrder="0" vertical="bottom"/>
    </xf>
    <xf borderId="0" fillId="2" fontId="3" numFmtId="0" xfId="0" applyFont="1"/>
    <xf borderId="0" fillId="3" fontId="3" numFmtId="0" xfId="0" applyFont="1"/>
    <xf borderId="0" fillId="3" fontId="3" numFmtId="0" xfId="0" applyAlignment="1" applyFont="1">
      <alignment vertical="bottom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1" fillId="0" fontId="1" numFmtId="9" xfId="0" applyAlignment="1" applyBorder="1" applyFont="1" applyNumberFormat="1">
      <alignment readingOrder="0"/>
    </xf>
    <xf borderId="1" fillId="0" fontId="1" numFmtId="9" xfId="0" applyBorder="1" applyFont="1" applyNumberFormat="1"/>
    <xf borderId="1" fillId="4" fontId="1" numFmtId="9" xfId="0" applyAlignment="1" applyBorder="1" applyFill="1" applyFont="1" applyNumberFormat="1">
      <alignment horizontal="right" vertical="bottom"/>
    </xf>
    <xf borderId="0" fillId="0" fontId="1" numFmtId="9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1" numFmtId="0" xfId="0" applyAlignment="1" applyFont="1">
      <alignment horizontal="right" readingOrder="0"/>
    </xf>
    <xf borderId="0" fillId="0" fontId="1" numFmtId="1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1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 vertical="bottom"/>
    </xf>
    <xf borderId="0" fillId="0" fontId="5" numFmtId="2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6" numFmtId="0" xfId="0" applyAlignment="1" applyFont="1">
      <alignment horizontal="right"/>
    </xf>
    <xf borderId="1" fillId="0" fontId="5" numFmtId="0" xfId="0" applyBorder="1" applyFont="1"/>
    <xf borderId="1" fillId="0" fontId="1" numFmtId="2" xfId="0" applyBorder="1" applyFont="1" applyNumberFormat="1"/>
    <xf borderId="1" fillId="0" fontId="1" numFmtId="1" xfId="0" applyBorder="1" applyFont="1" applyNumberFormat="1"/>
    <xf borderId="0" fillId="5" fontId="7" numFmtId="0" xfId="0" applyAlignment="1" applyFill="1" applyFont="1">
      <alignment horizontal="right" shrinkToFit="0" wrapText="1"/>
    </xf>
    <xf borderId="0" fillId="0" fontId="1" numFmtId="4" xfId="0" applyFont="1" applyNumberFormat="1"/>
    <xf borderId="0" fillId="0" fontId="8" numFmtId="0" xfId="0" applyFont="1"/>
    <xf borderId="0" fillId="0" fontId="1" numFmtId="9" xfId="0" applyAlignment="1" applyFont="1" applyNumberFormat="1">
      <alignment readingOrder="0"/>
    </xf>
    <xf borderId="1" fillId="0" fontId="1" numFmtId="4" xfId="0" applyBorder="1" applyFont="1" applyNumberFormat="1"/>
    <xf borderId="0" fillId="5" fontId="7" numFmtId="0" xfId="0" applyAlignment="1" applyFont="1">
      <alignment horizontal="center" shrinkToFit="0" wrapText="1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5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6" fontId="1" numFmtId="9" xfId="0" applyAlignment="1" applyFill="1" applyFont="1" applyNumberFormat="1">
      <alignment horizontal="right" vertical="bottom"/>
    </xf>
    <xf borderId="0" fillId="6" fontId="1" numFmtId="2" xfId="0" applyAlignment="1" applyFont="1" applyNumberFormat="1">
      <alignment horizontal="right" vertical="bottom"/>
    </xf>
    <xf borderId="0" fillId="7" fontId="1" numFmtId="4" xfId="0" applyAlignment="1" applyFill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0" fillId="8" fontId="1" numFmtId="2" xfId="0" applyAlignment="1" applyFill="1" applyFont="1" applyNumberFormat="1">
      <alignment horizontal="right" vertical="bottom"/>
    </xf>
    <xf borderId="0" fillId="9" fontId="1" numFmtId="4" xfId="0" applyAlignment="1" applyFill="1" applyFont="1" applyNumberFormat="1">
      <alignment horizontal="right" vertical="bottom"/>
    </xf>
    <xf borderId="0" fillId="10" fontId="1" numFmtId="2" xfId="0" applyAlignment="1" applyFill="1" applyFont="1" applyNumberFormat="1">
      <alignment horizontal="right" vertical="bottom"/>
    </xf>
    <xf borderId="0" fillId="3" fontId="1" numFmtId="4" xfId="0" applyAlignment="1" applyFont="1" applyNumberFormat="1">
      <alignment horizontal="right" vertical="bottom"/>
    </xf>
    <xf borderId="0" fillId="11" fontId="1" numFmtId="2" xfId="0" applyAlignment="1" applyFill="1" applyFont="1" applyNumberFormat="1">
      <alignment horizontal="right" vertical="bottom"/>
    </xf>
    <xf borderId="0" fillId="12" fontId="1" numFmtId="4" xfId="0" applyAlignment="1" applyFill="1" applyFont="1" applyNumberFormat="1">
      <alignment horizontal="right" vertical="bottom"/>
    </xf>
    <xf borderId="0" fillId="13" fontId="1" numFmtId="2" xfId="0" applyAlignment="1" applyFill="1" applyFont="1" applyNumberFormat="1">
      <alignment horizontal="right" vertical="bottom"/>
    </xf>
    <xf borderId="1" fillId="13" fontId="1" numFmtId="4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vertical="bottom"/>
    </xf>
    <xf borderId="0" fillId="3" fontId="9" numFmtId="0" xfId="0" applyAlignment="1" applyFont="1">
      <alignment readingOrder="0"/>
    </xf>
    <xf borderId="0" fillId="3" fontId="10" numFmtId="0" xfId="0" applyFont="1"/>
    <xf borderId="0" fillId="0" fontId="1" numFmtId="10" xfId="0" applyFont="1" applyNumberFormat="1"/>
    <xf borderId="1" fillId="0" fontId="5" numFmtId="0" xfId="0" applyAlignment="1" applyBorder="1" applyFont="1">
      <alignment vertical="bottom"/>
    </xf>
    <xf borderId="1" fillId="0" fontId="5" numFmtId="10" xfId="0" applyAlignment="1" applyBorder="1" applyFont="1" applyNumberFormat="1">
      <alignment vertical="bottom"/>
    </xf>
    <xf borderId="1" fillId="0" fontId="5" numFmtId="2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center"/>
    </xf>
    <xf borderId="1" fillId="0" fontId="1" numFmtId="10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" fillId="0" fontId="8" numFmtId="0" xfId="0" applyAlignment="1" applyBorder="1" applyFont="1">
      <alignment vertical="center"/>
    </xf>
    <xf borderId="1" fillId="0" fontId="8" numFmtId="0" xfId="0" applyBorder="1" applyFont="1"/>
    <xf borderId="1" fillId="0" fontId="11" numFmtId="0" xfId="0" applyAlignment="1" applyBorder="1" applyFont="1">
      <alignment vertical="center"/>
    </xf>
    <xf borderId="1" fillId="0" fontId="11" numFmtId="0" xfId="0" applyBorder="1" applyFont="1"/>
    <xf borderId="1" fillId="0" fontId="11" numFmtId="3" xfId="0" applyBorder="1" applyFont="1" applyNumberFormat="1"/>
    <xf borderId="1" fillId="0" fontId="8" numFmtId="9" xfId="0" applyBorder="1" applyFont="1" applyNumberFormat="1"/>
    <xf borderId="1" fillId="0" fontId="8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9.5"/>
    <col customWidth="1" hidden="1" min="2" max="2" width="17.63"/>
    <col customWidth="1" hidden="1" min="3" max="3" width="2.88"/>
    <col customWidth="1" min="4" max="4" width="9.5"/>
    <col customWidth="1" min="5" max="5" width="7.88"/>
    <col customWidth="1" min="6" max="6" width="17.0"/>
    <col customWidth="1" min="7" max="7" width="7.75"/>
  </cols>
  <sheetData>
    <row r="1">
      <c r="A1" s="1" t="str">
        <f>IFERROR(__xludf.DUMMYFUNCTION("QUERY(IMPORTRANGE(""https://docs.google.com/spreadsheets/d/1byb9bvFcmGc6Kf1LTvm48va0vCE1WjTAE5QN3bReSFU/edit?gid=1761317581#gid=1761317581"", ""食材!A:ZZZ""),""SELECT Col6, Col3, Col1, Col2"",1)"),"食材基礎分")</f>
        <v>食材基礎分</v>
      </c>
      <c r="B1" s="1" t="str">
        <f>IFERROR(__xludf.DUMMYFUNCTION("""COMPUTED_VALUE"""),"英文名")</f>
        <v>英文名</v>
      </c>
      <c r="C1" s="1" t="str">
        <f>IFERROR(__xludf.DUMMYFUNCTION("""COMPUTED_VALUE"""),"ID")</f>
        <v>ID</v>
      </c>
      <c r="D1" s="1" t="str">
        <f>IFERROR(__xludf.DUMMYFUNCTION("""COMPUTED_VALUE"""),"食材名")</f>
        <v>食材名</v>
      </c>
      <c r="E1" s="2" t="s">
        <v>0</v>
      </c>
      <c r="F1" s="3" t="s">
        <v>1</v>
      </c>
      <c r="G1" s="2" t="s">
        <v>2</v>
      </c>
      <c r="H1" s="4"/>
      <c r="I1" s="4" t="s">
        <v>3</v>
      </c>
      <c r="J1" s="4" t="s">
        <v>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f>IFERROR(__xludf.DUMMYFUNCTION("""COMPUTED_VALUE"""),185.0)</f>
        <v>185</v>
      </c>
      <c r="B2" s="1" t="str">
        <f>IFERROR(__xludf.DUMMYFUNCTION("""COMPUTED_VALUE"""),"Large Leek")</f>
        <v>Large Leek</v>
      </c>
      <c r="C2" s="1">
        <f>IFERROR(__xludf.DUMMYFUNCTION("""COMPUTED_VALUE"""),1.0)</f>
        <v>1</v>
      </c>
      <c r="D2" s="1" t="str">
        <f>IFERROR(__xludf.DUMMYFUNCTION("""COMPUTED_VALUE"""),"粗枝大蔥")</f>
        <v>粗枝大蔥</v>
      </c>
      <c r="E2" s="6" t="str">
        <f t="shared" ref="E2:E20" si="1">IMAGE("https://www.serebii.net/pokemonsleep/ingredients/"&amp;SUBSTITUTE(LOWER(B2)," ","",)&amp;".png")</f>
        <v/>
      </c>
      <c r="F2" s="7">
        <v>54.58</v>
      </c>
      <c r="G2" s="8" t="s">
        <v>5</v>
      </c>
      <c r="H2" s="4"/>
      <c r="I2" s="4" t="s">
        <v>6</v>
      </c>
      <c r="J2" s="4" t="s">
        <v>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>
        <f>IFERROR(__xludf.DUMMYFUNCTION("""COMPUTED_VALUE"""),167.0)</f>
        <v>167</v>
      </c>
      <c r="B3" s="1" t="str">
        <f>IFERROR(__xludf.DUMMYFUNCTION("""COMPUTED_VALUE"""),"Tasty Mushroom")</f>
        <v>Tasty Mushroom</v>
      </c>
      <c r="C3" s="1">
        <f>IFERROR(__xludf.DUMMYFUNCTION("""COMPUTED_VALUE"""),2.0)</f>
        <v>2</v>
      </c>
      <c r="D3" s="1" t="str">
        <f>IFERROR(__xludf.DUMMYFUNCTION("""COMPUTED_VALUE"""),"品鮮蘑菇")</f>
        <v>品鮮蘑菇</v>
      </c>
      <c r="E3" s="6" t="str">
        <f t="shared" si="1"/>
        <v/>
      </c>
      <c r="F3" s="7">
        <v>46.76</v>
      </c>
      <c r="G3" s="8"/>
      <c r="H3" s="4"/>
      <c r="I3" s="4" t="s">
        <v>8</v>
      </c>
      <c r="J3" s="4" t="s">
        <v>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>
        <f>IFERROR(__xludf.DUMMYFUNCTION("""COMPUTED_VALUE"""),115.0)</f>
        <v>115</v>
      </c>
      <c r="B4" s="1" t="str">
        <f>IFERROR(__xludf.DUMMYFUNCTION("""COMPUTED_VALUE"""),"Fancy Egg")</f>
        <v>Fancy Egg</v>
      </c>
      <c r="C4" s="1">
        <f>IFERROR(__xludf.DUMMYFUNCTION("""COMPUTED_VALUE"""),3.0)</f>
        <v>3</v>
      </c>
      <c r="D4" s="1" t="str">
        <f>IFERROR(__xludf.DUMMYFUNCTION("""COMPUTED_VALUE"""),"特選蛋")</f>
        <v>特選蛋</v>
      </c>
      <c r="E4" s="6" t="str">
        <f t="shared" si="1"/>
        <v/>
      </c>
      <c r="F4" s="7">
        <v>91.73</v>
      </c>
      <c r="G4" s="8"/>
      <c r="H4" s="4"/>
      <c r="I4" s="4" t="s">
        <v>10</v>
      </c>
      <c r="J4" s="4" t="s">
        <v>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>
        <f>IFERROR(__xludf.DUMMYFUNCTION("""COMPUTED_VALUE"""),124.0)</f>
        <v>124</v>
      </c>
      <c r="B5" s="1" t="str">
        <f>IFERROR(__xludf.DUMMYFUNCTION("""COMPUTED_VALUE"""),"Soft Potato")</f>
        <v>Soft Potato</v>
      </c>
      <c r="C5" s="1">
        <f>IFERROR(__xludf.DUMMYFUNCTION("""COMPUTED_VALUE"""),4.0)</f>
        <v>4</v>
      </c>
      <c r="D5" s="1" t="str">
        <f>IFERROR(__xludf.DUMMYFUNCTION("""COMPUTED_VALUE"""),"窩心洋芋")</f>
        <v>窩心洋芋</v>
      </c>
      <c r="E5" s="6" t="str">
        <f t="shared" si="1"/>
        <v/>
      </c>
      <c r="F5" s="7">
        <v>90.57</v>
      </c>
      <c r="G5" s="8" t="s">
        <v>5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>
        <f>IFERROR(__xludf.DUMMYFUNCTION("""COMPUTED_VALUE"""),90.0)</f>
        <v>90</v>
      </c>
      <c r="B6" s="1" t="str">
        <f>IFERROR(__xludf.DUMMYFUNCTION("""COMPUTED_VALUE"""),"Fancy Apple")</f>
        <v>Fancy Apple</v>
      </c>
      <c r="C6" s="1">
        <f>IFERROR(__xludf.DUMMYFUNCTION("""COMPUTED_VALUE"""),5.0)</f>
        <v>5</v>
      </c>
      <c r="D6" s="1" t="str">
        <f>IFERROR(__xludf.DUMMYFUNCTION("""COMPUTED_VALUE"""),"特選蘋果")</f>
        <v>特選蘋果</v>
      </c>
      <c r="E6" s="6" t="str">
        <f t="shared" si="1"/>
        <v/>
      </c>
      <c r="F6" s="7">
        <v>82.96</v>
      </c>
      <c r="G6" s="8" t="s">
        <v>5</v>
      </c>
      <c r="H6" s="4"/>
      <c r="I6" s="4" t="s">
        <v>12</v>
      </c>
      <c r="J6" s="4" t="s">
        <v>13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>
        <f>IFERROR(__xludf.DUMMYFUNCTION("""COMPUTED_VALUE"""),130.0)</f>
        <v>130</v>
      </c>
      <c r="B7" s="1" t="str">
        <f>IFERROR(__xludf.DUMMYFUNCTION("""COMPUTED_VALUE"""),"Fiery Herb")</f>
        <v>Fiery Herb</v>
      </c>
      <c r="C7" s="1">
        <f>IFERROR(__xludf.DUMMYFUNCTION("""COMPUTED_VALUE"""),6.0)</f>
        <v>6</v>
      </c>
      <c r="D7" s="1" t="str">
        <f>IFERROR(__xludf.DUMMYFUNCTION("""COMPUTED_VALUE"""),"火辣香草")</f>
        <v>火辣香草</v>
      </c>
      <c r="E7" s="6" t="str">
        <f t="shared" si="1"/>
        <v/>
      </c>
      <c r="F7" s="7">
        <v>112.91</v>
      </c>
      <c r="G7" s="8"/>
      <c r="H7" s="5"/>
      <c r="I7" s="4" t="s">
        <v>14</v>
      </c>
      <c r="J7" s="4" t="s">
        <v>15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>
        <f>IFERROR(__xludf.DUMMYFUNCTION("""COMPUTED_VALUE"""),103.0)</f>
        <v>103</v>
      </c>
      <c r="B8" s="1" t="str">
        <f>IFERROR(__xludf.DUMMYFUNCTION("""COMPUTED_VALUE"""),"Bean Sausage")</f>
        <v>Bean Sausage</v>
      </c>
      <c r="C8" s="1">
        <f>IFERROR(__xludf.DUMMYFUNCTION("""COMPUTED_VALUE"""),7.0)</f>
        <v>7</v>
      </c>
      <c r="D8" s="1" t="str">
        <f>IFERROR(__xludf.DUMMYFUNCTION("""COMPUTED_VALUE"""),"豆製肉")</f>
        <v>豆製肉</v>
      </c>
      <c r="E8" s="6" t="str">
        <f t="shared" si="1"/>
        <v/>
      </c>
      <c r="F8" s="7">
        <v>105.53</v>
      </c>
      <c r="G8" s="8" t="s">
        <v>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>
        <f>IFERROR(__xludf.DUMMYFUNCTION("""COMPUTED_VALUE"""),98.0)</f>
        <v>98</v>
      </c>
      <c r="B9" s="1" t="str">
        <f>IFERROR(__xludf.DUMMYFUNCTION("""COMPUTED_VALUE"""),"Moomoo Milk")</f>
        <v>Moomoo Milk</v>
      </c>
      <c r="C9" s="1">
        <f>IFERROR(__xludf.DUMMYFUNCTION("""COMPUTED_VALUE"""),8.0)</f>
        <v>8</v>
      </c>
      <c r="D9" s="1" t="str">
        <f>IFERROR(__xludf.DUMMYFUNCTION("""COMPUTED_VALUE"""),"哞哞鮮奶")</f>
        <v>哞哞鮮奶</v>
      </c>
      <c r="E9" s="6" t="str">
        <f t="shared" si="1"/>
        <v/>
      </c>
      <c r="F9" s="7">
        <v>120.82</v>
      </c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>
        <f>IFERROR(__xludf.DUMMYFUNCTION("""COMPUTED_VALUE"""),101.0)</f>
        <v>101</v>
      </c>
      <c r="B10" s="1" t="str">
        <f>IFERROR(__xludf.DUMMYFUNCTION("""COMPUTED_VALUE"""),"Honey")</f>
        <v>Honey</v>
      </c>
      <c r="C10" s="1">
        <f>IFERROR(__xludf.DUMMYFUNCTION("""COMPUTED_VALUE"""),9.0)</f>
        <v>9</v>
      </c>
      <c r="D10" s="1" t="str">
        <f>IFERROR(__xludf.DUMMYFUNCTION("""COMPUTED_VALUE"""),"甜甜蜜")</f>
        <v>甜甜蜜</v>
      </c>
      <c r="E10" s="6" t="str">
        <f t="shared" si="1"/>
        <v/>
      </c>
      <c r="F10" s="7">
        <v>146.31</v>
      </c>
      <c r="G10" s="8"/>
      <c r="H10" s="5"/>
      <c r="I10" s="4" t="s">
        <v>16</v>
      </c>
      <c r="J10" s="4" t="s">
        <v>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>
        <f>IFERROR(__xludf.DUMMYFUNCTION("""COMPUTED_VALUE"""),121.0)</f>
        <v>121</v>
      </c>
      <c r="B11" s="1" t="str">
        <f>IFERROR(__xludf.DUMMYFUNCTION("""COMPUTED_VALUE"""),"Pure Oil")</f>
        <v>Pure Oil</v>
      </c>
      <c r="C11" s="1">
        <f>IFERROR(__xludf.DUMMYFUNCTION("""COMPUTED_VALUE"""),10.0)</f>
        <v>10</v>
      </c>
      <c r="D11" s="1" t="str">
        <f>IFERROR(__xludf.DUMMYFUNCTION("""COMPUTED_VALUE"""),"純粹油")</f>
        <v>純粹油</v>
      </c>
      <c r="E11" s="6" t="str">
        <f t="shared" si="1"/>
        <v/>
      </c>
      <c r="F11" s="7">
        <v>56.61</v>
      </c>
      <c r="G11" s="8"/>
      <c r="H11" s="5"/>
      <c r="I11" s="4" t="s">
        <v>17</v>
      </c>
      <c r="J11" s="4" t="s">
        <v>18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>
        <f>IFERROR(__xludf.DUMMYFUNCTION("""COMPUTED_VALUE"""),109.0)</f>
        <v>109</v>
      </c>
      <c r="B12" s="1" t="str">
        <f>IFERROR(__xludf.DUMMYFUNCTION("""COMPUTED_VALUE"""),"Warming Ginger")</f>
        <v>Warming Ginger</v>
      </c>
      <c r="C12" s="1">
        <f>IFERROR(__xludf.DUMMYFUNCTION("""COMPUTED_VALUE"""),11.0)</f>
        <v>11</v>
      </c>
      <c r="D12" s="1" t="str">
        <f>IFERROR(__xludf.DUMMYFUNCTION("""COMPUTED_VALUE"""),"暖暖薑")</f>
        <v>暖暖薑</v>
      </c>
      <c r="E12" s="6" t="str">
        <f t="shared" si="1"/>
        <v/>
      </c>
      <c r="F12" s="7">
        <v>115.87</v>
      </c>
      <c r="G12" s="8"/>
      <c r="H12" s="5"/>
      <c r="I12" s="4" t="s">
        <v>19</v>
      </c>
      <c r="J12" s="4" t="s">
        <v>20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>
        <f>IFERROR(__xludf.DUMMYFUNCTION("""COMPUTED_VALUE"""),110.0)</f>
        <v>110</v>
      </c>
      <c r="B13" s="1" t="str">
        <f>IFERROR(__xludf.DUMMYFUNCTION("""COMPUTED_VALUE"""),"Snoozy Tomato")</f>
        <v>Snoozy Tomato</v>
      </c>
      <c r="C13" s="1">
        <f>IFERROR(__xludf.DUMMYFUNCTION("""COMPUTED_VALUE"""),12.0)</f>
        <v>12</v>
      </c>
      <c r="D13" s="1" t="str">
        <f>IFERROR(__xludf.DUMMYFUNCTION("""COMPUTED_VALUE"""),"好眠番茄")</f>
        <v>好眠番茄</v>
      </c>
      <c r="E13" s="6" t="str">
        <f t="shared" si="1"/>
        <v/>
      </c>
      <c r="F13" s="7">
        <v>98.54</v>
      </c>
      <c r="G13" s="8"/>
      <c r="H13" s="5"/>
      <c r="I13" s="4" t="s">
        <v>21</v>
      </c>
      <c r="J13" s="4" t="s">
        <v>22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>
        <f>IFERROR(__xludf.DUMMYFUNCTION("""COMPUTED_VALUE"""),151.0)</f>
        <v>151</v>
      </c>
      <c r="B14" s="1" t="str">
        <f>IFERROR(__xludf.DUMMYFUNCTION("""COMPUTED_VALUE"""),"Soothing Cacao")</f>
        <v>Soothing Cacao</v>
      </c>
      <c r="C14" s="1">
        <f>IFERROR(__xludf.DUMMYFUNCTION("""COMPUTED_VALUE"""),13.0)</f>
        <v>13</v>
      </c>
      <c r="D14" s="1" t="str">
        <f>IFERROR(__xludf.DUMMYFUNCTION("""COMPUTED_VALUE"""),"放鬆可可")</f>
        <v>放鬆可可</v>
      </c>
      <c r="E14" s="6" t="str">
        <f t="shared" si="1"/>
        <v/>
      </c>
      <c r="F14" s="7">
        <v>76.86</v>
      </c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>
        <f>IFERROR(__xludf.DUMMYFUNCTION("""COMPUTED_VALUE"""),342.0)</f>
        <v>342</v>
      </c>
      <c r="B15" s="1" t="str">
        <f>IFERROR(__xludf.DUMMYFUNCTION("""COMPUTED_VALUE"""),"Slowpoke Tail")</f>
        <v>Slowpoke Tail</v>
      </c>
      <c r="C15" s="1">
        <f>IFERROR(__xludf.DUMMYFUNCTION("""COMPUTED_VALUE"""),14.0)</f>
        <v>14</v>
      </c>
      <c r="D15" s="1" t="str">
        <f>IFERROR(__xludf.DUMMYFUNCTION("""COMPUTED_VALUE"""),"美味尾巴")</f>
        <v>美味尾巴</v>
      </c>
      <c r="E15" s="6" t="str">
        <f t="shared" si="1"/>
        <v/>
      </c>
      <c r="F15" s="9">
        <v>1.0</v>
      </c>
      <c r="G15" s="8"/>
      <c r="H15" s="5"/>
      <c r="I15" s="4" t="s">
        <v>23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>
        <f>IFERROR(__xludf.DUMMYFUNCTION("""COMPUTED_VALUE"""),100.0)</f>
        <v>100</v>
      </c>
      <c r="B16" s="1" t="str">
        <f>IFERROR(__xludf.DUMMYFUNCTION("""COMPUTED_VALUE"""),"Greengrass Soybeans")</f>
        <v>Greengrass Soybeans</v>
      </c>
      <c r="C16" s="1">
        <f>IFERROR(__xludf.DUMMYFUNCTION("""COMPUTED_VALUE"""),15.0)</f>
        <v>15</v>
      </c>
      <c r="D16" s="1" t="str">
        <f>IFERROR(__xludf.DUMMYFUNCTION("""COMPUTED_VALUE"""),"萌綠大豆")</f>
        <v>萌綠大豆</v>
      </c>
      <c r="E16" s="6" t="str">
        <f t="shared" si="1"/>
        <v/>
      </c>
      <c r="F16" s="3">
        <v>109.12</v>
      </c>
      <c r="G16" s="8" t="s">
        <v>5</v>
      </c>
      <c r="H16" s="5"/>
      <c r="I16" s="4">
        <v>1.41</v>
      </c>
      <c r="J16" s="4" t="s">
        <v>24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>
        <f>IFERROR(__xludf.DUMMYFUNCTION("""COMPUTED_VALUE"""),140.0)</f>
        <v>140</v>
      </c>
      <c r="B17" s="1" t="str">
        <f>IFERROR(__xludf.DUMMYFUNCTION("""COMPUTED_VALUE"""),"Greengrass Corn")</f>
        <v>Greengrass Corn</v>
      </c>
      <c r="C17" s="1">
        <f>IFERROR(__xludf.DUMMYFUNCTION("""COMPUTED_VALUE"""),16.0)</f>
        <v>16</v>
      </c>
      <c r="D17" s="1" t="str">
        <f>IFERROR(__xludf.DUMMYFUNCTION("""COMPUTED_VALUE"""),"萌綠玉米")</f>
        <v>萌綠玉米</v>
      </c>
      <c r="E17" s="6" t="str">
        <f t="shared" si="1"/>
        <v/>
      </c>
      <c r="F17" s="7">
        <v>120.13</v>
      </c>
      <c r="G17" s="3" t="s">
        <v>5</v>
      </c>
      <c r="H17" s="5"/>
      <c r="I17" s="4">
        <v>1.4</v>
      </c>
      <c r="J17" s="4" t="s">
        <v>25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>
        <f>IFERROR(__xludf.DUMMYFUNCTION("""COMPUTED_VALUE"""),153.0)</f>
        <v>153</v>
      </c>
      <c r="B18" s="1" t="str">
        <f>IFERROR(__xludf.DUMMYFUNCTION("""COMPUTED_VALUE"""),"Rousing Coffee")</f>
        <v>Rousing Coffee</v>
      </c>
      <c r="C18" s="1">
        <f>IFERROR(__xludf.DUMMYFUNCTION("""COMPUTED_VALUE"""),17.0)</f>
        <v>17</v>
      </c>
      <c r="D18" s="1" t="str">
        <f>IFERROR(__xludf.DUMMYFUNCTION("""COMPUTED_VALUE"""),"醒腦咖啡豆")</f>
        <v>醒腦咖啡豆</v>
      </c>
      <c r="E18" s="6" t="str">
        <f t="shared" si="1"/>
        <v/>
      </c>
      <c r="F18" s="7">
        <v>82.13</v>
      </c>
      <c r="G18" s="8"/>
      <c r="H18" s="5"/>
      <c r="I18" s="4">
        <v>1.3</v>
      </c>
      <c r="J18" s="4" t="s">
        <v>26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>
        <f>IFERROR(__xludf.DUMMYFUNCTION("""COMPUTED_VALUE"""),250.0)</f>
        <v>250</v>
      </c>
      <c r="B19" s="1" t="str">
        <f>IFERROR(__xludf.DUMMYFUNCTION("""COMPUTED_VALUE"""),"Plump Pumpkin")</f>
        <v>Plump Pumpkin</v>
      </c>
      <c r="C19" s="1">
        <f>IFERROR(__xludf.DUMMYFUNCTION("""COMPUTED_VALUE"""),18.0)</f>
        <v>18</v>
      </c>
      <c r="D19" s="1" t="str">
        <f>IFERROR(__xludf.DUMMYFUNCTION("""COMPUTED_VALUE"""),"沉甸甸南瓜")</f>
        <v>沉甸甸南瓜</v>
      </c>
      <c r="E19" s="6" t="str">
        <f t="shared" si="1"/>
        <v/>
      </c>
      <c r="F19" s="9">
        <v>1.0</v>
      </c>
      <c r="G19" s="1"/>
      <c r="H19" s="4"/>
      <c r="I19" s="4">
        <v>1.2</v>
      </c>
      <c r="J19" s="4" t="s">
        <v>27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>
        <f>IFERROR(__xludf.DUMMYFUNCTION("""COMPUTED_VALUE"""),162.0)</f>
        <v>162</v>
      </c>
      <c r="B20" s="1" t="str">
        <f>IFERROR(__xludf.DUMMYFUNCTION("""COMPUTED_VALUE"""),"Glossy Avocado")</f>
        <v>Glossy Avocado</v>
      </c>
      <c r="C20" s="1">
        <f>IFERROR(__xludf.DUMMYFUNCTION("""COMPUTED_VALUE"""),19.0)</f>
        <v>19</v>
      </c>
      <c r="D20" s="1" t="str">
        <f>IFERROR(__xludf.DUMMYFUNCTION("""COMPUTED_VALUE"""),"嫩亮酪梨")</f>
        <v>嫩亮酪梨</v>
      </c>
      <c r="E20" s="6" t="str">
        <f t="shared" si="1"/>
        <v/>
      </c>
      <c r="F20" s="3">
        <v>100.0</v>
      </c>
      <c r="G20" s="1"/>
      <c r="H20" s="5"/>
      <c r="I20" s="4">
        <v>1.1</v>
      </c>
      <c r="J20" s="4" t="s">
        <v>28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5"/>
      <c r="B21" s="5"/>
      <c r="C21" s="5"/>
      <c r="D21" s="5"/>
      <c r="E21" s="5"/>
      <c r="F21" s="10"/>
      <c r="G21" s="5"/>
      <c r="H21" s="5"/>
      <c r="I21" s="4">
        <v>1.0</v>
      </c>
      <c r="J21" s="4" t="s">
        <v>29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idden="1">
      <c r="A22" s="5"/>
      <c r="B22" s="5"/>
      <c r="C22" s="5"/>
      <c r="D22" s="5"/>
      <c r="E22" s="5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5"/>
      <c r="B23" s="5"/>
      <c r="C23" s="5"/>
      <c r="D23" s="5"/>
      <c r="E23" s="5"/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5"/>
      <c r="B24" s="5"/>
      <c r="C24" s="5"/>
      <c r="D24" s="5"/>
      <c r="E24" s="5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idden="1">
      <c r="A25" s="5"/>
      <c r="B25" s="5"/>
      <c r="C25" s="5"/>
      <c r="D25" s="5"/>
      <c r="E25" s="5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idden="1">
      <c r="A26" s="5"/>
      <c r="B26" s="5"/>
      <c r="C26" s="5"/>
      <c r="D26" s="5"/>
      <c r="E26" s="5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idden="1">
      <c r="A27" s="5"/>
      <c r="B27" s="5"/>
      <c r="C27" s="5"/>
      <c r="D27" s="5"/>
      <c r="E27" s="5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5"/>
      <c r="B28" s="5"/>
      <c r="C28" s="5"/>
      <c r="D28" s="5"/>
      <c r="E28" s="5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5"/>
      <c r="B29" s="5"/>
      <c r="C29" s="5"/>
      <c r="D29" s="5"/>
      <c r="E29" s="5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5"/>
      <c r="B30" s="5"/>
      <c r="C30" s="5"/>
      <c r="D30" s="5"/>
      <c r="E30" s="5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/>
      <c r="B31" s="11"/>
      <c r="C31" s="11"/>
      <c r="D31" s="12"/>
      <c r="E31" s="12"/>
      <c r="F31" s="13"/>
      <c r="G31" s="1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/>
      <c r="B32" s="14"/>
      <c r="C32" s="14"/>
      <c r="D32" s="15"/>
      <c r="E32" s="15"/>
      <c r="F32" s="16"/>
      <c r="G32" s="15"/>
      <c r="H32" s="5"/>
      <c r="I32" s="4" t="s">
        <v>30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10"/>
      <c r="G33" s="5"/>
      <c r="H33" s="5"/>
      <c r="I33" s="4" t="s">
        <v>31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17" t="s">
        <v>32</v>
      </c>
      <c r="E34" s="18"/>
      <c r="F34" s="2" t="s">
        <v>33</v>
      </c>
      <c r="G34" s="2" t="s">
        <v>34</v>
      </c>
      <c r="H34" s="5"/>
      <c r="I34" s="4" t="s">
        <v>35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17" t="s">
        <v>36</v>
      </c>
      <c r="E35" s="18"/>
      <c r="F35" s="3">
        <v>1.0</v>
      </c>
      <c r="G35" s="1">
        <f t="array" ref="G35">IFERROR(
    LET(
        r, MATCH(D35,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17" t="s">
        <v>37</v>
      </c>
      <c r="E36" s="18"/>
      <c r="F36" s="4">
        <v>5.1</v>
      </c>
      <c r="G36" s="1">
        <f t="array" ref="G36">IFERROR(
    LET(
        r, MATCH(D36,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17" t="s">
        <v>38</v>
      </c>
      <c r="E37" s="18"/>
      <c r="F37" s="3">
        <v>1.0</v>
      </c>
      <c r="G37" s="1">
        <f t="array" ref="G37">IFERROR(
    LET(
        r, MATCH(D37,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17" t="s">
        <v>39</v>
      </c>
      <c r="E38" s="18"/>
      <c r="F38" s="3">
        <v>0.0</v>
      </c>
      <c r="G38" s="1">
        <f t="array" ref="G38">IFERROR(
    LET(
        r, MATCH(D38,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17" t="s">
        <v>40</v>
      </c>
      <c r="E39" s="18"/>
      <c r="F39" s="3">
        <v>1.0</v>
      </c>
      <c r="G39" s="1">
        <f t="array" ref="G39">IFERROR(
    LET(
        r, MATCH(D39,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17" t="s">
        <v>41</v>
      </c>
      <c r="E40" s="18"/>
      <c r="F40" s="3">
        <v>2.0</v>
      </c>
      <c r="G40" s="1">
        <f t="array" ref="G40">IFERROR(
    LET(
        r, MATCH(D40,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17" t="s">
        <v>42</v>
      </c>
      <c r="E41" s="18"/>
      <c r="F41" s="3">
        <v>1.0</v>
      </c>
      <c r="G41" s="1">
        <f t="array" ref="G41">IFERROR(
    LET(
        r, MATCH(D41,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17" t="s">
        <v>43</v>
      </c>
      <c r="E42" s="18"/>
      <c r="F42" s="3">
        <v>2.0</v>
      </c>
      <c r="G42" s="1">
        <f t="array" ref="G42">IFERROR(
    LET(
        r, MATCH(D42,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17" t="s">
        <v>44</v>
      </c>
      <c r="E43" s="18"/>
      <c r="F43" s="3">
        <v>0.0</v>
      </c>
      <c r="G43" s="1">
        <f t="array" ref="G43">IFERROR(
    LET(
        r, MATCH(D43,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17" t="s">
        <v>45</v>
      </c>
      <c r="E44" s="18"/>
      <c r="F44" s="3">
        <v>0.0</v>
      </c>
      <c r="G44" s="1">
        <f t="array" ref="G44">IFERROR(
    LET(
        r, MATCH(D44, '食譜'!$B$3:$B$1000, 0) + 2,
        ingredients, {
            INDEX('食譜'!$J:$J, r),
            INDEX('食譜'!$L:$L, r),
            INDEX('食譜'!$N:$N, r),
            INDEX('食譜'!$P:$P, r)
        },
        SUMPRODUCT(--(XLOOKUP(ingredients, $D$2:$D$30, $G$2:$G$30, "") = "Y"))
    ),
0)</f>
        <v>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1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1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1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1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1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1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1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1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1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1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1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1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1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1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1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1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1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1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1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1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1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1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1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1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1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1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1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1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1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1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1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1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1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1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1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1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1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1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1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1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1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1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1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1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1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1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1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1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1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1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1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1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1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1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1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1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1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1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1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1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1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1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1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1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1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1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1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1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1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1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1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1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1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1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1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1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1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1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1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1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1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1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1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1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1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1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1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1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1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1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1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1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1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1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1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1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1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1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1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1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1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1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1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1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1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1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1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1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1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1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1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10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10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1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10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10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1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1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1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1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1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1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1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1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1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1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1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1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10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1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1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1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1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1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1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1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1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1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10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10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10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10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10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1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1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1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1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1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1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1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1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1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1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1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1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1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1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1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1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1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1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1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1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1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1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1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1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1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1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1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1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10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10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1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1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1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1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1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1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1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1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1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1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1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1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1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1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1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1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1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1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1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1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1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1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10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10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10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10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10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1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1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10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10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10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10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10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1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1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10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1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10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10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1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1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1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1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10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10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10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10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10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1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10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1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10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10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10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10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1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10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10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10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10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1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1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1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10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10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10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10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10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1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1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10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10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10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10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10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10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1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10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10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1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10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10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10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1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10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1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10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10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10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10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1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10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10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10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10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10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10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1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1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10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10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10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10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10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1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10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1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10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10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10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10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1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10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10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10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10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10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10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10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1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10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10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10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10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10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1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10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10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10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10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10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10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10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10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10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1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10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10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10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10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10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10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10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10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10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10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10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10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10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10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1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10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10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10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10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10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10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10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1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10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10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10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10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10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10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10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10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10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10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10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10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10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10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10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10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10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10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10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10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10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10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10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1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10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10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1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10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1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1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10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10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1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10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10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10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1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10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10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10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10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10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10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10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10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10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10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10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1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10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10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10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10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1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10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10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10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10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10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10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10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10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10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1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10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10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10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10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10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10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10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10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10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10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10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10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10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10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10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10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10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10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10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1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1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1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1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1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1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1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1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1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1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1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1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1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1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1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1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1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1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1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1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1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1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1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1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1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1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1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1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1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1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1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1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1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1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1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1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1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1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1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1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1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1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1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1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1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1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1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1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1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1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1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1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1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1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1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1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1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1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1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1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1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1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1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1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1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1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1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1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1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1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1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1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1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1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1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1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1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1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1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1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1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1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1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1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1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1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1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1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1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1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1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1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1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1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1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1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1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1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1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1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1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1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1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1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1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1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1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1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1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1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1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1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1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1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1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1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1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1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1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1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1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1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1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1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1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1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1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1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1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1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1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1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1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1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1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1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1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1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1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1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1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1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1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1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1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1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1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1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1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1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1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1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1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1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1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1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1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1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1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1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1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1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1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1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1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1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1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1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1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1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1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1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1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1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1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1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1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1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1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1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1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1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1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1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1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1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1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1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1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1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1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1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1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1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1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1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1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1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1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1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1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1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1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1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1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1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1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1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1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1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1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1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1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1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1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1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1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1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1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1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1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1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1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1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1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1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1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1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1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1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1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1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1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1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1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1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1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1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1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1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1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1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1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1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1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1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1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1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1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1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1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1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1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1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1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1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1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1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1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1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1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1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1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1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1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1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1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1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1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1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1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1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1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1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1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1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1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1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1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1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1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1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1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1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1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1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1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1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1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1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1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1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1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1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1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1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1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1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1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1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1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1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1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1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1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1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1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1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1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1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1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1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1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1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1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1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1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1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1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1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1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1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1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1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1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1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1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1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1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1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1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1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1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1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1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1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1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1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1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1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1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1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1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1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1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1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1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1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1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1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1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1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1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1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1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1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1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1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1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1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1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1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1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1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1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1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1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1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1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1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1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1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1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1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1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1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1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1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1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1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1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1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1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1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1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1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1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1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1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1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1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1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1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1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1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1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1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1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1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1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1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1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1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1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1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1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1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1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1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1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1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1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1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1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1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1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1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1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1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1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1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1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1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1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1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1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1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1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1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1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1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1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1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1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1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1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1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1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1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1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1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1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1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1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1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1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1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1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1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1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1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1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1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1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1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1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1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1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1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1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1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1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1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1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1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1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1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1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1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1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1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1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1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1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1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1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1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1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1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1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1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1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1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1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1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2">
    <mergeCell ref="D41:E41"/>
    <mergeCell ref="D42:E42"/>
    <mergeCell ref="D43:E43"/>
    <mergeCell ref="D44:E44"/>
    <mergeCell ref="D45:E45"/>
    <mergeCell ref="D34:E34"/>
    <mergeCell ref="D35:E35"/>
    <mergeCell ref="D36:E36"/>
    <mergeCell ref="D37:E37"/>
    <mergeCell ref="D38:E38"/>
    <mergeCell ref="D39:E39"/>
    <mergeCell ref="D40:E40"/>
  </mergeCells>
  <dataValidations>
    <dataValidation type="list" allowBlank="1" showErrorMessage="1" sqref="D35:D44">
      <formula1>'食譜'!$B3:$B1000</formula1>
    </dataValidation>
    <dataValidation type="decimal" allowBlank="1" showDropDown="1" showErrorMessage="1" sqref="F35:F44">
      <formula1>0.0</formula1>
      <formula2>5.0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hidden="1" min="2" max="2" width="18.13"/>
    <col hidden="1" min="3" max="3" width="12.63"/>
    <col customWidth="1" min="5" max="5" width="6.0"/>
    <col customWidth="1" min="6" max="6" width="13.5"/>
    <col customWidth="1" min="8" max="8" width="6.25"/>
    <col customWidth="1" min="9" max="9" width="6.0"/>
    <col customWidth="1" min="10" max="10" width="18.0"/>
    <col customWidth="1" min="11" max="11" width="12.5"/>
    <col customWidth="1" min="12" max="12" width="7.25"/>
    <col customWidth="1" min="13" max="13" width="7.0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2" t="s">
        <v>0</v>
      </c>
      <c r="F1" s="3" t="s">
        <v>50</v>
      </c>
      <c r="G1" s="2" t="s">
        <v>51</v>
      </c>
      <c r="H1" s="19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f>IFERROR(__xludf.DUMMYFUNCTION("IFERROR(SORT(FILTER(ing_table, INDEX(ing_table, 0, 1) &lt;&gt; """"), 1, TRUE))"),90.0)</f>
        <v>90</v>
      </c>
      <c r="B2" s="1" t="str">
        <f>IFERROR(__xludf.DUMMYFUNCTION("""COMPUTED_VALUE"""),"Fancy Apple")</f>
        <v>Fancy Apple</v>
      </c>
      <c r="C2" s="1">
        <f>IFERROR(__xludf.DUMMYFUNCTION("""COMPUTED_VALUE"""),5.0)</f>
        <v>5</v>
      </c>
      <c r="D2" s="1" t="str">
        <f>IFERROR(__xludf.DUMMYFUNCTION("""COMPUTED_VALUE"""),"特選蘋果")</f>
        <v>特選蘋果</v>
      </c>
      <c r="E2" s="1" t="str">
        <f>IFERROR(__xludf.DUMMYFUNCTION("""COMPUTED_VALUE"""),"")</f>
        <v/>
      </c>
      <c r="F2" s="1">
        <f>IFERROR(__xludf.DUMMYFUNCTION("""COMPUTED_VALUE"""),82.96)</f>
        <v>82.96</v>
      </c>
      <c r="G2" s="1">
        <f>IFERROR(VLOOKUP(D2, '應用日產（AP）'!A:C, 3, FALSE), 0)</f>
        <v>163.61</v>
      </c>
      <c r="H2" s="20">
        <f t="shared" ref="H2:H20" si="1">F2/G2</f>
        <v>0.5070594707</v>
      </c>
      <c r="I2" s="1">
        <f>IFERROR(__xludf.DUMMYFUNCTION("IFERROR((MAX(FILTER({'食譜'!$K$3:$K$1000; '食譜'!$M$3:$M$1000; '食譜'!$O$3:$O$1000; '食譜'!$Q$3:$Q$1000}, {'食譜'!$J$3:$J$1000; '食譜'!$L$3:$L$1000; '食譜'!$N$3:$N$1000; '食譜'!$P$3:$P$1000} = $D2))), """")"),35.0)</f>
        <v>35</v>
      </c>
      <c r="J2" s="1" t="str">
        <f>IFERROR(__xludf.DUMMYFUNCTION("IFERROR(INDEX(FILTER({'食譜'!$B$3:$B$1000; '食譜'!$B$3:$B$1000; '食譜'!$B$3:$B$1000; '食譜'!$B$3:$B$1000}, {'食譜'!$J$3:$J$1000; '食譜'!$L$3:$L$1000; '食譜'!$N$3:$N$1000; '食譜'!$P$3:$P$1000}=D2,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'食譜'!$P$3:$P$1000}=D2))), 1), """")"),"電光香料可樂")</f>
        <v>電光香料可樂</v>
      </c>
      <c r="K2" s="1">
        <f t="shared" ref="K2:K20" si="2">I2*3</f>
        <v>105</v>
      </c>
      <c r="L2" s="20">
        <f t="shared" ref="L2:L20" si="3">F2/K2</f>
        <v>0.7900952381</v>
      </c>
      <c r="M2" s="21">
        <f t="shared" ref="M2:M20" si="4">G2/K2</f>
        <v>1.558190476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>
        <f>IFERROR(__xludf.DUMMYFUNCTION("""COMPUTED_VALUE"""),98.0)</f>
        <v>98</v>
      </c>
      <c r="B3" s="1" t="str">
        <f>IFERROR(__xludf.DUMMYFUNCTION("""COMPUTED_VALUE"""),"Moomoo Milk")</f>
        <v>Moomoo Milk</v>
      </c>
      <c r="C3" s="1">
        <f>IFERROR(__xludf.DUMMYFUNCTION("""COMPUTED_VALUE"""),8.0)</f>
        <v>8</v>
      </c>
      <c r="D3" s="1" t="str">
        <f>IFERROR(__xludf.DUMMYFUNCTION("""COMPUTED_VALUE"""),"哞哞鮮奶")</f>
        <v>哞哞鮮奶</v>
      </c>
      <c r="E3" s="1" t="str">
        <f>IFERROR(__xludf.DUMMYFUNCTION("""COMPUTED_VALUE"""),"")</f>
        <v/>
      </c>
      <c r="F3" s="1">
        <f>IFERROR(__xludf.DUMMYFUNCTION("""COMPUTED_VALUE"""),120.82)</f>
        <v>120.82</v>
      </c>
      <c r="G3" s="1">
        <f>IFERROR(VLOOKUP(D3, '應用日產（AP）'!A:C, 3, FALSE), 0)</f>
        <v>161.87</v>
      </c>
      <c r="H3" s="20">
        <f t="shared" si="1"/>
        <v>0.7464014332</v>
      </c>
      <c r="I3" s="1">
        <f>IFERROR(__xludf.DUMMYFUNCTION("IFERROR((MAX(FILTER({'食譜'!$K$3:$K$1000; '食譜'!$M$3:$M$1000; '食譜'!$O$3:$O$1000; '食譜'!$Q$3:$Q$1000}, {'食譜'!$J$3:$J$1000; '食譜'!$L$3:$L$1000; '食譜'!$N$3:$N$1000; '食譜'!$P$3:$P$1000} = $D3))), """")"),41.0)</f>
        <v>41</v>
      </c>
      <c r="J3" s="1" t="str">
        <f>IFERROR(__xludf.DUMMYFUNCTION("IFERROR(INDEX(FILTER({'食譜'!$B$3:$B$1000; '食譜'!$B$3:$B$1000; '食譜'!$B$3:$B$1000; '食譜'!$B$3:$B$1000}, {'食譜'!$J$3:$J$1000; '食譜'!$L$3:$L$1000; '食譜'!$N$3:$N$1000; '食譜'!$P$3:$P$1000}=D3,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'食譜'!$P$3:$P$1000}=D3))), 1), """")"),"茂盛焗烤酪梨")</f>
        <v>茂盛焗烤酪梨</v>
      </c>
      <c r="K3" s="1">
        <f t="shared" si="2"/>
        <v>123</v>
      </c>
      <c r="L3" s="20">
        <f t="shared" si="3"/>
        <v>0.9822764228</v>
      </c>
      <c r="M3" s="21">
        <f t="shared" si="4"/>
        <v>1.31601626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>
        <f>IFERROR(__xludf.DUMMYFUNCTION("""COMPUTED_VALUE"""),100.0)</f>
        <v>100</v>
      </c>
      <c r="B4" s="1" t="str">
        <f>IFERROR(__xludf.DUMMYFUNCTION("""COMPUTED_VALUE"""),"Greengrass Soybeans")</f>
        <v>Greengrass Soybeans</v>
      </c>
      <c r="C4" s="1">
        <f>IFERROR(__xludf.DUMMYFUNCTION("""COMPUTED_VALUE"""),15.0)</f>
        <v>15</v>
      </c>
      <c r="D4" s="1" t="str">
        <f>IFERROR(__xludf.DUMMYFUNCTION("""COMPUTED_VALUE"""),"萌綠大豆")</f>
        <v>萌綠大豆</v>
      </c>
      <c r="E4" s="1" t="str">
        <f>IFERROR(__xludf.DUMMYFUNCTION("""COMPUTED_VALUE"""),"")</f>
        <v/>
      </c>
      <c r="F4" s="1">
        <f>IFERROR(__xludf.DUMMYFUNCTION("""COMPUTED_VALUE"""),109.12)</f>
        <v>109.12</v>
      </c>
      <c r="G4" s="1">
        <f>IFERROR(VLOOKUP(D4, '應用日產（AP）'!A:C, 3, FALSE), 0)</f>
        <v>148.65</v>
      </c>
      <c r="H4" s="20">
        <f t="shared" si="1"/>
        <v>0.7340733266</v>
      </c>
      <c r="I4" s="1">
        <f>IFERROR(__xludf.DUMMYFUNCTION("IFERROR((MAX(FILTER({'食譜'!$K$3:$K$1000; '食譜'!$M$3:$M$1000; '食譜'!$O$3:$O$1000; '食譜'!$Q$3:$Q$1000}, {'食譜'!$J$3:$J$1000; '食譜'!$L$3:$L$1000; '食譜'!$N$3:$N$1000; '食譜'!$P$3:$P$1000} = $D4))), """")"),28.0)</f>
        <v>28</v>
      </c>
      <c r="J4" s="1" t="str">
        <f>IFERROR(__xludf.DUMMYFUNCTION("IFERROR(INDEX(FILTER({'食譜'!$B$3:$B$1000; '食譜'!$B$3:$B$1000; '食譜'!$B$3:$B$1000; '食譜'!$B$3:$B$1000}, {'食譜'!$J$3:$J$1000; '食譜'!$L$3:$L$1000; '食譜'!$N$3:$N$1000; '食譜'!$P$3:$P$1000}=D4,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'食譜'!$P$3:$P$1000}=D4))), 1), """")"),"覺醒力量濃湯")</f>
        <v>覺醒力量濃湯</v>
      </c>
      <c r="K4" s="1">
        <f t="shared" si="2"/>
        <v>84</v>
      </c>
      <c r="L4" s="20">
        <f t="shared" si="3"/>
        <v>1.299047619</v>
      </c>
      <c r="M4" s="21">
        <f t="shared" si="4"/>
        <v>1.769642857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>
        <f>IFERROR(__xludf.DUMMYFUNCTION("""COMPUTED_VALUE"""),101.0)</f>
        <v>101</v>
      </c>
      <c r="B5" s="1" t="str">
        <f>IFERROR(__xludf.DUMMYFUNCTION("""COMPUTED_VALUE"""),"Honey")</f>
        <v>Honey</v>
      </c>
      <c r="C5" s="1">
        <f>IFERROR(__xludf.DUMMYFUNCTION("""COMPUTED_VALUE"""),9.0)</f>
        <v>9</v>
      </c>
      <c r="D5" s="1" t="str">
        <f>IFERROR(__xludf.DUMMYFUNCTION("""COMPUTED_VALUE"""),"甜甜蜜")</f>
        <v>甜甜蜜</v>
      </c>
      <c r="E5" s="1" t="str">
        <f>IFERROR(__xludf.DUMMYFUNCTION("""COMPUTED_VALUE"""),"")</f>
        <v/>
      </c>
      <c r="F5" s="1">
        <f>IFERROR(__xludf.DUMMYFUNCTION("""COMPUTED_VALUE"""),146.31)</f>
        <v>146.31</v>
      </c>
      <c r="G5" s="1">
        <f>IFERROR(VLOOKUP(D5, '應用日產（AP）'!A:C, 3, FALSE), 0)</f>
        <v>156.57</v>
      </c>
      <c r="H5" s="20">
        <f t="shared" si="1"/>
        <v>0.934470205</v>
      </c>
      <c r="I5" s="1">
        <f>IFERROR(__xludf.DUMMYFUNCTION("IFERROR((MAX(FILTER({'食譜'!$K$3:$K$1000; '食譜'!$M$3:$M$1000; '食譜'!$O$3:$O$1000; '食譜'!$Q$3:$Q$1000}, {'食譜'!$J$3:$J$1000; '食譜'!$L$3:$L$1000; '食譜'!$N$3:$N$1000; '食譜'!$P$3:$P$1000} = $D5))), """")"),38.0)</f>
        <v>38</v>
      </c>
      <c r="J5" s="1" t="str">
        <f>IFERROR(__xludf.DUMMYFUNCTION("IFERROR(INDEX(FILTER({'食譜'!$B$3:$B$1000; '食譜'!$B$3:$B$1000; '食譜'!$B$3:$B$1000; '食譜'!$B$3:$B$1000}, {'食譜'!$J$3:$J$1000; '食譜'!$L$3:$L$1000; '食譜'!$N$3:$N$1000; '食譜'!$P$3:$P$1000}=D5,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'食譜'!$P$3:$P$1000}=D5))), 1), """")"),"採蜜巧克力格子鬆餅")</f>
        <v>採蜜巧克力格子鬆餅</v>
      </c>
      <c r="K5" s="1">
        <f t="shared" si="2"/>
        <v>114</v>
      </c>
      <c r="L5" s="20">
        <f t="shared" si="3"/>
        <v>1.283421053</v>
      </c>
      <c r="M5" s="21">
        <f t="shared" si="4"/>
        <v>1.373421053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>
        <f>IFERROR(__xludf.DUMMYFUNCTION("""COMPUTED_VALUE"""),103.0)</f>
        <v>103</v>
      </c>
      <c r="B6" s="1" t="str">
        <f>IFERROR(__xludf.DUMMYFUNCTION("""COMPUTED_VALUE"""),"Bean Sausage")</f>
        <v>Bean Sausage</v>
      </c>
      <c r="C6" s="1">
        <f>IFERROR(__xludf.DUMMYFUNCTION("""COMPUTED_VALUE"""),7.0)</f>
        <v>7</v>
      </c>
      <c r="D6" s="1" t="str">
        <f>IFERROR(__xludf.DUMMYFUNCTION("""COMPUTED_VALUE"""),"豆製肉")</f>
        <v>豆製肉</v>
      </c>
      <c r="E6" s="1" t="str">
        <f>IFERROR(__xludf.DUMMYFUNCTION("""COMPUTED_VALUE"""),"")</f>
        <v/>
      </c>
      <c r="F6" s="1">
        <f>IFERROR(__xludf.DUMMYFUNCTION("""COMPUTED_VALUE"""),105.53)</f>
        <v>105.53</v>
      </c>
      <c r="G6" s="1">
        <f>IFERROR(VLOOKUP(D6, '應用日產（AP）'!A:C, 3, FALSE), 0)</f>
        <v>157.5</v>
      </c>
      <c r="H6" s="20">
        <f t="shared" si="1"/>
        <v>0.670031746</v>
      </c>
      <c r="I6" s="1">
        <f>IFERROR(__xludf.DUMMYFUNCTION("IFERROR((MAX(FILTER({'食譜'!$K$3:$K$1000; '食譜'!$M$3:$M$1000; '食譜'!$O$3:$O$1000; '食譜'!$Q$3:$Q$1000}, {'食譜'!$J$3:$J$1000; '食譜'!$L$3:$L$1000; '食譜'!$N$3:$N$1000; '食譜'!$P$3:$P$1000} = $D6))), """")"),28.0)</f>
        <v>28</v>
      </c>
      <c r="J6" s="1" t="str">
        <f>IFERROR(__xludf.DUMMYFUNCTION("IFERROR(INDEX(FILTER({'食譜'!$B$3:$B$1000; '食譜'!$B$3:$B$1000; '食譜'!$B$3:$B$1000; '食譜'!$B$3:$B$1000}, {'食譜'!$J$3:$J$1000; '食譜'!$L$3:$L$1000; '食譜'!$N$3:$N$1000; '食譜'!$P$3:$P$1000}=D6,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'食譜'!$P$3:$P$1000}=D6))), 1), """")"),"不服輸咖啡沙拉")</f>
        <v>不服輸咖啡沙拉</v>
      </c>
      <c r="K6" s="1">
        <f t="shared" si="2"/>
        <v>84</v>
      </c>
      <c r="L6" s="20">
        <f t="shared" si="3"/>
        <v>1.256309524</v>
      </c>
      <c r="M6" s="21">
        <f t="shared" si="4"/>
        <v>1.875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>
        <f>IFERROR(__xludf.DUMMYFUNCTION("""COMPUTED_VALUE"""),109.0)</f>
        <v>109</v>
      </c>
      <c r="B7" s="1" t="str">
        <f>IFERROR(__xludf.DUMMYFUNCTION("""COMPUTED_VALUE"""),"Warming Ginger")</f>
        <v>Warming Ginger</v>
      </c>
      <c r="C7" s="1">
        <f>IFERROR(__xludf.DUMMYFUNCTION("""COMPUTED_VALUE"""),11.0)</f>
        <v>11</v>
      </c>
      <c r="D7" s="1" t="str">
        <f>IFERROR(__xludf.DUMMYFUNCTION("""COMPUTED_VALUE"""),"暖暖薑")</f>
        <v>暖暖薑</v>
      </c>
      <c r="E7" s="1" t="str">
        <f>IFERROR(__xludf.DUMMYFUNCTION("""COMPUTED_VALUE"""),"")</f>
        <v/>
      </c>
      <c r="F7" s="1">
        <f>IFERROR(__xludf.DUMMYFUNCTION("""COMPUTED_VALUE"""),115.87)</f>
        <v>115.87</v>
      </c>
      <c r="G7" s="1">
        <f>IFERROR(VLOOKUP(D7, '應用日產（AP）'!A:C, 3, FALSE), 0)</f>
        <v>162.39</v>
      </c>
      <c r="H7" s="20">
        <f t="shared" si="1"/>
        <v>0.7135291582</v>
      </c>
      <c r="I7" s="1">
        <f>IFERROR(__xludf.DUMMYFUNCTION("IFERROR((MAX(FILTER({'食譜'!$K$3:$K$1000; '食譜'!$M$3:$M$1000; '食譜'!$O$3:$O$1000; '食譜'!$Q$3:$Q$1000}, {'食譜'!$J$3:$J$1000; '食譜'!$L$3:$L$1000; '食譜'!$N$3:$N$1000; '食譜'!$P$3:$P$1000} = $D7))), """")"),20.0)</f>
        <v>20</v>
      </c>
      <c r="J7" s="1" t="str">
        <f>IFERROR(__xludf.DUMMYFUNCTION("IFERROR(INDEX(FILTER({'食譜'!$B$3:$B$1000; '食譜'!$B$3:$B$1000; '食譜'!$B$3:$B$1000; '食譜'!$B$3:$B$1000}, {'食譜'!$J$3:$J$1000; '食譜'!$L$3:$L$1000; '食譜'!$N$3:$N$1000; '食譜'!$P$3:$P$1000}=D7,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'食譜'!$P$3:$P$1000}=D7))), 1), """")"),"茶會玉米司康")</f>
        <v>茶會玉米司康</v>
      </c>
      <c r="K7" s="1">
        <f t="shared" si="2"/>
        <v>60</v>
      </c>
      <c r="L7" s="20">
        <f t="shared" si="3"/>
        <v>1.931166667</v>
      </c>
      <c r="M7" s="21">
        <f t="shared" si="4"/>
        <v>2.7065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>
        <f>IFERROR(__xludf.DUMMYFUNCTION("""COMPUTED_VALUE"""),110.0)</f>
        <v>110</v>
      </c>
      <c r="B8" s="1" t="str">
        <f>IFERROR(__xludf.DUMMYFUNCTION("""COMPUTED_VALUE"""),"Snoozy Tomato")</f>
        <v>Snoozy Tomato</v>
      </c>
      <c r="C8" s="1">
        <f>IFERROR(__xludf.DUMMYFUNCTION("""COMPUTED_VALUE"""),12.0)</f>
        <v>12</v>
      </c>
      <c r="D8" s="1" t="str">
        <f>IFERROR(__xludf.DUMMYFUNCTION("""COMPUTED_VALUE"""),"好眠番茄")</f>
        <v>好眠番茄</v>
      </c>
      <c r="E8" s="1" t="str">
        <f>IFERROR(__xludf.DUMMYFUNCTION("""COMPUTED_VALUE"""),"")</f>
        <v/>
      </c>
      <c r="F8" s="1">
        <f>IFERROR(__xludf.DUMMYFUNCTION("""COMPUTED_VALUE"""),98.54)</f>
        <v>98.54</v>
      </c>
      <c r="G8" s="1">
        <f>IFERROR(VLOOKUP(D8, '應用日產（AP）'!A:C, 3, FALSE), 0)</f>
        <v>137.56</v>
      </c>
      <c r="H8" s="20">
        <f t="shared" si="1"/>
        <v>0.7163419599</v>
      </c>
      <c r="I8" s="1">
        <f>IFERROR(__xludf.DUMMYFUNCTION("IFERROR((MAX(FILTER({'食譜'!$K$3:$K$1000; '食譜'!$M$3:$M$1000; '食譜'!$O$3:$O$1000; '食譜'!$Q$3:$Q$1000}, {'食譜'!$J$3:$J$1000; '食譜'!$L$3:$L$1000; '食譜'!$N$3:$N$1000; '食譜'!$P$3:$P$1000} = $D8))), """")"),29.0)</f>
        <v>29</v>
      </c>
      <c r="J8" s="1" t="str">
        <f>IFERROR(__xludf.DUMMYFUNCTION("IFERROR(INDEX(FILTER({'食譜'!$B$3:$B$1000; '食譜'!$B$3:$B$1000; '食譜'!$B$3:$B$1000; '食譜'!$B$3:$B$1000}, {'食譜'!$J$3:$J$1000; '食譜'!$L$3:$L$1000; '食譜'!$N$3:$N$1000; '食譜'!$P$3:$P$1000}=D8,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'食譜'!$P$3:$P$1000}=D8))), 1), """")"),"心跳加速鬼面鬆餅")</f>
        <v>心跳加速鬼面鬆餅</v>
      </c>
      <c r="K8" s="1">
        <f t="shared" si="2"/>
        <v>87</v>
      </c>
      <c r="L8" s="20">
        <f t="shared" si="3"/>
        <v>1.132643678</v>
      </c>
      <c r="M8" s="21">
        <f t="shared" si="4"/>
        <v>1.581149425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>
        <f>IFERROR(__xludf.DUMMYFUNCTION("""COMPUTED_VALUE"""),115.0)</f>
        <v>115</v>
      </c>
      <c r="B9" s="1" t="str">
        <f>IFERROR(__xludf.DUMMYFUNCTION("""COMPUTED_VALUE"""),"Fancy Egg")</f>
        <v>Fancy Egg</v>
      </c>
      <c r="C9" s="1">
        <f>IFERROR(__xludf.DUMMYFUNCTION("""COMPUTED_VALUE"""),3.0)</f>
        <v>3</v>
      </c>
      <c r="D9" s="1" t="str">
        <f>IFERROR(__xludf.DUMMYFUNCTION("""COMPUTED_VALUE"""),"特選蛋")</f>
        <v>特選蛋</v>
      </c>
      <c r="E9" s="1" t="str">
        <f>IFERROR(__xludf.DUMMYFUNCTION("""COMPUTED_VALUE"""),"")</f>
        <v/>
      </c>
      <c r="F9" s="1">
        <f>IFERROR(__xludf.DUMMYFUNCTION("""COMPUTED_VALUE"""),91.73)</f>
        <v>91.73</v>
      </c>
      <c r="G9" s="1">
        <f>IFERROR(VLOOKUP(D9, '應用日產（AP）'!A:C, 3, FALSE), 0)</f>
        <v>127.29</v>
      </c>
      <c r="H9" s="20">
        <f t="shared" si="1"/>
        <v>0.7206379134</v>
      </c>
      <c r="I9" s="1">
        <f>IFERROR(__xludf.DUMMYFUNCTION("IFERROR((MAX(FILTER({'食譜'!$K$3:$K$1000; '食譜'!$M$3:$M$1000; '食譜'!$O$3:$O$1000; '食譜'!$Q$3:$Q$1000}, {'食譜'!$J$3:$J$1000; '食譜'!$L$3:$L$1000; '食譜'!$N$3:$N$1000; '食譜'!$P$3:$P$1000} = $D9))), """")"),35.0)</f>
        <v>35</v>
      </c>
      <c r="J9" s="1" t="str">
        <f>IFERROR(__xludf.DUMMYFUNCTION("IFERROR(INDEX(FILTER({'食譜'!$B$3:$B$1000; '食譜'!$B$3:$B$1000; '食譜'!$B$3:$B$1000; '食譜'!$B$3:$B$1000}, {'食譜'!$J$3:$J$1000; '食譜'!$L$3:$L$1000; '食譜'!$N$3:$N$1000; '食譜'!$P$3:$P$1000}=D9, {'食譜'!$K$3:$K$1000; '食譜'!$M$3:$M$1000; '食譜'!$O$3:$O$1000; '食譜'!$Q$3:$Q$1000"&amp;"}=MAX(FILTER({'食譜'!$K$3:$K$1000; '食譜'!$M$3:$M$1000; '食譜'!$O$3:$O$1000; '食譜'!$Q$3:$Q$1000}, {'食譜'!$J$3:$J$1000; '食譜'!$L$3:$L$1000; '食譜'!$N$3:$N$1000; '食譜'!$P$3:$P$1000}=D9))), 1), """")"),"蘋果酸優格沙拉")</f>
        <v>蘋果酸優格沙拉</v>
      </c>
      <c r="K9" s="1">
        <f t="shared" si="2"/>
        <v>105</v>
      </c>
      <c r="L9" s="20">
        <f t="shared" si="3"/>
        <v>0.8736190476</v>
      </c>
      <c r="M9" s="21">
        <f t="shared" si="4"/>
        <v>1.212285714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>
        <f>IFERROR(__xludf.DUMMYFUNCTION("""COMPUTED_VALUE"""),121.0)</f>
        <v>121</v>
      </c>
      <c r="B10" s="1" t="str">
        <f>IFERROR(__xludf.DUMMYFUNCTION("""COMPUTED_VALUE"""),"Pure Oil")</f>
        <v>Pure Oil</v>
      </c>
      <c r="C10" s="1">
        <f>IFERROR(__xludf.DUMMYFUNCTION("""COMPUTED_VALUE"""),10.0)</f>
        <v>10</v>
      </c>
      <c r="D10" s="1" t="str">
        <f>IFERROR(__xludf.DUMMYFUNCTION("""COMPUTED_VALUE"""),"純粹油")</f>
        <v>純粹油</v>
      </c>
      <c r="E10" s="1" t="str">
        <f>IFERROR(__xludf.DUMMYFUNCTION("""COMPUTED_VALUE"""),"")</f>
        <v/>
      </c>
      <c r="F10" s="1">
        <f>IFERROR(__xludf.DUMMYFUNCTION("""COMPUTED_VALUE"""),56.61)</f>
        <v>56.61</v>
      </c>
      <c r="G10" s="1">
        <f>IFERROR(VLOOKUP(D10, '應用日產（AP）'!A:C, 3, FALSE), 0)</f>
        <v>111.06</v>
      </c>
      <c r="H10" s="20">
        <f t="shared" si="1"/>
        <v>0.5097244733</v>
      </c>
      <c r="I10" s="1">
        <f>IFERROR(__xludf.DUMMYFUNCTION("IFERROR((MAX(FILTER({'食譜'!$K$3:$K$1000; '食譜'!$M$3:$M$1000; '食譜'!$O$3:$O$1000; '食譜'!$Q$3:$Q$1000}, {'食譜'!$J$3:$J$1000; '食譜'!$L$3:$L$1000; '食譜'!$N$3:$N$1000; '食譜'!$P$3:$P$1000} = $D10))), """")"),32.0)</f>
        <v>32</v>
      </c>
      <c r="J10" s="1" t="str">
        <f>IFERROR(__xludf.DUMMYFUNCTION("IFERROR(INDEX(FILTER({'食譜'!$B$3:$B$1000; '食譜'!$B$3:$B$1000; '食譜'!$B$3:$B$1000; '食譜'!$B$3:$B$1000}, {'食譜'!$J$3:$J$1000; '食譜'!$L$3:$L$1000; '食譜'!$N$3:$N$1000; '食譜'!$P$3:$P$1000}=D10,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'食譜'!$P$3:$P$1000}=D10))), 1), """")"),"茂盛焗烤酪梨")</f>
        <v>茂盛焗烤酪梨</v>
      </c>
      <c r="K10" s="1">
        <f t="shared" si="2"/>
        <v>96</v>
      </c>
      <c r="L10" s="20">
        <f t="shared" si="3"/>
        <v>0.5896875</v>
      </c>
      <c r="M10" s="21">
        <f t="shared" si="4"/>
        <v>1.156875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>
        <f>IFERROR(__xludf.DUMMYFUNCTION("""COMPUTED_VALUE"""),124.0)</f>
        <v>124</v>
      </c>
      <c r="B11" s="1" t="str">
        <f>IFERROR(__xludf.DUMMYFUNCTION("""COMPUTED_VALUE"""),"Soft Potato")</f>
        <v>Soft Potato</v>
      </c>
      <c r="C11" s="1">
        <f>IFERROR(__xludf.DUMMYFUNCTION("""COMPUTED_VALUE"""),4.0)</f>
        <v>4</v>
      </c>
      <c r="D11" s="1" t="str">
        <f>IFERROR(__xludf.DUMMYFUNCTION("""COMPUTED_VALUE"""),"窩心洋芋")</f>
        <v>窩心洋芋</v>
      </c>
      <c r="E11" s="1" t="str">
        <f>IFERROR(__xludf.DUMMYFUNCTION("""COMPUTED_VALUE"""),"")</f>
        <v/>
      </c>
      <c r="F11" s="1">
        <f>IFERROR(__xludf.DUMMYFUNCTION("""COMPUTED_VALUE"""),90.57)</f>
        <v>90.57</v>
      </c>
      <c r="G11" s="1">
        <f>IFERROR(VLOOKUP(D11, '應用日產（AP）'!A:C, 3, FALSE), 0)</f>
        <v>120.45</v>
      </c>
      <c r="H11" s="20">
        <f t="shared" si="1"/>
        <v>0.7519302615</v>
      </c>
      <c r="I11" s="1">
        <f>IFERROR(__xludf.DUMMYFUNCTION("IFERROR((MAX(FILTER({'食譜'!$K$3:$K$1000; '食譜'!$M$3:$M$1000; '食譜'!$O$3:$O$1000; '食譜'!$Q$3:$Q$1000}, {'食譜'!$J$3:$J$1000; '食譜'!$L$3:$L$1000; '食譜'!$N$3:$N$1000; '食譜'!$P$3:$P$1000} = $D11))), """")"),30.0)</f>
        <v>30</v>
      </c>
      <c r="J11" s="1" t="str">
        <f>IFERROR(__xludf.DUMMYFUNCTION("IFERROR(INDEX(FILTER({'食譜'!$B$3:$B$1000; '食譜'!$B$3:$B$1000; '食譜'!$B$3:$B$1000; '食譜'!$B$3:$B$1000}, {'食譜'!$J$3:$J$1000; '食譜'!$L$3:$L$1000; '食譜'!$N$3:$N$1000; '食譜'!$P$3:$P$1000}=D11,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'食譜'!$P$3:$P$1000}=D11))), 1), """")"),"大塊滿滿熱水沙拉")</f>
        <v>大塊滿滿熱水沙拉</v>
      </c>
      <c r="K11" s="1">
        <f t="shared" si="2"/>
        <v>90</v>
      </c>
      <c r="L11" s="20">
        <f t="shared" si="3"/>
        <v>1.006333333</v>
      </c>
      <c r="M11" s="21">
        <f t="shared" si="4"/>
        <v>1.338333333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>
        <f>IFERROR(__xludf.DUMMYFUNCTION("""COMPUTED_VALUE"""),130.0)</f>
        <v>130</v>
      </c>
      <c r="B12" s="1" t="str">
        <f>IFERROR(__xludf.DUMMYFUNCTION("""COMPUTED_VALUE"""),"Fiery Herb")</f>
        <v>Fiery Herb</v>
      </c>
      <c r="C12" s="1">
        <f>IFERROR(__xludf.DUMMYFUNCTION("""COMPUTED_VALUE"""),6.0)</f>
        <v>6</v>
      </c>
      <c r="D12" s="1" t="str">
        <f>IFERROR(__xludf.DUMMYFUNCTION("""COMPUTED_VALUE"""),"火辣香草")</f>
        <v>火辣香草</v>
      </c>
      <c r="E12" s="1" t="str">
        <f>IFERROR(__xludf.DUMMYFUNCTION("""COMPUTED_VALUE"""),"")</f>
        <v/>
      </c>
      <c r="F12" s="1">
        <f>IFERROR(__xludf.DUMMYFUNCTION("""COMPUTED_VALUE"""),112.91)</f>
        <v>112.91</v>
      </c>
      <c r="G12" s="1">
        <f>IFERROR(VLOOKUP(D12, '應用日產（AP）'!A:C, 3, FALSE), 0)</f>
        <v>168.36</v>
      </c>
      <c r="H12" s="20">
        <f t="shared" si="1"/>
        <v>0.6706462343</v>
      </c>
      <c r="I12" s="1">
        <f>IFERROR(__xludf.DUMMYFUNCTION("IFERROR((MAX(FILTER({'食譜'!$K$3:$K$1000; '食譜'!$M$3:$M$1000; '食譜'!$O$3:$O$1000; '食譜'!$Q$3:$Q$1000}, {'食譜'!$J$3:$J$1000; '食譜'!$L$3:$L$1000; '食譜'!$N$3:$N$1000; '食譜'!$P$3:$P$1000} = $D12))), """")"),30.0)</f>
        <v>30</v>
      </c>
      <c r="J12" s="1" t="str">
        <f>IFERROR(__xludf.DUMMYFUNCTION("IFERROR(INDEX(FILTER({'食譜'!$B$3:$B$1000; '食譜'!$B$3:$B$1000; '食譜'!$B$3:$B$1000; '食譜'!$B$3:$B$1000}, {'食譜'!$J$3:$J$1000; '食譜'!$L$3:$L$1000; '食譜'!$N$3:$N$1000; '食譜'!$P$3:$P$1000}=D12,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'食譜'!$P$3:$P$1000}=D12))), 1), """")"),"重踏酪梨醬脆片")</f>
        <v>重踏酪梨醬脆片</v>
      </c>
      <c r="K12" s="1">
        <f t="shared" si="2"/>
        <v>90</v>
      </c>
      <c r="L12" s="20">
        <f t="shared" si="3"/>
        <v>1.254555556</v>
      </c>
      <c r="M12" s="21">
        <f t="shared" si="4"/>
        <v>1.870666667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>
        <f>IFERROR(__xludf.DUMMYFUNCTION("""COMPUTED_VALUE"""),140.0)</f>
        <v>140</v>
      </c>
      <c r="B13" s="1" t="str">
        <f>IFERROR(__xludf.DUMMYFUNCTION("""COMPUTED_VALUE"""),"Greengrass Corn")</f>
        <v>Greengrass Corn</v>
      </c>
      <c r="C13" s="1">
        <f>IFERROR(__xludf.DUMMYFUNCTION("""COMPUTED_VALUE"""),16.0)</f>
        <v>16</v>
      </c>
      <c r="D13" s="1" t="str">
        <f>IFERROR(__xludf.DUMMYFUNCTION("""COMPUTED_VALUE"""),"萌綠玉米")</f>
        <v>萌綠玉米</v>
      </c>
      <c r="E13" s="1" t="str">
        <f>IFERROR(__xludf.DUMMYFUNCTION("""COMPUTED_VALUE"""),"")</f>
        <v/>
      </c>
      <c r="F13" s="1">
        <f>IFERROR(__xludf.DUMMYFUNCTION("""COMPUTED_VALUE"""),120.13)</f>
        <v>120.13</v>
      </c>
      <c r="G13" s="1">
        <f>IFERROR(VLOOKUP(D13, '應用日產（AP）'!A:C, 3, FALSE), 0)</f>
        <v>134.79</v>
      </c>
      <c r="H13" s="20">
        <f t="shared" si="1"/>
        <v>0.8912382224</v>
      </c>
      <c r="I13" s="1">
        <f>IFERROR(__xludf.DUMMYFUNCTION("IFERROR((MAX(FILTER({'食譜'!$K$3:$K$1000; '食譜'!$M$3:$M$1000; '食譜'!$O$3:$O$1000; '食譜'!$Q$3:$Q$1000}, {'食譜'!$J$3:$J$1000; '食譜'!$L$3:$L$1000; '食譜'!$N$3:$N$1000; '食譜'!$P$3:$P$1000} = $D13))), """")"),28.0)</f>
        <v>28</v>
      </c>
      <c r="J13" s="1" t="str">
        <f>IFERROR(__xludf.DUMMYFUNCTION("IFERROR(INDEX(FILTER({'食譜'!$B$3:$B$1000; '食譜'!$B$3:$B$1000; '食譜'!$B$3:$B$1000; '食譜'!$B$3:$B$1000}, {'食譜'!$J$3:$J$1000; '食譜'!$L$3:$L$1000; '食譜'!$N$3:$N$1000; '食譜'!$P$3:$P$1000}=D13,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'食譜'!$P$3:$P$1000}=D13))), 1), """")"),"採蜜巧克力格子鬆餅")</f>
        <v>採蜜巧克力格子鬆餅</v>
      </c>
      <c r="K13" s="1">
        <f t="shared" si="2"/>
        <v>84</v>
      </c>
      <c r="L13" s="20">
        <f t="shared" si="3"/>
        <v>1.430119048</v>
      </c>
      <c r="M13" s="21">
        <f t="shared" si="4"/>
        <v>1.604642857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>
        <f>IFERROR(__xludf.DUMMYFUNCTION("""COMPUTED_VALUE"""),151.0)</f>
        <v>151</v>
      </c>
      <c r="B14" s="1" t="str">
        <f>IFERROR(__xludf.DUMMYFUNCTION("""COMPUTED_VALUE"""),"Soothing Cacao")</f>
        <v>Soothing Cacao</v>
      </c>
      <c r="C14" s="1">
        <f>IFERROR(__xludf.DUMMYFUNCTION("""COMPUTED_VALUE"""),13.0)</f>
        <v>13</v>
      </c>
      <c r="D14" s="1" t="str">
        <f>IFERROR(__xludf.DUMMYFUNCTION("""COMPUTED_VALUE"""),"放鬆可可")</f>
        <v>放鬆可可</v>
      </c>
      <c r="E14" s="1" t="str">
        <f>IFERROR(__xludf.DUMMYFUNCTION("""COMPUTED_VALUE"""),"")</f>
        <v/>
      </c>
      <c r="F14" s="1">
        <f>IFERROR(__xludf.DUMMYFUNCTION("""COMPUTED_VALUE"""),76.86)</f>
        <v>76.86</v>
      </c>
      <c r="G14" s="1">
        <f>IFERROR(VLOOKUP(D14, '應用日產（AP）'!A:C, 3, FALSE), 0)</f>
        <v>98.53</v>
      </c>
      <c r="H14" s="20">
        <f t="shared" si="1"/>
        <v>0.7800669847</v>
      </c>
      <c r="I14" s="1">
        <f>IFERROR(__xludf.DUMMYFUNCTION("IFERROR((MAX(FILTER({'食譜'!$K$3:$K$1000; '食譜'!$M$3:$M$1000; '食譜'!$O$3:$O$1000; '食譜'!$Q$3:$Q$1000}, {'食譜'!$J$3:$J$1000; '食譜'!$L$3:$L$1000; '食譜'!$N$3:$N$1000; '食譜'!$P$3:$P$1000} = $D14))), """")"),30.0)</f>
        <v>30</v>
      </c>
      <c r="J14" s="1" t="str">
        <f>IFERROR(__xludf.DUMMYFUNCTION("IFERROR(INDEX(FILTER({'食譜'!$B$3:$B$1000; '食譜'!$B$3:$B$1000; '食譜'!$B$3:$B$1000; '食譜'!$B$3:$B$1000}, {'食譜'!$J$3:$J$1000; '食譜'!$L$3:$L$1000; '食譜'!$N$3:$N$1000; '食譜'!$P$3:$P$1000}=D14,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'食譜'!$P$3:$P$1000}=D14))), 1), """")"),"土王閃電泡芙")</f>
        <v>土王閃電泡芙</v>
      </c>
      <c r="K14" s="1">
        <f t="shared" si="2"/>
        <v>90</v>
      </c>
      <c r="L14" s="20">
        <f t="shared" si="3"/>
        <v>0.854</v>
      </c>
      <c r="M14" s="21">
        <f t="shared" si="4"/>
        <v>1.094777778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>
        <f>IFERROR(__xludf.DUMMYFUNCTION("""COMPUTED_VALUE"""),153.0)</f>
        <v>153</v>
      </c>
      <c r="B15" s="1" t="str">
        <f>IFERROR(__xludf.DUMMYFUNCTION("""COMPUTED_VALUE"""),"Rousing Coffee")</f>
        <v>Rousing Coffee</v>
      </c>
      <c r="C15" s="1">
        <f>IFERROR(__xludf.DUMMYFUNCTION("""COMPUTED_VALUE"""),17.0)</f>
        <v>17</v>
      </c>
      <c r="D15" s="1" t="str">
        <f>IFERROR(__xludf.DUMMYFUNCTION("""COMPUTED_VALUE"""),"醒腦咖啡豆")</f>
        <v>醒腦咖啡豆</v>
      </c>
      <c r="E15" s="1" t="str">
        <f>IFERROR(__xludf.DUMMYFUNCTION("""COMPUTED_VALUE"""),"")</f>
        <v/>
      </c>
      <c r="F15" s="1">
        <f>IFERROR(__xludf.DUMMYFUNCTION("""COMPUTED_VALUE"""),82.13)</f>
        <v>82.13</v>
      </c>
      <c r="G15" s="1">
        <f>IFERROR(VLOOKUP(D15, '應用日產（AP）'!A:C, 3, FALSE), 0)</f>
        <v>114.19</v>
      </c>
      <c r="H15" s="20">
        <f t="shared" si="1"/>
        <v>0.7192398634</v>
      </c>
      <c r="I15" s="1">
        <f>IFERROR(__xludf.DUMMYFUNCTION("IFERROR((MAX(FILTER({'食譜'!$K$3:$K$1000; '食譜'!$M$3:$M$1000; '食譜'!$O$3:$O$1000; '食譜'!$Q$3:$Q$1000}, {'食譜'!$J$3:$J$1000; '食譜'!$L$3:$L$1000; '食譜'!$N$3:$N$1000; '食譜'!$P$3:$P$1000} = $D15))), """")"),28.0)</f>
        <v>28</v>
      </c>
      <c r="J15" s="1" t="str">
        <f>IFERROR(__xludf.DUMMYFUNCTION("IFERROR(INDEX(FILTER({'食譜'!$B$3:$B$1000; '食譜'!$B$3:$B$1000; '食譜'!$B$3:$B$1000; '食譜'!$B$3:$B$1000}, {'食譜'!$J$3:$J$1000; '食譜'!$L$3:$L$1000; '食譜'!$N$3:$N$1000; '食譜'!$P$3:$P$1000}=D15,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'食譜'!$P$3:$P$1000}=D15))), 1), """")"),"不服輸咖啡沙拉")</f>
        <v>不服輸咖啡沙拉</v>
      </c>
      <c r="K15" s="1">
        <f t="shared" si="2"/>
        <v>84</v>
      </c>
      <c r="L15" s="20">
        <f t="shared" si="3"/>
        <v>0.9777380952</v>
      </c>
      <c r="M15" s="21">
        <f t="shared" si="4"/>
        <v>1.359404762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>
        <f>IFERROR(__xludf.DUMMYFUNCTION("""COMPUTED_VALUE"""),162.0)</f>
        <v>162</v>
      </c>
      <c r="B16" s="1" t="str">
        <f>IFERROR(__xludf.DUMMYFUNCTION("""COMPUTED_VALUE"""),"Glossy Avocado")</f>
        <v>Glossy Avocado</v>
      </c>
      <c r="C16" s="1">
        <f>IFERROR(__xludf.DUMMYFUNCTION("""COMPUTED_VALUE"""),19.0)</f>
        <v>19</v>
      </c>
      <c r="D16" s="1" t="str">
        <f>IFERROR(__xludf.DUMMYFUNCTION("""COMPUTED_VALUE"""),"嫩亮酪梨")</f>
        <v>嫩亮酪梨</v>
      </c>
      <c r="E16" s="1" t="str">
        <f>IFERROR(__xludf.DUMMYFUNCTION("""COMPUTED_VALUE"""),"")</f>
        <v/>
      </c>
      <c r="F16" s="1">
        <f>IFERROR(__xludf.DUMMYFUNCTION("""COMPUTED_VALUE"""),100.0)</f>
        <v>100</v>
      </c>
      <c r="G16" s="1">
        <f>IFERROR(VLOOKUP(D16, '應用日產（AP）'!A:C, 3, FALSE), 0)</f>
        <v>105.63</v>
      </c>
      <c r="H16" s="20">
        <f t="shared" si="1"/>
        <v>0.9467007479</v>
      </c>
      <c r="I16" s="1">
        <f>IFERROR(__xludf.DUMMYFUNCTION("IFERROR((MAX(FILTER({'食譜'!$K$3:$K$1000; '食譜'!$M$3:$M$1000; '食譜'!$O$3:$O$1000; '食譜'!$Q$3:$Q$1000}, {'食譜'!$J$3:$J$1000; '食譜'!$L$3:$L$1000; '食譜'!$N$3:$N$1000; '食譜'!$P$3:$P$1000} = $D16))), """")"),28.0)</f>
        <v>28</v>
      </c>
      <c r="J16" s="1" t="str">
        <f>IFERROR(__xludf.DUMMYFUNCTION("IFERROR(INDEX(FILTER({'食譜'!$B$3:$B$1000; '食譜'!$B$3:$B$1000; '食譜'!$B$3:$B$1000; '食譜'!$B$3:$B$1000}, {'食譜'!$J$3:$J$1000; '食譜'!$L$3:$L$1000; '食譜'!$N$3:$N$1000; '食譜'!$P$3:$P$1000}=D16,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'食譜'!$P$3:$P$1000}=D16))), 1), """")"),"重踏酪梨醬脆片")</f>
        <v>重踏酪梨醬脆片</v>
      </c>
      <c r="K16" s="1">
        <f t="shared" si="2"/>
        <v>84</v>
      </c>
      <c r="L16" s="20">
        <f t="shared" si="3"/>
        <v>1.19047619</v>
      </c>
      <c r="M16" s="21">
        <f t="shared" si="4"/>
        <v>1.2575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>
        <f>IFERROR(__xludf.DUMMYFUNCTION("""COMPUTED_VALUE"""),167.0)</f>
        <v>167</v>
      </c>
      <c r="B17" s="1" t="str">
        <f>IFERROR(__xludf.DUMMYFUNCTION("""COMPUTED_VALUE"""),"Tasty Mushroom")</f>
        <v>Tasty Mushroom</v>
      </c>
      <c r="C17" s="1">
        <f>IFERROR(__xludf.DUMMYFUNCTION("""COMPUTED_VALUE"""),2.0)</f>
        <v>2</v>
      </c>
      <c r="D17" s="1" t="str">
        <f>IFERROR(__xludf.DUMMYFUNCTION("""COMPUTED_VALUE"""),"品鮮蘑菇")</f>
        <v>品鮮蘑菇</v>
      </c>
      <c r="E17" s="1" t="str">
        <f>IFERROR(__xludf.DUMMYFUNCTION("""COMPUTED_VALUE"""),"")</f>
        <v/>
      </c>
      <c r="F17" s="1">
        <f>IFERROR(__xludf.DUMMYFUNCTION("""COMPUTED_VALUE"""),46.76)</f>
        <v>46.76</v>
      </c>
      <c r="G17" s="1">
        <f>IFERROR(VLOOKUP(D17, '應用日產（AP）'!A:C, 3, FALSE), 0)</f>
        <v>92.67</v>
      </c>
      <c r="H17" s="20">
        <f t="shared" si="1"/>
        <v>0.504586166</v>
      </c>
      <c r="I17" s="1">
        <f>IFERROR(__xludf.DUMMYFUNCTION("IFERROR((MAX(FILTER({'食譜'!$K$3:$K$1000; '食譜'!$M$3:$M$1000; '食譜'!$O$3:$O$1000; '食譜'!$Q$3:$Q$1000}, {'食譜'!$J$3:$J$1000; '食譜'!$L$3:$L$1000; '食譜'!$N$3:$N$1000; '食譜'!$P$3:$P$1000} = $D17))), """")"),27.0)</f>
        <v>27</v>
      </c>
      <c r="J17" s="1" t="str">
        <f>IFERROR(__xludf.DUMMYFUNCTION("IFERROR(INDEX(FILTER({'食譜'!$B$3:$B$1000; '食譜'!$B$3:$B$1000; '食譜'!$B$3:$B$1000; '食譜'!$B$3:$B$1000}, {'食譜'!$J$3:$J$1000; '食譜'!$L$3:$L$1000; '食譜'!$N$3:$N$1000; '食譜'!$P$3:$P$1000}=D17,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'食譜'!$P$3:$P$1000}=D17))), 1), """")"),"大塊滿滿熱水沙拉")</f>
        <v>大塊滿滿熱水沙拉</v>
      </c>
      <c r="K17" s="1">
        <f t="shared" si="2"/>
        <v>81</v>
      </c>
      <c r="L17" s="20">
        <f t="shared" si="3"/>
        <v>0.5772839506</v>
      </c>
      <c r="M17" s="21">
        <f t="shared" si="4"/>
        <v>1.144074074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>
        <f>IFERROR(__xludf.DUMMYFUNCTION("""COMPUTED_VALUE"""),185.0)</f>
        <v>185</v>
      </c>
      <c r="B18" s="1" t="str">
        <f>IFERROR(__xludf.DUMMYFUNCTION("""COMPUTED_VALUE"""),"Large Leek")</f>
        <v>Large Leek</v>
      </c>
      <c r="C18" s="1">
        <f>IFERROR(__xludf.DUMMYFUNCTION("""COMPUTED_VALUE"""),1.0)</f>
        <v>1</v>
      </c>
      <c r="D18" s="1" t="str">
        <f>IFERROR(__xludf.DUMMYFUNCTION("""COMPUTED_VALUE"""),"粗枝大蔥")</f>
        <v>粗枝大蔥</v>
      </c>
      <c r="E18" s="1" t="str">
        <f>IFERROR(__xludf.DUMMYFUNCTION("""COMPUTED_VALUE"""),"")</f>
        <v/>
      </c>
      <c r="F18" s="1">
        <f>IFERROR(__xludf.DUMMYFUNCTION("""COMPUTED_VALUE"""),54.58)</f>
        <v>54.58</v>
      </c>
      <c r="G18" s="1">
        <f>IFERROR(VLOOKUP(D18, '應用日產（AP）'!A:C, 3, FALSE), 0)</f>
        <v>87.81</v>
      </c>
      <c r="H18" s="20">
        <f t="shared" si="1"/>
        <v>0.6215692973</v>
      </c>
      <c r="I18" s="1">
        <f>IFERROR(__xludf.DUMMYFUNCTION("IFERROR((MAX(FILTER({'食譜'!$K$3:$K$1000; '食譜'!$M$3:$M$1000; '食譜'!$O$3:$O$1000; '食譜'!$Q$3:$Q$1000}, {'食譜'!$J$3:$J$1000; '食譜'!$L$3:$L$1000; '食譜'!$N$3:$N$1000; '食譜'!$P$3:$P$1000} = $D18))), """")"),27.0)</f>
        <v>27</v>
      </c>
      <c r="J18" s="1" t="str">
        <f>IFERROR(__xludf.DUMMYFUNCTION("IFERROR(INDEX(FILTER({'食譜'!$B$3:$B$1000; '食譜'!$B$3:$B$1000; '食譜'!$B$3:$B$1000; '食譜'!$B$3:$B$1000}, {'食譜'!$J$3:$J$1000; '食譜'!$L$3:$L$1000; '食譜'!$N$3:$N$1000; '食譜'!$P$3:$P$1000}=D18,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'食譜'!$P$3:$P$1000}=D18))), 1), """")"),"居合斬壽喜燒咖哩")</f>
        <v>居合斬壽喜燒咖哩</v>
      </c>
      <c r="K18" s="1">
        <f t="shared" si="2"/>
        <v>81</v>
      </c>
      <c r="L18" s="20">
        <f t="shared" si="3"/>
        <v>0.6738271605</v>
      </c>
      <c r="M18" s="21">
        <f t="shared" si="4"/>
        <v>1.084074074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>
        <f>IFERROR(__xludf.DUMMYFUNCTION("""COMPUTED_VALUE"""),250.0)</f>
        <v>250</v>
      </c>
      <c r="B19" s="1" t="str">
        <f>IFERROR(__xludf.DUMMYFUNCTION("""COMPUTED_VALUE"""),"Plump Pumpkin")</f>
        <v>Plump Pumpkin</v>
      </c>
      <c r="C19" s="1">
        <f>IFERROR(__xludf.DUMMYFUNCTION("""COMPUTED_VALUE"""),18.0)</f>
        <v>18</v>
      </c>
      <c r="D19" s="1" t="str">
        <f>IFERROR(__xludf.DUMMYFUNCTION("""COMPUTED_VALUE"""),"沉甸甸南瓜")</f>
        <v>沉甸甸南瓜</v>
      </c>
      <c r="E19" s="1" t="str">
        <f>IFERROR(__xludf.DUMMYFUNCTION("""COMPUTED_VALUE"""),"")</f>
        <v/>
      </c>
      <c r="F19" s="1">
        <f>IFERROR(__xludf.DUMMYFUNCTION("""COMPUTED_VALUE"""),1.0)</f>
        <v>1</v>
      </c>
      <c r="G19" s="1">
        <f>IFERROR(VLOOKUP(D19, '應用日產（AP）'!A:C, 3, FALSE), 0)</f>
        <v>63.05</v>
      </c>
      <c r="H19" s="20">
        <f t="shared" si="1"/>
        <v>0.01586042823</v>
      </c>
      <c r="I19" s="1">
        <f>IFERROR(__xludf.DUMMYFUNCTION("IFERROR((MAX(FILTER({'食譜'!$K$3:$K$1000; '食譜'!$M$3:$M$1000; '食譜'!$O$3:$O$1000; '食譜'!$Q$3:$Q$1000}, {'食譜'!$J$3:$J$1000; '食譜'!$L$3:$L$1000; '食譜'!$N$3:$N$1000; '食譜'!$P$3:$P$1000} = $D19))), """")"),20.0)</f>
        <v>20</v>
      </c>
      <c r="J19" s="1" t="str">
        <f>IFERROR(__xludf.DUMMYFUNCTION("IFERROR(INDEX(FILTER({'食譜'!$B$3:$B$1000; '食譜'!$B$3:$B$1000; '食譜'!$B$3:$B$1000; '食譜'!$B$3:$B$1000}, {'食譜'!$J$3:$J$1000; '食譜'!$L$3:$L$1000; '食譜'!$N$3:$N$1000; '食譜'!$P$3:$P$1000}=D19,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'食譜'!$P$3:$P$1000}=D19))), 1), """")"),"大塊滿滿熱水沙拉")</f>
        <v>大塊滿滿熱水沙拉</v>
      </c>
      <c r="K19" s="1">
        <f t="shared" si="2"/>
        <v>60</v>
      </c>
      <c r="L19" s="20">
        <f t="shared" si="3"/>
        <v>0.01666666667</v>
      </c>
      <c r="M19" s="21">
        <f t="shared" si="4"/>
        <v>1.050833333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>
        <f>IFERROR(__xludf.DUMMYFUNCTION("""COMPUTED_VALUE"""),342.0)</f>
        <v>342</v>
      </c>
      <c r="B20" s="1" t="str">
        <f>IFERROR(__xludf.DUMMYFUNCTION("""COMPUTED_VALUE"""),"Slowpoke Tail")</f>
        <v>Slowpoke Tail</v>
      </c>
      <c r="C20" s="1">
        <f>IFERROR(__xludf.DUMMYFUNCTION("""COMPUTED_VALUE"""),14.0)</f>
        <v>14</v>
      </c>
      <c r="D20" s="1" t="str">
        <f>IFERROR(__xludf.DUMMYFUNCTION("""COMPUTED_VALUE"""),"美味尾巴")</f>
        <v>美味尾巴</v>
      </c>
      <c r="E20" s="1" t="str">
        <f>IFERROR(__xludf.DUMMYFUNCTION("""COMPUTED_VALUE"""),"")</f>
        <v/>
      </c>
      <c r="F20" s="1">
        <f>IFERROR(__xludf.DUMMYFUNCTION("""COMPUTED_VALUE"""),1.0)</f>
        <v>1</v>
      </c>
      <c r="G20" s="1">
        <f>IFERROR(VLOOKUP(D20, '應用日產（AP）'!A:C, 3, FALSE), 0)</f>
        <v>17.35</v>
      </c>
      <c r="H20" s="20">
        <f t="shared" si="1"/>
        <v>0.05763688761</v>
      </c>
      <c r="I20" s="1">
        <f>IFERROR(__xludf.DUMMYFUNCTION("IFERROR((MAX(FILTER({'食譜'!$K$3:$K$1000; '食譜'!$M$3:$M$1000; '食譜'!$O$3:$O$1000; '食譜'!$Q$3:$Q$1000}, {'食譜'!$J$3:$J$1000; '食譜'!$L$3:$L$1000; '食譜'!$N$3:$N$1000; '食譜'!$P$3:$P$1000} = $D20))), """")"),10.0)</f>
        <v>10</v>
      </c>
      <c r="J20" s="1" t="str">
        <f>IFERROR(__xludf.DUMMYFUNCTION("IFERROR(INDEX(FILTER({'食譜'!$B$3:$B$1000; '食譜'!$B$3:$B$1000; '食譜'!$B$3:$B$1000; '食譜'!$B$3:$B$1000}, {'食譜'!$J$3:$J$1000; '食譜'!$L$3:$L$1000; '食譜'!$N$3:$N$1000; '食譜'!$P$3:$P$1000}=D20, {'食譜'!$K$3:$K$1000; '食譜'!$M$3:$M$1000; '食譜'!$O$3:$O$1000; '食譜'!$Q$3:$Q$100"&amp;"0}=MAX(FILTER({'食譜'!$K$3:$K$1000; '食譜'!$M$3:$M$1000; '食譜'!$O$3:$O$1000; '食譜'!$Q$3:$Q$1000}, {'食譜'!$J$3:$J$1000; '食譜'!$L$3:$L$1000; '食譜'!$N$3:$N$1000; '食譜'!$P$3:$P$1000}=D20))), 1), """")"),"呆呆獸尾巴的胡椒沙拉")</f>
        <v>呆呆獸尾巴的胡椒沙拉</v>
      </c>
      <c r="K20" s="1">
        <f t="shared" si="2"/>
        <v>30</v>
      </c>
      <c r="L20" s="20">
        <f t="shared" si="3"/>
        <v>0.03333333333</v>
      </c>
      <c r="M20" s="21">
        <f t="shared" si="4"/>
        <v>0.5783333333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5"/>
      <c r="B21" s="5"/>
      <c r="C21" s="5"/>
      <c r="D21" s="5"/>
      <c r="E21" s="5"/>
      <c r="F21" s="5"/>
      <c r="G21" s="5"/>
      <c r="H21" s="2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idden="1">
      <c r="A22" s="5"/>
      <c r="B22" s="5"/>
      <c r="C22" s="5"/>
      <c r="D22" s="5"/>
      <c r="E22" s="5"/>
      <c r="F22" s="5"/>
      <c r="G22" s="5"/>
      <c r="H22" s="2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5"/>
      <c r="B23" s="5"/>
      <c r="C23" s="5"/>
      <c r="D23" s="5"/>
      <c r="E23" s="5"/>
      <c r="F23" s="5"/>
      <c r="G23" s="5"/>
      <c r="H23" s="2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5"/>
      <c r="B24" s="5"/>
      <c r="C24" s="5"/>
      <c r="D24" s="5"/>
      <c r="E24" s="5"/>
      <c r="F24" s="5"/>
      <c r="G24" s="5"/>
      <c r="H24" s="2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idden="1">
      <c r="A25" s="5"/>
      <c r="B25" s="5"/>
      <c r="C25" s="5"/>
      <c r="D25" s="5"/>
      <c r="E25" s="5"/>
      <c r="F25" s="5"/>
      <c r="G25" s="5"/>
      <c r="H25" s="2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idden="1">
      <c r="A26" s="5"/>
      <c r="B26" s="5"/>
      <c r="C26" s="5"/>
      <c r="D26" s="5"/>
      <c r="E26" s="5"/>
      <c r="F26" s="5"/>
      <c r="G26" s="5"/>
      <c r="H26" s="2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idden="1">
      <c r="A27" s="5"/>
      <c r="B27" s="5"/>
      <c r="C27" s="5"/>
      <c r="D27" s="5"/>
      <c r="E27" s="5"/>
      <c r="F27" s="5"/>
      <c r="G27" s="5"/>
      <c r="H27" s="2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5"/>
      <c r="B28" s="5"/>
      <c r="C28" s="5"/>
      <c r="D28" s="5"/>
      <c r="E28" s="5"/>
      <c r="F28" s="5"/>
      <c r="G28" s="5"/>
      <c r="H28" s="2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5"/>
      <c r="B29" s="5"/>
      <c r="C29" s="5"/>
      <c r="D29" s="5"/>
      <c r="E29" s="5"/>
      <c r="F29" s="5"/>
      <c r="G29" s="5"/>
      <c r="H29" s="2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5"/>
      <c r="B30" s="5"/>
      <c r="C30" s="5"/>
      <c r="D30" s="5"/>
      <c r="E30" s="5"/>
      <c r="F30" s="5"/>
      <c r="G30" s="5"/>
      <c r="H30" s="2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2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2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2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2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2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2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2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2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2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2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2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2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2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2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2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2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2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2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2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2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2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2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2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2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2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2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2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2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2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2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2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2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2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2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2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2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2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2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2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2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2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2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2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2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2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2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2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2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2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2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2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2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2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2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2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2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2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2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2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2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2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2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2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2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2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2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2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2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2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2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2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2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2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2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2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2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2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2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2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2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2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2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2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2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2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2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2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2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2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2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2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2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2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2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2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2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2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2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2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2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2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2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2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2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2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2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2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2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2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2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2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2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2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2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2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2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2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2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2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2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2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2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2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2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2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2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2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2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2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2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2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2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2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2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2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2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2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2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2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2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2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2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2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2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2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2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2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2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2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2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2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2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2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2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2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2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2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2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2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2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2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2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2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2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2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2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2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2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2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2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2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2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2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2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2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2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2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2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2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2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2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2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2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2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2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2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2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2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2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2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2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2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2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2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2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2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2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2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2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2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2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2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2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2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2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2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2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2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2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2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2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2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2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2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2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2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2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2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2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2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2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2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2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2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2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2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2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2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2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2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2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2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2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2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2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2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2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2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2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2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2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2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2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2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2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2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2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2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2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2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2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2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2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2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2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2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2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2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2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2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2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2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2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2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2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2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2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2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2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2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2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2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2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2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2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2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2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2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2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2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2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2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2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2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2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2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2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2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2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2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2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2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2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2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2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2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2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2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2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2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2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2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2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2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2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2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2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2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2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2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2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2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2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2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2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2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2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2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2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2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2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2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2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2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2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2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2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2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2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2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2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2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2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2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2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2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2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2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2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2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2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2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2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2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2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2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2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2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2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2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2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2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2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2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2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2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2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2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2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2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2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2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2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2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2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2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2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2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2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2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2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2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2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2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2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2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2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2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2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2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2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2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2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2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2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2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2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2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2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2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2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2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2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2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2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2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2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2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2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2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2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2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2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2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2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2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2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2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2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2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2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2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2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2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2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2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2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2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2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2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2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2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2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2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2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2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2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2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2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2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2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2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2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2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2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2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2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2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2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2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2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2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2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2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2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2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2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2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2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2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2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2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2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2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2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2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2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2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2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2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2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2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2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2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2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2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2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2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2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2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2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2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2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2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2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2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2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2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2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2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2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2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2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2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2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2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2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2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2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2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2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2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2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2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2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2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2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2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2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2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2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2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2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2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2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2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2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2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2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2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2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2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2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2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2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2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2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2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2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2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2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2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2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2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2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2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2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2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2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2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2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2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2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2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2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2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2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2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2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2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2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2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2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2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2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2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2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2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2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2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2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2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2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2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2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2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2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2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2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2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2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2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2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2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2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2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2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2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2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2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2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2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2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2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2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2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2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2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2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2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2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2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2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2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2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2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2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2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2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2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2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2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2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2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2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2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2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2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2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2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2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2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2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2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2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2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2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2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2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2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2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2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2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2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2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2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2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2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2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2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2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2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2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2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2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2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2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2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2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2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2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2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2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2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2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2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2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2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2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2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2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2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2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2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2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2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2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2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2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2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2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2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2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2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2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2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2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2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2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2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2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2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2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2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2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2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2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2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2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2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2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2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2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2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2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2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2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2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2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2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2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2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2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2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2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2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2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2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2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2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2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2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2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2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2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2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2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2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2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2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2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2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2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2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2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2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2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2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2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2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2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2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2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2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2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2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2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2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2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2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2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2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2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2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2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2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2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2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2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2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2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2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2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2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2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2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2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2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2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2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2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2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2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2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2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2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2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2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2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2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2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2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2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2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2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2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2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2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2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2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2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2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2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2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2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2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2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2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2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2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2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2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2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2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2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2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2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2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2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2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2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2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2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2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2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2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2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2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2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2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2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2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2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2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2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2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2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2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2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2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2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2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2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2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2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2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2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2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2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2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2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2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2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2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2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2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2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2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2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2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2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2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2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2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2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2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2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2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2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2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2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2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2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2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2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2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2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2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2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2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2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2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2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2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2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2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2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2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2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2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2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2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2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2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2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2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2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2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2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2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2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2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2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2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2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2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2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2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2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2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2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2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2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2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2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2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2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2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2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2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2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2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2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2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2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2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2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2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2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2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2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2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2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2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2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2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2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2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2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2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2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2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2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2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2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2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2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2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2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2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2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2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2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2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2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2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2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2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2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2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2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2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2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2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2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2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2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2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2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2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2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2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2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2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2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2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2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2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2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2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2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2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2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2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2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2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2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2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2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2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2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2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2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2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2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2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2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2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2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2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2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2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2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22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2:H2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:L20">
    <cfRule type="colorScale" priority="2">
      <colorScale>
        <cfvo type="min"/>
        <cfvo type="percent" val="100"/>
        <cfvo type="max"/>
        <color rgb="FFE67C73"/>
        <color rgb="FFFFFFFF"/>
        <color rgb="FF57BB8A"/>
      </colorScale>
    </cfRule>
  </conditionalFormatting>
  <conditionalFormatting sqref="M2:M20">
    <cfRule type="colorScale" priority="3">
      <colorScale>
        <cfvo type="min"/>
        <cfvo type="percent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4" width="6.63"/>
    <col customWidth="1" hidden="1" min="5" max="5" width="4.25"/>
    <col hidden="1" min="6" max="7" width="12.63"/>
    <col customWidth="1" min="8" max="8" width="16.0"/>
    <col customWidth="1" min="9" max="9" width="3.5"/>
    <col customWidth="1" min="10" max="10" width="4.0"/>
    <col customWidth="1" min="11" max="11" width="5.38"/>
    <col customWidth="1" min="12" max="12" width="4.38"/>
    <col customWidth="1" min="13" max="13" width="7.63"/>
    <col customWidth="1" min="14" max="14" width="7.25"/>
    <col customWidth="1" min="15" max="15" width="8.63"/>
    <col customWidth="1" min="16" max="16" width="7.88"/>
    <col customWidth="1" min="17" max="17" width="9.38"/>
    <col customWidth="1" min="18" max="18" width="7.63"/>
    <col customWidth="1" min="20" max="20" width="18.25"/>
  </cols>
  <sheetData>
    <row r="1">
      <c r="A1" s="5"/>
      <c r="B1" s="5"/>
      <c r="C1" s="5"/>
      <c r="D1" s="5"/>
      <c r="E1" s="5"/>
      <c r="F1" s="4"/>
      <c r="G1" s="5"/>
      <c r="H1" s="5"/>
      <c r="I1" s="5"/>
      <c r="J1" s="5"/>
      <c r="K1" s="5"/>
      <c r="L1" s="23"/>
      <c r="M1" s="24"/>
      <c r="N1" s="5"/>
      <c r="O1" s="5"/>
      <c r="P1" s="5"/>
      <c r="Q1" s="5"/>
      <c r="R1" s="5"/>
      <c r="S1" s="5"/>
      <c r="T1" s="5"/>
      <c r="U1" s="5"/>
      <c r="V1" s="5"/>
      <c r="W1" s="23"/>
      <c r="X1" s="5"/>
      <c r="Y1" s="5"/>
      <c r="Z1" s="5"/>
      <c r="AA1" s="5"/>
      <c r="AB1" s="5"/>
      <c r="AC1" s="5"/>
      <c r="AD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25" t="s">
        <v>58</v>
      </c>
      <c r="L2" s="26" t="s">
        <v>59</v>
      </c>
      <c r="M2" s="25" t="s">
        <v>60</v>
      </c>
      <c r="N2" s="27" t="s">
        <v>61</v>
      </c>
      <c r="O2" s="25" t="s">
        <v>62</v>
      </c>
      <c r="P2" s="4" t="s">
        <v>63</v>
      </c>
      <c r="Q2" s="25" t="s">
        <v>64</v>
      </c>
      <c r="R2" s="5"/>
      <c r="S2" s="5"/>
      <c r="T2" s="2" t="s">
        <v>65</v>
      </c>
      <c r="U2" s="2" t="s">
        <v>66</v>
      </c>
      <c r="V2" s="28" t="s">
        <v>67</v>
      </c>
      <c r="W2" s="29" t="s">
        <v>68</v>
      </c>
      <c r="X2" s="30"/>
      <c r="Y2" s="5"/>
      <c r="Z2" s="5"/>
      <c r="AA2" s="5"/>
      <c r="AB2" s="5"/>
      <c r="AC2" s="5"/>
      <c r="AD2" s="5"/>
    </row>
    <row r="3">
      <c r="A3" s="31" t="s">
        <v>57</v>
      </c>
      <c r="B3" s="32" t="s">
        <v>69</v>
      </c>
      <c r="C3" s="31" t="s">
        <v>70</v>
      </c>
      <c r="D3" s="31" t="s">
        <v>71</v>
      </c>
      <c r="E3" s="31" t="s">
        <v>72</v>
      </c>
      <c r="F3" s="5"/>
      <c r="G3" s="5"/>
      <c r="H3" s="25"/>
      <c r="I3" s="5" t="str">
        <f t="array" ref="I3">LET(last_row,IFERROR(LOOKUP(2,1/('我的食材檔案'!J2:J1000&lt;&gt;""),ROW('我的食材檔案'!J2:J1000)),2),ing_r,INDIRECT("'我的食材檔案'!D2:D"&amp;last_row),ico_r,INDIRECT("'我的食材檔案'!A2:A"&amp;last_row),IFERROR(INDEX(ico_r,MATCH(H3,ing_r,0)),""))</f>
        <v/>
      </c>
      <c r="J3" s="4" t="s">
        <v>73</v>
      </c>
      <c r="K3" s="4" t="s">
        <v>74</v>
      </c>
      <c r="L3" s="33" t="s">
        <v>75</v>
      </c>
      <c r="M3" s="4" t="s">
        <v>56</v>
      </c>
      <c r="N3" s="34" t="s">
        <v>76</v>
      </c>
      <c r="O3" s="35" t="str">
        <f t="array" ref="O3">"幫獎："&amp; IFERROR(XLOOKUP(H8, T:T, U:U, "N/A"), "0")</f>
        <v>幫獎：1</v>
      </c>
      <c r="P3" s="4" t="s">
        <v>70</v>
      </c>
      <c r="Q3" s="4" t="str">
        <f>"倍率："&amp; $U$14</f>
        <v>倍率：0.1</v>
      </c>
      <c r="R3" s="5"/>
      <c r="S3" s="5"/>
      <c r="T3" s="1" t="str">
        <f t="array" ref="T3:T12">'我的食材隊檔案'!D35:D44</f>
        <v>覺醒力量濃湯</v>
      </c>
      <c r="U3" s="36">
        <f t="array" ref="U3:U12">'我的食材隊檔案'!F35:F44</f>
        <v>1</v>
      </c>
      <c r="V3" s="37">
        <f>IFERROR(O8, "")</f>
        <v>3.411418129</v>
      </c>
      <c r="W3" s="38">
        <f>IFERROR(R8, "")</f>
        <v>18438.46096</v>
      </c>
      <c r="X3" s="5"/>
      <c r="Y3" s="5"/>
      <c r="Z3" s="5"/>
      <c r="AA3" s="5"/>
      <c r="AB3" s="5"/>
      <c r="AC3" s="5"/>
      <c r="AD3" s="5"/>
    </row>
    <row r="4">
      <c r="A4" s="5">
        <f t="array" ref="A4">IFERROR(XLOOKUP($H8, '計算公式'!$B:$B, '計算公式'!E:E), "")</f>
        <v>1.769642857</v>
      </c>
      <c r="B4" s="5">
        <f t="array" ref="B4">IFERROR(XLOOKUP($H8, '計算公式'!$B:$B, '計算公式'!F:F), "")</f>
        <v>0.5650857719</v>
      </c>
      <c r="C4" s="5" t="str">
        <f t="array" ref="C4">IFERROR(XLOOKUP($H8, '計算公式'!$B:$B, '計算公式'!G:G), "")</f>
        <v>13h 33m</v>
      </c>
      <c r="D4" s="5">
        <f t="array" ref="D4">IFERROR(XLOOKUP($H$8, '計算公式'!$B:$B, '計算公式'!C:C), "")</f>
        <v>148.65</v>
      </c>
      <c r="E4" s="5">
        <f t="array" ref="E4">IFERROR(XLOOKUP($H8, '計算公式'!$B:$B, '計算公式'!D:D), "")</f>
        <v>84</v>
      </c>
      <c r="F4" s="5">
        <f t="array" ref="F4">IFERROR(XLOOKUP($G4, ing_name, ing_energy), "")</f>
        <v>100</v>
      </c>
      <c r="G4" s="5" t="str">
        <f t="array" ref="G4">IFERROR(XLOOKUP($H8, '食譜'!$B:$B, '食譜'!$J:$J), "")</f>
        <v>萌綠大豆</v>
      </c>
      <c r="H4" s="39" t="str">
        <f t="array" ref="H4">IFERROR(XLOOKUP(H8, '食譜'!B:B, '食譜'!A:A), "")</f>
        <v/>
      </c>
      <c r="I4" s="5" t="str">
        <f t="array" ref="I4">IFERROR(XLOOKUP($G4, ing_name, ing_ico), "")</f>
        <v/>
      </c>
      <c r="J4" s="5">
        <f t="array" ref="J4">IFERROR(XLOOKUP($H8, '食譜'!$B:$B, '食譜'!$K:$K), "")</f>
        <v>28</v>
      </c>
      <c r="K4" s="22">
        <f t="shared" ref="K4:K7" si="1">J4*F4/$G$8</f>
        <v>0.2365064617</v>
      </c>
      <c r="L4" s="23">
        <f t="array" ref="L4">IFERROR(XLOOKUP($G4, ing_name, my_prod), "")</f>
        <v>109.12</v>
      </c>
      <c r="M4" s="22">
        <f t="shared" ref="M4:M7" si="2">L4/E4</f>
        <v>1.299047619</v>
      </c>
      <c r="N4" s="24">
        <f t="shared" ref="N4:N7" si="3">E4/L4</f>
        <v>0.7697947214</v>
      </c>
      <c r="O4" s="40">
        <f t="array" ref="O4">N4/(1/(1-(0.05)*IFERROR(XLOOKUP($H8, $T:$T, $U:$U, "N/A"), "")))</f>
        <v>0.7313049853</v>
      </c>
      <c r="P4" s="5" t="str">
        <f t="shared" ref="P4:P8" si="4">IFERROR(INT(O4*24)&amp;"h "&amp;INT(MOD(O4*24,1)*60)&amp;"m", "")</f>
        <v>17h 33m</v>
      </c>
      <c r="Q4" s="5"/>
      <c r="R4" s="5"/>
      <c r="S4" s="5"/>
      <c r="T4" s="1" t="s">
        <v>37</v>
      </c>
      <c r="U4" s="36">
        <v>5.1</v>
      </c>
      <c r="V4" s="37">
        <f>IFERROR(O18, "")</f>
        <v>2.37627785</v>
      </c>
      <c r="W4" s="38">
        <f>IFERROR(R18, "")</f>
        <v>28684.14567</v>
      </c>
      <c r="X4" s="5"/>
      <c r="Y4" s="5"/>
      <c r="Z4" s="5"/>
      <c r="AA4" s="5"/>
      <c r="AB4" s="5"/>
      <c r="AC4" s="5"/>
      <c r="AD4" s="5"/>
    </row>
    <row r="5">
      <c r="A5" s="5">
        <f t="array" ref="A5">IFERROR(XLOOKUP($H$8, '計算公式'!$B:$B, '計算公式'!J:J), "")</f>
        <v>1.834133333</v>
      </c>
      <c r="B5" s="5">
        <f t="array" ref="B5">IFERROR(XLOOKUP($H$8, '計算公式'!$B:$B, '計算公式'!K:K), "")</f>
        <v>0.5452166327</v>
      </c>
      <c r="C5" s="5" t="str">
        <f t="array" ref="C5">IFERROR(XLOOKUP($H$8, '計算公式'!$B:$B, '計算公式'!L:L), "")</f>
        <v>13h 5m</v>
      </c>
      <c r="D5" s="5">
        <f t="array" ref="D5">IFERROR(XLOOKUP($H$8, '計算公式'!$B:$B, '計算公式'!H:H), "")</f>
        <v>137.56</v>
      </c>
      <c r="E5" s="5">
        <f t="array" ref="E5">IFERROR(XLOOKUP($H$8, '計算公式'!$B:$B, '計算公式'!I:I), "")</f>
        <v>75</v>
      </c>
      <c r="F5" s="5">
        <f t="array" ref="F5">IFERROR(XLOOKUP($G5, ing_name, ing_energy), "")</f>
        <v>110</v>
      </c>
      <c r="G5" s="5" t="str">
        <f t="array" ref="G5">IFERROR(XLOOKUP($H8, '食譜'!$B:$B, '食譜'!$L:$L), "")</f>
        <v>好眠番茄</v>
      </c>
      <c r="I5" s="5" t="str">
        <f t="array" ref="I5">IFERROR(XLOOKUP($G5, ing_name, ing_ico), "")</f>
        <v/>
      </c>
      <c r="J5" s="5">
        <f t="array" ref="J5">IFERROR(XLOOKUP($H8, '食譜'!$B:$B, '食譜'!$M:$M), "")</f>
        <v>25</v>
      </c>
      <c r="K5" s="22">
        <f t="shared" si="1"/>
        <v>0.232283132</v>
      </c>
      <c r="L5" s="23">
        <f t="array" ref="L5">IFERROR(XLOOKUP($G5, ing_name, my_prod), "")</f>
        <v>98.54</v>
      </c>
      <c r="M5" s="22">
        <f t="shared" si="2"/>
        <v>1.313866667</v>
      </c>
      <c r="N5" s="24">
        <f t="shared" si="3"/>
        <v>0.7611122387</v>
      </c>
      <c r="O5" s="40">
        <f t="array" ref="O5">N5/(1/(1-(0.05)*IFERROR(XLOOKUP($H8, $T:$T, $U:$U, "N/A"), "")))</f>
        <v>0.7230566268</v>
      </c>
      <c r="P5" s="5" t="str">
        <f t="shared" si="4"/>
        <v>17h 21m</v>
      </c>
      <c r="Q5" s="5"/>
      <c r="R5" s="5"/>
      <c r="S5" s="5"/>
      <c r="T5" s="1" t="s">
        <v>38</v>
      </c>
      <c r="U5" s="41">
        <v>1.0</v>
      </c>
      <c r="V5" s="37">
        <f>IFERROR(O28, "")</f>
        <v>2.761738352</v>
      </c>
      <c r="W5" s="38">
        <f>IFERROR(R28, "")</f>
        <v>29635.89941</v>
      </c>
      <c r="X5" s="5"/>
      <c r="Y5" s="5"/>
      <c r="Z5" s="5"/>
      <c r="AA5" s="5"/>
      <c r="AB5" s="5"/>
      <c r="AC5" s="5"/>
      <c r="AD5" s="5"/>
    </row>
    <row r="6">
      <c r="A6" s="5">
        <f t="array" ref="A6">IFERROR(XLOOKUP($H$8, '計算公式'!$B:$B, '計算公式'!O:O), "")</f>
        <v>1.343043478</v>
      </c>
      <c r="B6" s="5">
        <f t="array" ref="B6">IFERROR(XLOOKUP($H$8, '計算公式'!$B:$B, '計算公式'!P:P), "")</f>
        <v>0.7445775332</v>
      </c>
      <c r="C6" s="5" t="str">
        <f t="array" ref="C6">IFERROR(XLOOKUP($H$8, '計算公式'!$B:$B, '計算公式'!Q:Q), "")</f>
        <v>17h 52m</v>
      </c>
      <c r="D6" s="5">
        <f t="array" ref="D6">IFERROR(XLOOKUP($H$8, '計算公式'!$B:$B, '計算公式'!M:M), "")</f>
        <v>92.67</v>
      </c>
      <c r="E6" s="5">
        <f t="array" ref="E6">IFERROR(XLOOKUP($H$8, '計算公式'!$B:$B, '計算公式'!N:N), "")</f>
        <v>69</v>
      </c>
      <c r="F6" s="5">
        <f t="array" ref="F6">IFERROR(XLOOKUP($G6, ing_name, ing_energy), "")</f>
        <v>167</v>
      </c>
      <c r="G6" s="5" t="str">
        <f t="array" ref="G6">IFERROR(XLOOKUP($H8, '食譜'!$B:$B, '食譜'!$N:$N), "")</f>
        <v>品鮮蘑菇</v>
      </c>
      <c r="I6" s="5" t="str">
        <f t="array" ref="I6">IFERROR(XLOOKUP($G6, ing_name, ing_ico), "")</f>
        <v/>
      </c>
      <c r="J6" s="5">
        <f t="array" ref="J6">IFERROR(XLOOKUP($H8, '食譜'!$B:$B, '食譜'!$O:$O), "")</f>
        <v>23</v>
      </c>
      <c r="K6" s="22">
        <f t="shared" si="1"/>
        <v>0.3244361855</v>
      </c>
      <c r="L6" s="23">
        <f t="array" ref="L6">IFERROR(XLOOKUP($G6, ing_name, my_prod), "")</f>
        <v>46.76</v>
      </c>
      <c r="M6" s="22">
        <f t="shared" si="2"/>
        <v>0.6776811594</v>
      </c>
      <c r="N6" s="24">
        <f t="shared" si="3"/>
        <v>1.475620188</v>
      </c>
      <c r="O6" s="40">
        <f t="array" ref="O6">N6/(1/(1-(0.05)*IFERROR(XLOOKUP($H8, $T:$T, $U:$U, "N/A"), "")))</f>
        <v>1.401839179</v>
      </c>
      <c r="P6" s="5" t="str">
        <f t="shared" si="4"/>
        <v>33h 38m</v>
      </c>
      <c r="Q6" s="5"/>
      <c r="R6" s="5"/>
      <c r="S6" s="5"/>
      <c r="T6" s="1" t="s">
        <v>39</v>
      </c>
      <c r="U6" s="36">
        <v>0.0</v>
      </c>
      <c r="V6" s="37">
        <f>IFERROR(O38, "")</f>
        <v>2.515312538</v>
      </c>
      <c r="W6" s="38">
        <f>IFERROR(R38, "")</f>
        <v>33011.64318</v>
      </c>
      <c r="X6" s="5"/>
      <c r="Y6" s="5"/>
      <c r="Z6" s="5"/>
      <c r="AA6" s="5"/>
      <c r="AB6" s="5"/>
      <c r="AC6" s="5"/>
      <c r="AD6" s="5"/>
    </row>
    <row r="7">
      <c r="A7" s="5">
        <f t="array" ref="A7">IFERROR(XLOOKUP($H$8, '計算公式'!$B:$B, '計算公式'!T:T), "")</f>
        <v>2.378958333</v>
      </c>
      <c r="B7" s="5">
        <f t="array" ref="B7">IFERROR(XLOOKUP($H$8, '計算公式'!$B:$B, '計算公式'!U:U), "")</f>
        <v>0.4203520448</v>
      </c>
      <c r="C7" s="5" t="str">
        <f t="array" ref="C7">IFERROR(XLOOKUP($H$8, '計算公式'!$B:$B, '計算公式'!V:V), "")</f>
        <v>10h 5m</v>
      </c>
      <c r="D7" s="5">
        <f t="array" ref="D7">IFERROR(XLOOKUP($H$8, '計算公式'!$B:$B, '計算公式'!R:R), "")</f>
        <v>114.19</v>
      </c>
      <c r="E7" s="5">
        <f t="array" ref="E7">IFERROR(XLOOKUP($H$8, '計算公式'!$B:$B, '計算公式'!S:S), "")</f>
        <v>48</v>
      </c>
      <c r="F7" s="5">
        <f t="array" ref="F7">IFERROR(XLOOKUP($G7, ing_name, ing_energy), "")</f>
        <v>153</v>
      </c>
      <c r="G7" s="5" t="str">
        <f t="array" ref="G7">IFERROR(XLOOKUP($H8, '食譜'!$B:$B, '食譜'!P:P), "")</f>
        <v>醒腦咖啡豆</v>
      </c>
      <c r="I7" s="5" t="str">
        <f t="array" ref="I7">IFERROR(XLOOKUP($G7, ing_name, ing_ico), "")</f>
        <v/>
      </c>
      <c r="J7" s="5">
        <f t="array" ref="J7">IFERROR(XLOOKUP($H8, '食譜'!$B:$B, '食譜'!$Q:$Q), "")</f>
        <v>16</v>
      </c>
      <c r="K7" s="22">
        <f t="shared" si="1"/>
        <v>0.2067742208</v>
      </c>
      <c r="L7" s="23">
        <f t="array" ref="L7">IFERROR(XLOOKUP($G7, ing_name, my_prod), "")</f>
        <v>82.13</v>
      </c>
      <c r="M7" s="22">
        <f t="shared" si="2"/>
        <v>1.711041667</v>
      </c>
      <c r="N7" s="24">
        <f t="shared" si="3"/>
        <v>0.5844393035</v>
      </c>
      <c r="O7" s="40">
        <f t="array" ref="O7">N7/(1/(1-(0.05)*IFERROR(XLOOKUP($H8, $T:$T, $U:$U, "N/A"), "")))</f>
        <v>0.5552173384</v>
      </c>
      <c r="P7" s="5" t="str">
        <f t="shared" si="4"/>
        <v>13h 19m</v>
      </c>
      <c r="Q7" s="5"/>
      <c r="R7" s="5"/>
      <c r="S7" s="5"/>
      <c r="T7" s="1" t="s">
        <v>40</v>
      </c>
      <c r="U7" s="36">
        <v>1.0</v>
      </c>
      <c r="V7" s="37">
        <f>IFERROR(O48, "")</f>
        <v>2.988911193</v>
      </c>
      <c r="W7" s="38">
        <f>IFERROR(R48, "")</f>
        <v>21301.03435</v>
      </c>
      <c r="X7" s="5"/>
      <c r="Y7" s="5"/>
      <c r="Z7" s="5"/>
      <c r="AA7" s="5"/>
      <c r="AB7" s="5"/>
      <c r="AC7" s="5"/>
      <c r="AD7" s="5"/>
    </row>
    <row r="8">
      <c r="A8" s="5"/>
      <c r="B8" s="5"/>
      <c r="C8" s="5"/>
      <c r="D8" s="5"/>
      <c r="E8" s="5"/>
      <c r="F8" s="5"/>
      <c r="G8" s="5">
        <f t="array" ref="G8">IFERROR(XLOOKUP($H8, '食譜'!$B:$B, '食譜'!$G:$G), "")</f>
        <v>11839</v>
      </c>
      <c r="H8" s="30" t="str">
        <f>T3</f>
        <v>覺醒力量濃湯</v>
      </c>
      <c r="I8" s="5"/>
      <c r="J8" s="5">
        <f>SUM(J4:J7)</f>
        <v>92</v>
      </c>
      <c r="K8" s="42">
        <v>1.0</v>
      </c>
      <c r="L8" s="23" t="str">
        <f t="array" ref="L8">IFERROR(XLOOKUP($G8, ing_name, my_prod), "")</f>
        <v/>
      </c>
      <c r="M8" s="5"/>
      <c r="N8" s="24">
        <f>sum(N4:N7)</f>
        <v>3.590966452</v>
      </c>
      <c r="O8" s="43">
        <f>N8/(1/(1-(0.05)*U7))</f>
        <v>3.411418129</v>
      </c>
      <c r="P8" s="5" t="str">
        <f t="shared" si="4"/>
        <v>81h 52m</v>
      </c>
      <c r="Q8" s="23">
        <f t="array" ref="Q8">IFERROR(XLOOKUP($H8, '食譜'!$B:$B, '食譜'!$H:$H), "")*(3+U14*3)</f>
        <v>62901.3</v>
      </c>
      <c r="R8" s="38">
        <f>Q8/O8</f>
        <v>18438.46096</v>
      </c>
      <c r="S8" s="5"/>
      <c r="T8" s="1" t="s">
        <v>41</v>
      </c>
      <c r="U8" s="36">
        <v>2.0</v>
      </c>
      <c r="V8" s="37">
        <f>IFERROR(O58, "")</f>
        <v>3.134078909</v>
      </c>
      <c r="W8" s="38">
        <f>IFERROR(R58, "")</f>
        <v>21288.35997</v>
      </c>
      <c r="X8" s="5"/>
      <c r="Y8" s="5"/>
      <c r="Z8" s="5"/>
      <c r="AA8" s="5"/>
      <c r="AB8" s="5"/>
      <c r="AC8" s="5"/>
      <c r="AD8" s="5"/>
    </row>
    <row r="9">
      <c r="A9" s="5"/>
      <c r="B9" s="5"/>
      <c r="C9" s="5"/>
      <c r="D9" s="5"/>
      <c r="E9" s="5"/>
      <c r="F9" s="5"/>
      <c r="G9" s="5"/>
      <c r="H9" s="5" t="str">
        <f t="array" ref="H9">"料理能量："&amp;IFERROR(XLOOKUP($H8, '食譜'!$B:$B, '食譜'!$H:$H), "")</f>
        <v>料理能量：19061</v>
      </c>
      <c r="I9" s="5"/>
      <c r="J9" s="5"/>
      <c r="K9" s="5"/>
      <c r="L9" s="23"/>
      <c r="M9" s="5"/>
      <c r="N9" s="34" t="s">
        <v>77</v>
      </c>
      <c r="O9" s="4" t="s">
        <v>78</v>
      </c>
      <c r="P9" s="4" t="s">
        <v>79</v>
      </c>
      <c r="Q9" s="4" t="s">
        <v>80</v>
      </c>
      <c r="R9" s="4" t="s">
        <v>68</v>
      </c>
      <c r="S9" s="5"/>
      <c r="T9" s="1" t="s">
        <v>42</v>
      </c>
      <c r="U9" s="36">
        <v>1.0</v>
      </c>
      <c r="V9" s="37">
        <f>IFERROR(O68, "")</f>
        <v>3.084525735</v>
      </c>
      <c r="W9" s="38">
        <f>IFERROR(R68, "")</f>
        <v>27264.22381</v>
      </c>
      <c r="X9" s="5"/>
      <c r="Y9" s="5"/>
      <c r="Z9" s="5"/>
      <c r="AA9" s="5"/>
      <c r="AB9" s="5"/>
      <c r="AC9" s="5"/>
      <c r="AD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23"/>
      <c r="M10" s="24"/>
      <c r="N10" s="5"/>
      <c r="O10" s="5"/>
      <c r="P10" s="5"/>
      <c r="Q10" s="5"/>
      <c r="R10" s="5"/>
      <c r="S10" s="5"/>
      <c r="T10" s="1" t="s">
        <v>43</v>
      </c>
      <c r="U10" s="36">
        <v>2.0</v>
      </c>
      <c r="V10" s="37">
        <f>IFERROR(O78, "")</f>
        <v>50.19869713</v>
      </c>
      <c r="W10" s="38">
        <f>IFERROR(R78, "")</f>
        <v>1601.001711</v>
      </c>
      <c r="X10" s="5"/>
      <c r="Y10" s="5"/>
      <c r="Z10" s="5"/>
      <c r="AA10" s="5"/>
      <c r="AB10" s="5"/>
      <c r="AC10" s="5"/>
      <c r="AD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23"/>
      <c r="M11" s="24"/>
      <c r="N11" s="5"/>
      <c r="O11" s="5"/>
      <c r="P11" s="5"/>
      <c r="Q11" s="5"/>
      <c r="R11" s="5"/>
      <c r="S11" s="5"/>
      <c r="T11" s="1" t="s">
        <v>44</v>
      </c>
      <c r="U11" s="36">
        <v>0.0</v>
      </c>
      <c r="V11" s="37">
        <f>IFERROR(O88, "")</f>
        <v>2.959920374</v>
      </c>
      <c r="W11" s="38">
        <f>IFERROR(R88, "")</f>
        <v>23284.57907</v>
      </c>
      <c r="X11" s="5"/>
      <c r="Y11" s="5"/>
      <c r="Z11" s="5"/>
      <c r="AA11" s="5"/>
      <c r="AB11" s="5"/>
      <c r="AC11" s="5"/>
      <c r="AD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25" t="s">
        <v>58</v>
      </c>
      <c r="L12" s="26" t="s">
        <v>59</v>
      </c>
      <c r="M12" s="25" t="s">
        <v>60</v>
      </c>
      <c r="N12" s="27" t="s">
        <v>61</v>
      </c>
      <c r="O12" s="25" t="s">
        <v>62</v>
      </c>
      <c r="P12" s="4" t="s">
        <v>63</v>
      </c>
      <c r="Q12" s="25" t="s">
        <v>64</v>
      </c>
      <c r="R12" s="5"/>
      <c r="S12" s="5"/>
      <c r="T12" s="1" t="s">
        <v>45</v>
      </c>
      <c r="U12" s="36">
        <v>0.0</v>
      </c>
      <c r="V12" s="37">
        <f>IFERROR(O98, "")</f>
        <v>3.761585967</v>
      </c>
      <c r="W12" s="38">
        <f>IFERROR(R98, "")</f>
        <v>15347.30311</v>
      </c>
      <c r="X12" s="5"/>
      <c r="Y12" s="5"/>
      <c r="Z12" s="5"/>
      <c r="AA12" s="5"/>
      <c r="AB12" s="5"/>
      <c r="AC12" s="5"/>
      <c r="AD12" s="5"/>
    </row>
    <row r="13">
      <c r="A13" s="31" t="s">
        <v>57</v>
      </c>
      <c r="B13" s="32" t="s">
        <v>69</v>
      </c>
      <c r="C13" s="31" t="s">
        <v>70</v>
      </c>
      <c r="D13" s="31" t="s">
        <v>71</v>
      </c>
      <c r="E13" s="31" t="s">
        <v>72</v>
      </c>
      <c r="F13" s="5"/>
      <c r="G13" s="5"/>
      <c r="H13" s="25"/>
      <c r="I13" s="5" t="str">
        <f t="array" ref="I13">LET(last_row,IFERROR(LOOKUP(2,1/('我的食材檔案'!J12:J1010&lt;&gt;""),ROW('我的食材檔案'!J12:J1010)),2),ing_r,INDIRECT("'我的食材檔案'!D2:D"&amp;last_row),ico_r,INDIRECT("'我的食材檔案'!A2:A"&amp;last_row),IFERROR(INDEX(ico_r,MATCH(H13,ing_r,0)),""))</f>
        <v/>
      </c>
      <c r="J13" s="4" t="s">
        <v>73</v>
      </c>
      <c r="K13" s="4" t="s">
        <v>74</v>
      </c>
      <c r="L13" s="33" t="s">
        <v>75</v>
      </c>
      <c r="M13" s="4" t="s">
        <v>56</v>
      </c>
      <c r="N13" s="34" t="s">
        <v>76</v>
      </c>
      <c r="O13" s="35" t="str">
        <f t="array" ref="O13">"幫獎："&amp; IFERROR(XLOOKUP(H18, T:T, U:U, "N/A"), "0")</f>
        <v>幫獎：5.1</v>
      </c>
      <c r="P13" s="4" t="s">
        <v>70</v>
      </c>
      <c r="Q13" s="4" t="str">
        <f>"倍率："&amp; $U$14</f>
        <v>倍率：0.1</v>
      </c>
      <c r="R13" s="5"/>
      <c r="S13" s="5"/>
      <c r="T13" s="5"/>
      <c r="U13" s="5"/>
      <c r="V13" s="5"/>
      <c r="W13" s="23"/>
      <c r="X13" s="5"/>
      <c r="Y13" s="5"/>
      <c r="Z13" s="5"/>
      <c r="AA13" s="5"/>
      <c r="AB13" s="5"/>
      <c r="AC13" s="5"/>
      <c r="AD13" s="5"/>
    </row>
    <row r="14">
      <c r="A14" s="5">
        <f t="array" ref="A14">IFERROR(XLOOKUP($H18, '計算公式'!$B:$B, '計算公式'!E:E), "")</f>
        <v>1.084074074</v>
      </c>
      <c r="B14" s="5">
        <f t="array" ref="B14">IFERROR(XLOOKUP($H18, '計算公式'!$B:$B, '計算公式'!F:F), "")</f>
        <v>0.9224461906</v>
      </c>
      <c r="C14" s="5" t="str">
        <f t="array" ref="C14">IFERROR(XLOOKUP($H18, '計算公式'!$B:$B, '計算公式'!G:G), "")</f>
        <v>22h 8m</v>
      </c>
      <c r="D14" s="5">
        <f t="array" ref="D14">IFERROR(XLOOKUP($H$8, '計算公式'!$B:$B, '計算公式'!C:C), "")</f>
        <v>148.65</v>
      </c>
      <c r="E14" s="5">
        <f t="array" ref="E14">IFERROR(XLOOKUP($H18, '計算公式'!$B:$B, '計算公式'!D:D), "")</f>
        <v>81</v>
      </c>
      <c r="F14" s="5">
        <f t="array" ref="F14">IFERROR(XLOOKUP($G14, ing_name, ing_energy), "")</f>
        <v>185</v>
      </c>
      <c r="G14" s="5" t="str">
        <f t="array" ref="G14">IFERROR(XLOOKUP($H18, '食譜'!$B:$B, '食譜'!$J:$J), "")</f>
        <v>粗枝大蔥</v>
      </c>
      <c r="H14" s="44" t="str">
        <f t="array" ref="H14">IFERROR(XLOOKUP(H18, '食譜'!B:B, '食譜'!A:A), "")</f>
        <v/>
      </c>
      <c r="I14" s="5" t="str">
        <f t="array" ref="I14">IFERROR(XLOOKUP($G14, ing_name, ing_ico), "")</f>
        <v/>
      </c>
      <c r="J14" s="5">
        <f t="array" ref="J14">IFERROR(XLOOKUP($H18, '食譜'!$B:$B, '食譜'!$K:$K), "")</f>
        <v>27</v>
      </c>
      <c r="K14" s="22">
        <f t="shared" ref="K14:K17" si="5">J14*F14/$G$8</f>
        <v>0.4219106343</v>
      </c>
      <c r="L14" s="23">
        <f t="array" ref="L14">IFERROR(XLOOKUP($G14, ing_name, my_prod), "")</f>
        <v>54.58</v>
      </c>
      <c r="M14" s="22">
        <f t="shared" ref="M14:M17" si="6">L14/E14</f>
        <v>0.6738271605</v>
      </c>
      <c r="N14" s="24">
        <f t="shared" ref="N14:N17" si="7">E14/L14</f>
        <v>1.484060095</v>
      </c>
      <c r="O14" s="40">
        <f t="array" ref="O14">N14/(1/(1-(0.05)*IFERROR(XLOOKUP($H18, $T:$T, $U:$U, "N/A"), "")))</f>
        <v>1.105624771</v>
      </c>
      <c r="P14" s="5" t="str">
        <f t="shared" ref="P14:P18" si="8">IFERROR(INT(O14*24)&amp;"h "&amp;INT(MOD(O14*24,1)*60)&amp;"m", "")</f>
        <v>26h 32m</v>
      </c>
      <c r="Q14" s="5"/>
      <c r="R14" s="5"/>
      <c r="S14" s="5"/>
      <c r="T14" s="2" t="s">
        <v>81</v>
      </c>
      <c r="U14" s="19">
        <v>0.1</v>
      </c>
      <c r="V14" s="28" t="s">
        <v>82</v>
      </c>
      <c r="W14" s="29" t="s">
        <v>68</v>
      </c>
      <c r="X14" s="5"/>
      <c r="Y14" s="5"/>
      <c r="Z14" s="5"/>
      <c r="AA14" s="5"/>
      <c r="AB14" s="5"/>
      <c r="AC14" s="5"/>
      <c r="AD14" s="5"/>
    </row>
    <row r="15">
      <c r="A15" s="5">
        <f t="array" ref="A15">IFERROR(XLOOKUP($H$8, '計算公式'!$B:$B, '計算公式'!J:J), "")</f>
        <v>1.834133333</v>
      </c>
      <c r="B15" s="5">
        <f t="array" ref="B15">IFERROR(XLOOKUP($H$8, '計算公式'!$B:$B, '計算公式'!K:K), "")</f>
        <v>0.5452166327</v>
      </c>
      <c r="C15" s="5" t="str">
        <f t="array" ref="C15">IFERROR(XLOOKUP($H$8, '計算公式'!$B:$B, '計算公式'!L:L), "")</f>
        <v>13h 5m</v>
      </c>
      <c r="D15" s="5">
        <f t="array" ref="D15">IFERROR(XLOOKUP($H$8, '計算公式'!$B:$B, '計算公式'!H:H), "")</f>
        <v>137.56</v>
      </c>
      <c r="E15" s="5">
        <f t="array" ref="E15">IFERROR(XLOOKUP($H$8, '計算公式'!$B:$B, '計算公式'!I:I), "")</f>
        <v>75</v>
      </c>
      <c r="F15" s="5">
        <f t="array" ref="F15">IFERROR(XLOOKUP($G15, ing_name, ing_energy), "")</f>
        <v>103</v>
      </c>
      <c r="G15" s="5" t="str">
        <f t="array" ref="G15">IFERROR(XLOOKUP($H18, '食譜'!$B:$B, '食譜'!$L:$L), "")</f>
        <v>豆製肉</v>
      </c>
      <c r="I15" s="5" t="str">
        <f t="array" ref="I15">IFERROR(XLOOKUP($G15, ing_name, ing_ico), "")</f>
        <v/>
      </c>
      <c r="J15" s="5">
        <f t="array" ref="J15">IFERROR(XLOOKUP($H18, '食譜'!$B:$B, '食譜'!$M:$M), "")</f>
        <v>26</v>
      </c>
      <c r="K15" s="22">
        <f t="shared" si="5"/>
        <v>0.2262015373</v>
      </c>
      <c r="L15" s="23">
        <f t="array" ref="L15">IFERROR(XLOOKUP($G15, ing_name, my_prod), "")</f>
        <v>105.53</v>
      </c>
      <c r="M15" s="22">
        <f t="shared" si="6"/>
        <v>1.407066667</v>
      </c>
      <c r="N15" s="24">
        <f t="shared" si="7"/>
        <v>0.7106983796</v>
      </c>
      <c r="O15" s="40">
        <f t="array" ref="O15">N15/(1/(1-(0.05)*IFERROR(XLOOKUP($H18, $T:$T, $U:$U, "N/A"), "")))</f>
        <v>0.5294702928</v>
      </c>
      <c r="P15" s="5" t="str">
        <f t="shared" si="8"/>
        <v>12h 42m</v>
      </c>
      <c r="Q15" s="5"/>
      <c r="R15" s="5"/>
      <c r="S15" s="5"/>
      <c r="T15" s="5"/>
      <c r="U15" s="5"/>
      <c r="V15" s="37">
        <f t="array" ref="V15">IFERROR(XLOOKUP($T3, '計算公式'!$B:$B, '計算公式'!X:X), "")</f>
        <v>2.275231983</v>
      </c>
      <c r="W15" s="38">
        <f>IFERROR(Q8, "")/V15</f>
        <v>27646.10399</v>
      </c>
      <c r="X15" s="5"/>
      <c r="Y15" s="5"/>
      <c r="Z15" s="5"/>
      <c r="AA15" s="5"/>
      <c r="AB15" s="5"/>
      <c r="AC15" s="5"/>
      <c r="AD15" s="5"/>
    </row>
    <row r="16">
      <c r="A16" s="5">
        <f t="array" ref="A16">IFERROR(XLOOKUP($H$8, '計算公式'!$B:$B, '計算公式'!O:O), "")</f>
        <v>1.343043478</v>
      </c>
      <c r="B16" s="5">
        <f t="array" ref="B16">IFERROR(XLOOKUP($H$8, '計算公式'!$B:$B, '計算公式'!P:P), "")</f>
        <v>0.7445775332</v>
      </c>
      <c r="C16" s="5" t="str">
        <f t="array" ref="C16">IFERROR(XLOOKUP($H$8, '計算公式'!$B:$B, '計算公式'!Q:Q), "")</f>
        <v>17h 52m</v>
      </c>
      <c r="D16" s="5">
        <f t="array" ref="D16">IFERROR(XLOOKUP($H$8, '計算公式'!$B:$B, '計算公式'!M:M), "")</f>
        <v>92.67</v>
      </c>
      <c r="E16" s="5">
        <f t="array" ref="E16">IFERROR(XLOOKUP($H$8, '計算公式'!$B:$B, '計算公式'!N:N), "")</f>
        <v>69</v>
      </c>
      <c r="F16" s="5">
        <f t="array" ref="F16">IFERROR(XLOOKUP($G16, ing_name, ing_energy), "")</f>
        <v>101</v>
      </c>
      <c r="G16" s="5" t="str">
        <f t="array" ref="G16">IFERROR(XLOOKUP($H18, '食譜'!$B:$B, '食譜'!$N:$N), "")</f>
        <v>甜甜蜜</v>
      </c>
      <c r="I16" s="5" t="str">
        <f t="array" ref="I16">IFERROR(XLOOKUP($G16, ing_name, ing_ico), "")</f>
        <v/>
      </c>
      <c r="J16" s="5">
        <f t="array" ref="J16">IFERROR(XLOOKUP($H18, '食譜'!$B:$B, '食譜'!$O:$O), "")</f>
        <v>26</v>
      </c>
      <c r="K16" s="22">
        <f t="shared" si="5"/>
        <v>0.2218092744</v>
      </c>
      <c r="L16" s="23">
        <f t="array" ref="L16">IFERROR(XLOOKUP($G16, ing_name, my_prod), "")</f>
        <v>146.31</v>
      </c>
      <c r="M16" s="22">
        <f t="shared" si="6"/>
        <v>2.120434783</v>
      </c>
      <c r="N16" s="24">
        <f t="shared" si="7"/>
        <v>0.4716013943</v>
      </c>
      <c r="O16" s="40">
        <f t="array" ref="O16">N16/(1/(1-(0.05)*IFERROR(XLOOKUP($H18, $T:$T, $U:$U, "N/A"), "")))</f>
        <v>0.3513430388</v>
      </c>
      <c r="P16" s="5" t="str">
        <f t="shared" si="8"/>
        <v>8h 25m</v>
      </c>
      <c r="Q16" s="5"/>
      <c r="R16" s="5"/>
      <c r="S16" s="5"/>
      <c r="T16" s="5"/>
      <c r="U16" s="5"/>
      <c r="V16" s="37">
        <f t="array" ref="V16">IFERROR(XLOOKUP($T4, '計算公式'!$B:$B, '計算公式'!X:X), "")</f>
        <v>2.434365074</v>
      </c>
      <c r="W16" s="38">
        <f>IFERROR(Q18, "")/V15</f>
        <v>29958.04407</v>
      </c>
      <c r="X16" s="5"/>
      <c r="Y16" s="5"/>
      <c r="Z16" s="5"/>
      <c r="AA16" s="5"/>
      <c r="AB16" s="5"/>
      <c r="AC16" s="5"/>
      <c r="AD16" s="5"/>
    </row>
    <row r="17">
      <c r="A17" s="5">
        <f t="array" ref="A17">IFERROR(XLOOKUP($H$8, '計算公式'!$B:$B, '計算公式'!T:T), "")</f>
        <v>2.378958333</v>
      </c>
      <c r="B17" s="5">
        <f t="array" ref="B17">IFERROR(XLOOKUP($H$8, '計算公式'!$B:$B, '計算公式'!U:U), "")</f>
        <v>0.4203520448</v>
      </c>
      <c r="C17" s="5" t="str">
        <f t="array" ref="C17">IFERROR(XLOOKUP($H$8, '計算公式'!$B:$B, '計算公式'!V:V), "")</f>
        <v>10h 5m</v>
      </c>
      <c r="D17" s="5">
        <f t="array" ref="D17">IFERROR(XLOOKUP($H$8, '計算公式'!$B:$B, '計算公式'!R:R), "")</f>
        <v>114.19</v>
      </c>
      <c r="E17" s="5">
        <f t="array" ref="E17">IFERROR(XLOOKUP($H$8, '計算公式'!$B:$B, '計算公式'!S:S), "")</f>
        <v>48</v>
      </c>
      <c r="F17" s="5">
        <f t="array" ref="F17">IFERROR(XLOOKUP($G17, ing_name, ing_energy), "")</f>
        <v>115</v>
      </c>
      <c r="G17" s="5" t="str">
        <f t="array" ref="G17">IFERROR(XLOOKUP($H18, '食譜'!$B:$B, '食譜'!P:P), "")</f>
        <v>特選蛋</v>
      </c>
      <c r="I17" s="5" t="str">
        <f t="array" ref="I17">IFERROR(XLOOKUP($G17, ing_name, ing_ico), "")</f>
        <v/>
      </c>
      <c r="J17" s="5">
        <f t="array" ref="J17">IFERROR(XLOOKUP($H18, '食譜'!$B:$B, '食譜'!$Q:$Q), "")</f>
        <v>22</v>
      </c>
      <c r="K17" s="22">
        <f t="shared" si="5"/>
        <v>0.2137004815</v>
      </c>
      <c r="L17" s="23">
        <f t="array" ref="L17">IFERROR(XLOOKUP($G17, ing_name, my_prod), "")</f>
        <v>91.73</v>
      </c>
      <c r="M17" s="22">
        <f t="shared" si="6"/>
        <v>1.911041667</v>
      </c>
      <c r="N17" s="24">
        <f t="shared" si="7"/>
        <v>0.5232748283</v>
      </c>
      <c r="O17" s="40">
        <f t="array" ref="O17">N17/(1/(1-(0.05)*IFERROR(XLOOKUP($H18, $T:$T, $U:$U, "N/A"), "")))</f>
        <v>0.3898397471</v>
      </c>
      <c r="P17" s="5" t="str">
        <f t="shared" si="8"/>
        <v>9h 21m</v>
      </c>
      <c r="Q17" s="5"/>
      <c r="R17" s="5"/>
      <c r="S17" s="5"/>
      <c r="T17" s="5"/>
      <c r="U17" s="5"/>
      <c r="V17" s="37">
        <f t="array" ref="V17">IFERROR(XLOOKUP($T5, '計算公式'!$B:$B, '計算公式'!X:X), "")</f>
        <v>2.747221152</v>
      </c>
      <c r="W17" s="38">
        <f>IFERROR(Q28, "")/V15</f>
        <v>35972.8593</v>
      </c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>
        <f t="array" ref="G18">IFERROR(XLOOKUP($H18, '食譜'!$B:$B, '食譜'!$G:$G), "")</f>
        <v>12829</v>
      </c>
      <c r="H18" s="25" t="str">
        <f>T4</f>
        <v>居合斬壽喜燒咖哩</v>
      </c>
      <c r="I18" s="5"/>
      <c r="J18" s="5">
        <f>SUM(J14:J17)</f>
        <v>101</v>
      </c>
      <c r="K18" s="42">
        <v>1.0</v>
      </c>
      <c r="L18" s="23" t="str">
        <f t="array" ref="L18">IFERROR(XLOOKUP($G18, ing_name, my_prod), "")</f>
        <v/>
      </c>
      <c r="M18" s="5"/>
      <c r="N18" s="24">
        <f>sum(N14:N17)</f>
        <v>3.189634697</v>
      </c>
      <c r="O18" s="43">
        <f>N18/(1/(1-(0.05)*U4))</f>
        <v>2.37627785</v>
      </c>
      <c r="P18" s="5" t="str">
        <f t="shared" si="8"/>
        <v>57h 1m</v>
      </c>
      <c r="Q18" s="23">
        <f t="array" ref="Q18">IFERROR(XLOOKUP($H18, '食譜'!$B:$B, '食譜'!$H:$H), "")*(3+U14*3)</f>
        <v>68161.5</v>
      </c>
      <c r="R18" s="38">
        <f>Q18/O18</f>
        <v>28684.14567</v>
      </c>
      <c r="S18" s="5"/>
      <c r="T18" s="5"/>
      <c r="U18" s="5"/>
      <c r="V18" s="37">
        <f t="array" ref="V18">IFERROR(XLOOKUP($T6, '計算公式'!$B:$B, '計算公式'!X:X), "")</f>
        <v>2.330214473</v>
      </c>
      <c r="W18" s="38">
        <f>IFERROR(Q38, "")/V15</f>
        <v>36495.00386</v>
      </c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 t="str">
        <f t="array" ref="H19">"料理能量："&amp;IFERROR(XLOOKUP($H18, '食譜'!$B:$B, '食譜'!$H:$H), "")</f>
        <v>料理能量：20655</v>
      </c>
      <c r="I19" s="5"/>
      <c r="J19" s="5"/>
      <c r="K19" s="5"/>
      <c r="L19" s="23"/>
      <c r="M19" s="5"/>
      <c r="N19" s="34" t="s">
        <v>77</v>
      </c>
      <c r="O19" s="4" t="s">
        <v>78</v>
      </c>
      <c r="P19" s="4" t="s">
        <v>79</v>
      </c>
      <c r="Q19" s="4" t="s">
        <v>80</v>
      </c>
      <c r="R19" s="4" t="s">
        <v>68</v>
      </c>
      <c r="S19" s="5"/>
      <c r="T19" s="5"/>
      <c r="U19" s="5"/>
      <c r="V19" s="37">
        <f t="array" ref="V19">IFERROR(XLOOKUP($T7, '計算公式'!$B:$B, '計算公式'!X:X), "")</f>
        <v>2.173504441</v>
      </c>
      <c r="W19" s="38">
        <f>IFERROR(Q48, "")/V15</f>
        <v>27982.59715</v>
      </c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23"/>
      <c r="M20" s="24"/>
      <c r="N20" s="5"/>
      <c r="O20" s="5"/>
      <c r="P20" s="5"/>
      <c r="Q20" s="5"/>
      <c r="R20" s="5"/>
      <c r="S20" s="5"/>
      <c r="T20" s="5"/>
      <c r="U20" s="5"/>
      <c r="V20" s="37">
        <f t="array" ref="V20">IFERROR(XLOOKUP($T8, '計算公式'!$B:$B, '計算公式'!X:X), "")</f>
        <v>2.411167983</v>
      </c>
      <c r="W20" s="38">
        <f>IFERROR(Q58, "")/V15</f>
        <v>29324.21859</v>
      </c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23"/>
      <c r="M21" s="24"/>
      <c r="N21" s="5"/>
      <c r="O21" s="5"/>
      <c r="P21" s="5"/>
      <c r="Q21" s="5"/>
      <c r="R21" s="5"/>
      <c r="S21" s="5"/>
      <c r="T21" s="5"/>
      <c r="U21" s="5"/>
      <c r="V21" s="37">
        <f t="array" ref="V21">IFERROR(XLOOKUP($T9, '計算公式'!$B:$B, '計算公式'!X:X), "")</f>
        <v>2.747047552</v>
      </c>
      <c r="W21" s="38">
        <f>IFERROR(Q68, "")/V15</f>
        <v>36962.03316</v>
      </c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25" t="s">
        <v>58</v>
      </c>
      <c r="L22" s="26" t="s">
        <v>59</v>
      </c>
      <c r="M22" s="25" t="s">
        <v>60</v>
      </c>
      <c r="N22" s="27" t="s">
        <v>61</v>
      </c>
      <c r="O22" s="25" t="s">
        <v>62</v>
      </c>
      <c r="P22" s="4" t="s">
        <v>63</v>
      </c>
      <c r="Q22" s="25" t="s">
        <v>64</v>
      </c>
      <c r="R22" s="5"/>
      <c r="S22" s="5"/>
      <c r="T22" s="5"/>
      <c r="U22" s="5"/>
      <c r="V22" s="37">
        <f t="array" ref="V22">IFERROR(XLOOKUP($T10, '計算公式'!$B:$B, '計算公式'!X:X), "")</f>
        <v>2.66769622</v>
      </c>
      <c r="W22" s="38">
        <f>IFERROR(Q78, "")/V15</f>
        <v>35323.07941</v>
      </c>
      <c r="X22" s="5"/>
      <c r="Y22" s="5"/>
      <c r="Z22" s="5"/>
      <c r="AA22" s="5"/>
      <c r="AB22" s="5"/>
      <c r="AC22" s="5"/>
      <c r="AD22" s="5"/>
    </row>
    <row r="23">
      <c r="A23" s="31" t="s">
        <v>57</v>
      </c>
      <c r="B23" s="32" t="s">
        <v>69</v>
      </c>
      <c r="C23" s="31" t="s">
        <v>70</v>
      </c>
      <c r="D23" s="31" t="s">
        <v>71</v>
      </c>
      <c r="E23" s="31" t="s">
        <v>72</v>
      </c>
      <c r="F23" s="5"/>
      <c r="G23" s="5"/>
      <c r="H23" s="25"/>
      <c r="I23" s="5" t="str">
        <f t="array" ref="I23">LET(last_row,IFERROR(LOOKUP(2,1/('我的食材檔案'!J22:J1020&lt;&gt;""),ROW('我的食材檔案'!J22:J1020)),2),ing_r,INDIRECT("'我的食材檔案'!D2:D"&amp;last_row),ico_r,INDIRECT("'我的食材檔案'!A2:A"&amp;last_row),IFERROR(INDEX(ico_r,MATCH(H23,ing_r,0)),""))</f>
        <v/>
      </c>
      <c r="J23" s="4" t="s">
        <v>73</v>
      </c>
      <c r="K23" s="4" t="s">
        <v>74</v>
      </c>
      <c r="L23" s="33" t="s">
        <v>75</v>
      </c>
      <c r="M23" s="4" t="s">
        <v>56</v>
      </c>
      <c r="N23" s="34" t="s">
        <v>76</v>
      </c>
      <c r="O23" s="35" t="str">
        <f t="array" ref="O23">"幫獎："&amp; IFERROR(XLOOKUP(H28, T:T, U:U, "N/A"), "0")</f>
        <v>幫獎：1</v>
      </c>
      <c r="P23" s="4" t="s">
        <v>70</v>
      </c>
      <c r="Q23" s="4" t="str">
        <f>"倍率："&amp; $U$14</f>
        <v>倍率：0.1</v>
      </c>
      <c r="R23" s="5"/>
      <c r="S23" s="5"/>
      <c r="T23" s="5"/>
      <c r="U23" s="5"/>
      <c r="V23" s="37">
        <f t="array" ref="V23">IFERROR(XLOOKUP($T11, '計算公式'!$B:$B, '計算公式'!X:X), "")</f>
        <v>2.447360308</v>
      </c>
      <c r="W23" s="38">
        <f>IFERROR(Q88, "")/V15</f>
        <v>30291.63642</v>
      </c>
      <c r="X23" s="5"/>
      <c r="Y23" s="5"/>
      <c r="Z23" s="5"/>
      <c r="AA23" s="5"/>
      <c r="AB23" s="5"/>
      <c r="AC23" s="5"/>
      <c r="AD23" s="5"/>
    </row>
    <row r="24">
      <c r="A24" s="5">
        <f t="array" ref="A24">IFERROR(XLOOKUP($H28, '計算公式'!$B:$B, '計算公式'!E:E), "")</f>
        <v>1.600454545</v>
      </c>
      <c r="B24" s="5">
        <f t="array" ref="B24">IFERROR(XLOOKUP($H28, '計算公式'!$B:$B, '計算公式'!F:F), "")</f>
        <v>0.6248224936</v>
      </c>
      <c r="C24" s="5" t="str">
        <f t="array" ref="C24">IFERROR(XLOOKUP($H28, '計算公式'!$B:$B, '計算公式'!G:G), "")</f>
        <v>14h 59m</v>
      </c>
      <c r="D24" s="5">
        <f t="array" ref="D24">IFERROR(XLOOKUP($H$8, '計算公式'!$B:$B, '計算公式'!C:C), "")</f>
        <v>148.65</v>
      </c>
      <c r="E24" s="5">
        <f t="array" ref="E24">IFERROR(XLOOKUP($H28, '計算公式'!$B:$B, '計算公式'!D:D), "")</f>
        <v>66</v>
      </c>
      <c r="F24" s="5">
        <f t="array" ref="F24">IFERROR(XLOOKUP($G24, ing_name, ing_energy), "")</f>
        <v>162</v>
      </c>
      <c r="G24" s="5" t="str">
        <f t="array" ref="G24">IFERROR(XLOOKUP($H28, '食譜'!$B:$B, '食譜'!$J:$J), "")</f>
        <v>嫩亮酪梨</v>
      </c>
      <c r="H24" s="44" t="str">
        <f t="array" ref="H24">IFERROR(XLOOKUP(H28, '食譜'!B:B, '食譜'!A:A), "")</f>
        <v/>
      </c>
      <c r="I24" s="5" t="str">
        <f t="array" ref="I24">IFERROR(XLOOKUP($G24, ing_name, ing_ico), "")</f>
        <v/>
      </c>
      <c r="J24" s="5">
        <f t="array" ref="J24">IFERROR(XLOOKUP($H28, '食譜'!$B:$B, '食譜'!$K:$K), "")</f>
        <v>22</v>
      </c>
      <c r="K24" s="22">
        <f t="shared" ref="K24:K27" si="9">J24*F24/$G$8</f>
        <v>0.3010389391</v>
      </c>
      <c r="L24" s="23">
        <f t="array" ref="L24">IFERROR(XLOOKUP($G24, ing_name, my_prod), "")</f>
        <v>100</v>
      </c>
      <c r="M24" s="22">
        <f t="shared" ref="M24:M27" si="10">L24/E24</f>
        <v>1.515151515</v>
      </c>
      <c r="N24" s="24">
        <f t="shared" ref="N24:N27" si="11">E24/L24</f>
        <v>0.66</v>
      </c>
      <c r="O24" s="40">
        <f t="array" ref="O24">N24/(1/(1-(0.05)*IFERROR(XLOOKUP($H28, $T:$T, $U:$U, "N/A"), "")))</f>
        <v>0.627</v>
      </c>
      <c r="P24" s="5" t="str">
        <f t="shared" ref="P24:P28" si="12">IFERROR(INT(O24*24)&amp;"h "&amp;INT(MOD(O24*24,1)*60)&amp;"m", "")</f>
        <v>15h 2m</v>
      </c>
      <c r="Q24" s="5"/>
      <c r="R24" s="5"/>
      <c r="S24" s="5"/>
      <c r="T24" s="5"/>
      <c r="U24" s="5"/>
      <c r="V24" s="37">
        <f t="array" ref="V24">IFERROR(XLOOKUP($T12, '計算公式'!$B:$B, '計算公式'!X:X), "")</f>
        <v>2.00980845</v>
      </c>
      <c r="W24" s="38">
        <f>IFERROR(Q98, "")/V15</f>
        <v>25373.32476</v>
      </c>
      <c r="X24" s="5"/>
      <c r="Y24" s="5"/>
      <c r="Z24" s="5"/>
      <c r="AA24" s="5"/>
      <c r="AB24" s="5"/>
      <c r="AC24" s="5"/>
      <c r="AD24" s="5"/>
    </row>
    <row r="25">
      <c r="A25" s="5">
        <f t="array" ref="A25">IFERROR(XLOOKUP($H$8, '計算公式'!$B:$B, '計算公式'!J:J), "")</f>
        <v>1.834133333</v>
      </c>
      <c r="B25" s="5">
        <f t="array" ref="B25">IFERROR(XLOOKUP($H$8, '計算公式'!$B:$B, '計算公式'!K:K), "")</f>
        <v>0.5452166327</v>
      </c>
      <c r="C25" s="5" t="str">
        <f t="array" ref="C25">IFERROR(XLOOKUP($H$8, '計算公式'!$B:$B, '計算公式'!L:L), "")</f>
        <v>13h 5m</v>
      </c>
      <c r="D25" s="5">
        <f t="array" ref="D25">IFERROR(XLOOKUP($H$8, '計算公式'!$B:$B, '計算公式'!H:H), "")</f>
        <v>137.56</v>
      </c>
      <c r="E25" s="5">
        <f t="array" ref="E25">IFERROR(XLOOKUP($H$8, '計算公式'!$B:$B, '計算公式'!I:I), "")</f>
        <v>75</v>
      </c>
      <c r="F25" s="5">
        <f t="array" ref="F25">IFERROR(XLOOKUP($G25, ing_name, ing_energy), "")</f>
        <v>124</v>
      </c>
      <c r="G25" s="5" t="str">
        <f t="array" ref="G25">IFERROR(XLOOKUP($H28, '食譜'!$B:$B, '食譜'!$L:$L), "")</f>
        <v>窩心洋芋</v>
      </c>
      <c r="I25" s="5" t="str">
        <f t="array" ref="I25">IFERROR(XLOOKUP($G25, ing_name, ing_ico), "")</f>
        <v/>
      </c>
      <c r="J25" s="5">
        <f t="array" ref="J25">IFERROR(XLOOKUP($H28, '食譜'!$B:$B, '食譜'!$M:$M), "")</f>
        <v>20</v>
      </c>
      <c r="K25" s="22">
        <f t="shared" si="9"/>
        <v>0.2094771518</v>
      </c>
      <c r="L25" s="23">
        <f t="array" ref="L25">IFERROR(XLOOKUP($G25, ing_name, my_prod), "")</f>
        <v>90.57</v>
      </c>
      <c r="M25" s="22">
        <f t="shared" si="10"/>
        <v>1.2076</v>
      </c>
      <c r="N25" s="24">
        <f t="shared" si="11"/>
        <v>0.8280887711</v>
      </c>
      <c r="O25" s="40">
        <f t="array" ref="O25">N25/(1/(1-(0.05)*IFERROR(XLOOKUP($H28, $T:$T, $U:$U, "N/A"), "")))</f>
        <v>0.7866843326</v>
      </c>
      <c r="P25" s="5" t="str">
        <f t="shared" si="12"/>
        <v>18h 52m</v>
      </c>
      <c r="Q25" s="5"/>
      <c r="R25" s="5"/>
      <c r="S25" s="5"/>
      <c r="T25" s="5"/>
      <c r="U25" s="5"/>
      <c r="V25" s="5"/>
      <c r="W25" s="23"/>
      <c r="X25" s="5"/>
      <c r="Y25" s="5"/>
      <c r="Z25" s="5"/>
      <c r="AA25" s="5"/>
      <c r="AB25" s="5"/>
      <c r="AC25" s="5"/>
      <c r="AD25" s="5"/>
    </row>
    <row r="26">
      <c r="A26" s="5">
        <f t="array" ref="A26">IFERROR(XLOOKUP($H$8, '計算公式'!$B:$B, '計算公式'!O:O), "")</f>
        <v>1.343043478</v>
      </c>
      <c r="B26" s="5">
        <f t="array" ref="B26">IFERROR(XLOOKUP($H$8, '計算公式'!$B:$B, '計算公式'!P:P), "")</f>
        <v>0.7445775332</v>
      </c>
      <c r="C26" s="5" t="str">
        <f t="array" ref="C26">IFERROR(XLOOKUP($H$8, '計算公式'!$B:$B, '計算公式'!Q:Q), "")</f>
        <v>17h 52m</v>
      </c>
      <c r="D26" s="5">
        <f t="array" ref="D26">IFERROR(XLOOKUP($H$8, '計算公式'!$B:$B, '計算公式'!M:M), "")</f>
        <v>92.67</v>
      </c>
      <c r="E26" s="5">
        <f t="array" ref="E26">IFERROR(XLOOKUP($H$8, '計算公式'!$B:$B, '計算公式'!N:N), "")</f>
        <v>69</v>
      </c>
      <c r="F26" s="5">
        <f t="array" ref="F26">IFERROR(XLOOKUP($G26, ing_name, ing_energy), "")</f>
        <v>98</v>
      </c>
      <c r="G26" s="5" t="str">
        <f t="array" ref="G26">IFERROR(XLOOKUP($H28, '食譜'!$B:$B, '食譜'!$N:$N), "")</f>
        <v>哞哞鮮奶</v>
      </c>
      <c r="I26" s="5" t="str">
        <f t="array" ref="I26">IFERROR(XLOOKUP($G26, ing_name, ing_ico), "")</f>
        <v/>
      </c>
      <c r="J26" s="5">
        <f t="array" ref="J26">IFERROR(XLOOKUP($H28, '食譜'!$B:$B, '食譜'!$O:$O), "")</f>
        <v>41</v>
      </c>
      <c r="K26" s="22">
        <f t="shared" si="9"/>
        <v>0.3393867725</v>
      </c>
      <c r="L26" s="23">
        <f t="array" ref="L26">IFERROR(XLOOKUP($G26, ing_name, my_prod), "")</f>
        <v>120.82</v>
      </c>
      <c r="M26" s="22">
        <f t="shared" si="10"/>
        <v>1.751014493</v>
      </c>
      <c r="N26" s="24">
        <f t="shared" si="11"/>
        <v>0.5710975004</v>
      </c>
      <c r="O26" s="40">
        <f t="array" ref="O26">N26/(1/(1-(0.05)*IFERROR(XLOOKUP($H28, $T:$T, $U:$U, "N/A"), "")))</f>
        <v>0.5425426254</v>
      </c>
      <c r="P26" s="5" t="str">
        <f t="shared" si="12"/>
        <v>13h 1m</v>
      </c>
      <c r="Q26" s="5"/>
      <c r="R26" s="5"/>
      <c r="S26" s="5"/>
      <c r="T26" s="5"/>
      <c r="U26" s="5"/>
      <c r="V26" s="5"/>
      <c r="W26" s="23"/>
      <c r="X26" s="5"/>
      <c r="Y26" s="5"/>
      <c r="Z26" s="5"/>
      <c r="AA26" s="5"/>
      <c r="AB26" s="5"/>
      <c r="AC26" s="5"/>
      <c r="AD26" s="5"/>
    </row>
    <row r="27">
      <c r="A27" s="5">
        <f t="array" ref="A27">IFERROR(XLOOKUP($H$8, '計算公式'!$B:$B, '計算公式'!T:T), "")</f>
        <v>2.378958333</v>
      </c>
      <c r="B27" s="5">
        <f t="array" ref="B27">IFERROR(XLOOKUP($H$8, '計算公式'!$B:$B, '計算公式'!U:U), "")</f>
        <v>0.4203520448</v>
      </c>
      <c r="C27" s="5" t="str">
        <f t="array" ref="C27">IFERROR(XLOOKUP($H$8, '計算公式'!$B:$B, '計算公式'!V:V), "")</f>
        <v>10h 5m</v>
      </c>
      <c r="D27" s="5">
        <f t="array" ref="D27">IFERROR(XLOOKUP($H$8, '計算公式'!$B:$B, '計算公式'!R:R), "")</f>
        <v>114.19</v>
      </c>
      <c r="E27" s="5">
        <f t="array" ref="E27">IFERROR(XLOOKUP($H$8, '計算公式'!$B:$B, '計算公式'!S:S), "")</f>
        <v>48</v>
      </c>
      <c r="F27" s="5">
        <f t="array" ref="F27">IFERROR(XLOOKUP($G27, ing_name, ing_energy), "")</f>
        <v>121</v>
      </c>
      <c r="G27" s="5" t="str">
        <f t="array" ref="G27">IFERROR(XLOOKUP($H28, '食譜'!$B:$B, '食譜'!P:P), "")</f>
        <v>純粹油</v>
      </c>
      <c r="I27" s="5" t="str">
        <f t="array" ref="I27">IFERROR(XLOOKUP($G27, ing_name, ing_ico), "")</f>
        <v/>
      </c>
      <c r="J27" s="5">
        <f t="array" ref="J27">IFERROR(XLOOKUP($H28, '食譜'!$B:$B, '食譜'!$Q:$Q), "")</f>
        <v>32</v>
      </c>
      <c r="K27" s="22">
        <f t="shared" si="9"/>
        <v>0.3270546499</v>
      </c>
      <c r="L27" s="23">
        <f t="array" ref="L27">IFERROR(XLOOKUP($G27, ing_name, my_prod), "")</f>
        <v>56.61</v>
      </c>
      <c r="M27" s="22">
        <f t="shared" si="10"/>
        <v>1.179375</v>
      </c>
      <c r="N27" s="24">
        <f t="shared" si="11"/>
        <v>0.8479067303</v>
      </c>
      <c r="O27" s="40">
        <f t="array" ref="O27">N27/(1/(1-(0.05)*IFERROR(XLOOKUP($H28, $T:$T, $U:$U, "N/A"), "")))</f>
        <v>0.8055113937</v>
      </c>
      <c r="P27" s="5" t="str">
        <f t="shared" si="12"/>
        <v>19h 19m</v>
      </c>
      <c r="Q27" s="5"/>
      <c r="R27" s="5"/>
      <c r="S27" s="5"/>
      <c r="T27" s="5"/>
      <c r="U27" s="5"/>
      <c r="V27" s="5"/>
      <c r="W27" s="23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>
        <f t="array" ref="G28">IFERROR(XLOOKUP($H28, '食譜'!$B:$B, '食譜'!$G:$G), "")</f>
        <v>13934</v>
      </c>
      <c r="H28" s="25" t="str">
        <f>T5</f>
        <v>茂盛焗烤酪梨</v>
      </c>
      <c r="I28" s="5"/>
      <c r="J28" s="5">
        <f>SUM(J24:J27)</f>
        <v>115</v>
      </c>
      <c r="K28" s="42">
        <v>1.0</v>
      </c>
      <c r="L28" s="23" t="str">
        <f t="array" ref="L28">IFERROR(XLOOKUP($G28, ing_name, my_prod), "")</f>
        <v/>
      </c>
      <c r="M28" s="5"/>
      <c r="N28" s="24">
        <f>sum(N24:N27)</f>
        <v>2.907093002</v>
      </c>
      <c r="O28" s="43">
        <f>N28/(1/(1-(0.05)*U5))</f>
        <v>2.761738352</v>
      </c>
      <c r="P28" s="5" t="str">
        <f t="shared" si="12"/>
        <v>66h 16m</v>
      </c>
      <c r="Q28" s="23">
        <f t="array" ref="Q28">IFERROR(XLOOKUP($H28, '食譜'!$B:$B, '食譜'!$H:$H), "")*(3+U14*3)</f>
        <v>81846.6</v>
      </c>
      <c r="R28" s="38">
        <f>Q28/O28</f>
        <v>29635.89941</v>
      </c>
      <c r="S28" s="5"/>
      <c r="T28" s="5"/>
      <c r="U28" s="5"/>
      <c r="V28" s="5"/>
      <c r="W28" s="23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 t="str">
        <f t="array" ref="H29">"料理能量："&amp;IFERROR(XLOOKUP($H28, '食譜'!$B:$B, '食譜'!$H:$H), "")</f>
        <v>料理能量：24802</v>
      </c>
      <c r="I29" s="5"/>
      <c r="J29" s="5"/>
      <c r="K29" s="5"/>
      <c r="L29" s="23"/>
      <c r="M29" s="5"/>
      <c r="N29" s="34" t="s">
        <v>77</v>
      </c>
      <c r="O29" s="4" t="s">
        <v>78</v>
      </c>
      <c r="P29" s="4" t="s">
        <v>79</v>
      </c>
      <c r="Q29" s="4" t="s">
        <v>80</v>
      </c>
      <c r="R29" s="4" t="s">
        <v>68</v>
      </c>
      <c r="S29" s="5"/>
      <c r="T29" s="5"/>
      <c r="U29" s="5"/>
      <c r="V29" s="5"/>
      <c r="W29" s="23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23"/>
      <c r="M30" s="24"/>
      <c r="N30" s="5"/>
      <c r="O30" s="5"/>
      <c r="P30" s="5"/>
      <c r="Q30" s="5"/>
      <c r="R30" s="5"/>
      <c r="S30" s="5"/>
      <c r="T30" s="5"/>
      <c r="U30" s="5"/>
      <c r="V30" s="5"/>
      <c r="W30" s="23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23"/>
      <c r="M31" s="24"/>
      <c r="N31" s="5"/>
      <c r="O31" s="5"/>
      <c r="P31" s="5"/>
      <c r="Q31" s="5"/>
      <c r="R31" s="5"/>
      <c r="S31" s="5"/>
      <c r="T31" s="5"/>
      <c r="U31" s="5"/>
      <c r="V31" s="5"/>
      <c r="W31" s="23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10"/>
      <c r="F32" s="10"/>
      <c r="G32" s="10"/>
      <c r="H32" s="10"/>
      <c r="I32" s="10"/>
      <c r="J32" s="10"/>
      <c r="K32" s="45" t="s">
        <v>58</v>
      </c>
      <c r="L32" s="46" t="s">
        <v>59</v>
      </c>
      <c r="M32" s="47" t="s">
        <v>60</v>
      </c>
      <c r="N32" s="47" t="s">
        <v>61</v>
      </c>
      <c r="O32" s="45" t="s">
        <v>62</v>
      </c>
      <c r="P32" s="10" t="s">
        <v>63</v>
      </c>
      <c r="Q32" s="45" t="s">
        <v>64</v>
      </c>
      <c r="R32" s="10"/>
      <c r="S32" s="5"/>
      <c r="T32" s="5"/>
      <c r="U32" s="5"/>
      <c r="V32" s="5"/>
      <c r="W32" s="23"/>
      <c r="X32" s="5"/>
      <c r="Y32" s="5"/>
      <c r="Z32" s="5"/>
      <c r="AA32" s="5"/>
      <c r="AB32" s="5"/>
      <c r="AC32" s="5"/>
      <c r="AD32" s="5"/>
    </row>
    <row r="33">
      <c r="A33" s="31" t="s">
        <v>57</v>
      </c>
      <c r="B33" s="32" t="s">
        <v>69</v>
      </c>
      <c r="C33" s="31" t="s">
        <v>70</v>
      </c>
      <c r="D33" s="31" t="s">
        <v>71</v>
      </c>
      <c r="E33" s="31" t="s">
        <v>72</v>
      </c>
      <c r="F33" s="5"/>
      <c r="G33" s="5"/>
      <c r="H33" s="10"/>
      <c r="I33" s="10" t="str">
        <f t="array" ref="I33">LET(last_row,IFERROR(LOOKUP(2,1/('我的食材檔案'!J32:J1030&lt;&gt;""),ROW('我的食材檔案'!J32:J1030)),2),ing_r,INDIRECT("'我的食材檔案'!D2:D"&amp;last_row),ico_r,INDIRECT("'我的食材檔案'!A2:A"&amp;last_row),IFERROR(INDEX(ico_r,MATCH(H33,ing_r,0)),""))</f>
        <v/>
      </c>
      <c r="J33" s="10" t="s">
        <v>73</v>
      </c>
      <c r="K33" s="10" t="s">
        <v>74</v>
      </c>
      <c r="L33" s="48" t="s">
        <v>75</v>
      </c>
      <c r="M33" s="49" t="s">
        <v>56</v>
      </c>
      <c r="N33" s="49" t="s">
        <v>76</v>
      </c>
      <c r="O33" s="45" t="str">
        <f t="array" ref="O33">"幫獎："&amp; IFERROR(XLOOKUP(H38, T:T, U:U, "N/A"), "0")</f>
        <v>幫獎：0</v>
      </c>
      <c r="P33" s="10" t="s">
        <v>70</v>
      </c>
      <c r="Q33" s="10" t="str">
        <f>"倍率："&amp; $U$14</f>
        <v>倍率：0.1</v>
      </c>
      <c r="R33" s="10"/>
      <c r="S33" s="5"/>
      <c r="T33" s="5"/>
      <c r="U33" s="5"/>
      <c r="V33" s="5"/>
      <c r="W33" s="23"/>
      <c r="X33" s="5"/>
      <c r="Y33" s="5"/>
      <c r="Z33" s="5"/>
      <c r="AA33" s="5"/>
      <c r="AB33" s="5"/>
      <c r="AC33" s="5"/>
      <c r="AD33" s="5"/>
    </row>
    <row r="34">
      <c r="A34" s="5">
        <f t="array" ref="A34">IFERROR(XLOOKUP($H38, '計算公式'!$B:$B, '計算公式'!E:E), "")</f>
        <v>1.2575</v>
      </c>
      <c r="B34" s="5">
        <f t="array" ref="B34">IFERROR(XLOOKUP($H38, '計算公式'!$B:$B, '計算公式'!F:F), "")</f>
        <v>0.7952286282</v>
      </c>
      <c r="C34" s="5" t="str">
        <f t="array" ref="C34">IFERROR(XLOOKUP($H38, '計算公式'!$B:$B, '計算公式'!G:G), "")</f>
        <v>19h 5m</v>
      </c>
      <c r="D34" s="5">
        <f t="array" ref="D34">IFERROR(XLOOKUP($H$8, '計算公式'!$B:$B, '計算公式'!C:C), "")</f>
        <v>148.65</v>
      </c>
      <c r="E34" s="5">
        <f t="array" ref="E34">IFERROR(XLOOKUP($H38, '計算公式'!$B:$B, '計算公式'!D:D), "")</f>
        <v>84</v>
      </c>
      <c r="F34" s="5">
        <f t="array" ref="F34">IFERROR(XLOOKUP($G34, ing_name, ing_energy), "")</f>
        <v>162</v>
      </c>
      <c r="G34" s="5" t="str">
        <f t="array" ref="G34">IFERROR(XLOOKUP($H38, '食譜'!$B:$B, '食譜'!$J:$J), "")</f>
        <v>嫩亮酪梨</v>
      </c>
      <c r="H34" s="50" t="str">
        <f t="array" ref="H34">IFERROR(XLOOKUP(H38, '食譜'!B:B, '食譜'!A:A), "")</f>
        <v/>
      </c>
      <c r="I34" s="10" t="str">
        <f t="array" ref="I34">IFERROR(XLOOKUP($G34, ing_name, ing_ico), "")</f>
        <v/>
      </c>
      <c r="J34" s="45">
        <f t="array" ref="J34">IFERROR(XLOOKUP($H38, '食譜'!$B:$B, '食譜'!$K:$K), "")</f>
        <v>28</v>
      </c>
      <c r="K34" s="51">
        <f t="shared" ref="K34:K37" si="13">J34*F34/$G$8</f>
        <v>0.3831404679</v>
      </c>
      <c r="L34" s="46">
        <f t="array" ref="L34">IFERROR(XLOOKUP($G34, ing_name, my_prod), "")</f>
        <v>100</v>
      </c>
      <c r="M34" s="52">
        <f t="shared" ref="M34:M37" si="14">L34/E34</f>
        <v>1.19047619</v>
      </c>
      <c r="N34" s="53">
        <f t="shared" ref="N34:N37" si="15">E34/L34</f>
        <v>0.84</v>
      </c>
      <c r="O34" s="54">
        <f t="array" ref="O34">N34/(1/(1-(0.05)*IFERROR(XLOOKUP($H38, $T:$T, $U:$U, "N/A"), "")))</f>
        <v>0.84</v>
      </c>
      <c r="P34" s="10" t="str">
        <f t="shared" ref="P34:P38" si="16">IFERROR(INT(O34*24)&amp;"h "&amp;INT(MOD(O34*24,1)*60)&amp;"m", "")</f>
        <v>20h 9m</v>
      </c>
      <c r="Q34" s="10"/>
      <c r="R34" s="10"/>
      <c r="S34" s="5"/>
      <c r="T34" s="5"/>
      <c r="U34" s="5"/>
      <c r="V34" s="5"/>
      <c r="W34" s="23"/>
      <c r="X34" s="5"/>
      <c r="Y34" s="5"/>
      <c r="Z34" s="5"/>
      <c r="AA34" s="5"/>
      <c r="AB34" s="5"/>
      <c r="AC34" s="5"/>
      <c r="AD34" s="5"/>
    </row>
    <row r="35">
      <c r="A35" s="5">
        <f t="array" ref="A35">IFERROR(XLOOKUP($H$8, '計算公式'!$B:$B, '計算公式'!J:J), "")</f>
        <v>1.834133333</v>
      </c>
      <c r="B35" s="5">
        <f t="array" ref="B35">IFERROR(XLOOKUP($H$8, '計算公式'!$B:$B, '計算公式'!K:K), "")</f>
        <v>0.5452166327</v>
      </c>
      <c r="C35" s="5" t="str">
        <f t="array" ref="C35">IFERROR(XLOOKUP($H$8, '計算公式'!$B:$B, '計算公式'!L:L), "")</f>
        <v>13h 5m</v>
      </c>
      <c r="D35" s="5">
        <f t="array" ref="D35">IFERROR(XLOOKUP($H$8, '計算公式'!$B:$B, '計算公式'!H:H), "")</f>
        <v>137.56</v>
      </c>
      <c r="E35" s="5">
        <f t="array" ref="E35">IFERROR(XLOOKUP($H$8, '計算公式'!$B:$B, '計算公式'!I:I), "")</f>
        <v>75</v>
      </c>
      <c r="F35" s="5">
        <f t="array" ref="F35">IFERROR(XLOOKUP($G35, ing_name, ing_energy), "")</f>
        <v>140</v>
      </c>
      <c r="G35" s="5" t="str">
        <f t="array" ref="G35">IFERROR(XLOOKUP($H38, '食譜'!$B:$B, '食譜'!$L:$L), "")</f>
        <v>萌綠玉米</v>
      </c>
      <c r="I35" s="10" t="str">
        <f t="array" ref="I35">IFERROR(XLOOKUP($G35, ing_name, ing_ico), "")</f>
        <v/>
      </c>
      <c r="J35" s="45">
        <f t="array" ref="J35">IFERROR(XLOOKUP($H38, '食譜'!$B:$B, '食譜'!$M:$M), "")</f>
        <v>25</v>
      </c>
      <c r="K35" s="51">
        <f t="shared" si="13"/>
        <v>0.2956330771</v>
      </c>
      <c r="L35" s="46">
        <f t="array" ref="L35">IFERROR(XLOOKUP($G35, ing_name, my_prod), "")</f>
        <v>120.13</v>
      </c>
      <c r="M35" s="55">
        <f t="shared" si="14"/>
        <v>1.601733333</v>
      </c>
      <c r="N35" s="56">
        <f t="shared" si="15"/>
        <v>0.6243236494</v>
      </c>
      <c r="O35" s="57">
        <f t="array" ref="O35">N35/(1/(1-(0.05)*IFERROR(XLOOKUP($H38, $T:$T, $U:$U, "N/A"), "")))</f>
        <v>0.6243236494</v>
      </c>
      <c r="P35" s="10" t="str">
        <f t="shared" si="16"/>
        <v>14h 59m</v>
      </c>
      <c r="Q35" s="10"/>
      <c r="R35" s="10"/>
      <c r="S35" s="5"/>
      <c r="T35" s="5"/>
      <c r="U35" s="5"/>
      <c r="V35" s="5"/>
      <c r="W35" s="23"/>
      <c r="X35" s="5"/>
      <c r="Y35" s="5"/>
      <c r="Z35" s="5"/>
      <c r="AA35" s="5"/>
      <c r="AB35" s="5"/>
      <c r="AC35" s="5"/>
      <c r="AD35" s="5"/>
    </row>
    <row r="36">
      <c r="A36" s="5">
        <f t="array" ref="A36">IFERROR(XLOOKUP($H$8, '計算公式'!$B:$B, '計算公式'!O:O), "")</f>
        <v>1.343043478</v>
      </c>
      <c r="B36" s="5">
        <f t="array" ref="B36">IFERROR(XLOOKUP($H$8, '計算公式'!$B:$B, '計算公式'!P:P), "")</f>
        <v>0.7445775332</v>
      </c>
      <c r="C36" s="5" t="str">
        <f t="array" ref="C36">IFERROR(XLOOKUP($H$8, '計算公式'!$B:$B, '計算公式'!Q:Q), "")</f>
        <v>17h 52m</v>
      </c>
      <c r="D36" s="5">
        <f t="array" ref="D36">IFERROR(XLOOKUP($H$8, '計算公式'!$B:$B, '計算公式'!M:M), "")</f>
        <v>92.67</v>
      </c>
      <c r="E36" s="5">
        <f t="array" ref="E36">IFERROR(XLOOKUP($H$8, '計算公式'!$B:$B, '計算公式'!N:N), "")</f>
        <v>69</v>
      </c>
      <c r="F36" s="5">
        <f t="array" ref="F36">IFERROR(XLOOKUP($G36, ing_name, ing_energy), "")</f>
        <v>130</v>
      </c>
      <c r="G36" s="5" t="str">
        <f t="array" ref="G36">IFERROR(XLOOKUP($H38, '食譜'!$B:$B, '食譜'!$N:$N), "")</f>
        <v>火辣香草</v>
      </c>
      <c r="I36" s="10" t="str">
        <f t="array" ref="I36">IFERROR(XLOOKUP($G36, ing_name, ing_ico), "")</f>
        <v/>
      </c>
      <c r="J36" s="45">
        <f t="array" ref="J36">IFERROR(XLOOKUP($H38, '食譜'!$B:$B, '食譜'!$O:$O), "")</f>
        <v>30</v>
      </c>
      <c r="K36" s="51">
        <f t="shared" si="13"/>
        <v>0.3294197145</v>
      </c>
      <c r="L36" s="46">
        <f t="array" ref="L36">IFERROR(XLOOKUP($G36, ing_name, my_prod), "")</f>
        <v>112.91</v>
      </c>
      <c r="M36" s="55">
        <f t="shared" si="14"/>
        <v>1.636376812</v>
      </c>
      <c r="N36" s="58">
        <f t="shared" si="15"/>
        <v>0.6111061908</v>
      </c>
      <c r="O36" s="59">
        <f t="array" ref="O36">N36/(1/(1-(0.05)*IFERROR(XLOOKUP($H38, $T:$T, $U:$U, "N/A"), "")))</f>
        <v>0.6111061908</v>
      </c>
      <c r="P36" s="10" t="str">
        <f t="shared" si="16"/>
        <v>14h 39m</v>
      </c>
      <c r="Q36" s="10"/>
      <c r="R36" s="10"/>
      <c r="S36" s="5"/>
      <c r="T36" s="5"/>
      <c r="U36" s="5"/>
      <c r="V36" s="5"/>
      <c r="W36" s="23"/>
      <c r="X36" s="5"/>
      <c r="Y36" s="5"/>
      <c r="Z36" s="5"/>
      <c r="AA36" s="5"/>
      <c r="AB36" s="5"/>
      <c r="AC36" s="5"/>
      <c r="AD36" s="5"/>
    </row>
    <row r="37">
      <c r="A37" s="5">
        <f t="array" ref="A37">IFERROR(XLOOKUP($H$8, '計算公式'!$B:$B, '計算公式'!T:T), "")</f>
        <v>2.378958333</v>
      </c>
      <c r="B37" s="5">
        <f t="array" ref="B37">IFERROR(XLOOKUP($H$8, '計算公式'!$B:$B, '計算公式'!U:U), "")</f>
        <v>0.4203520448</v>
      </c>
      <c r="C37" s="5" t="str">
        <f t="array" ref="C37">IFERROR(XLOOKUP($H$8, '計算公式'!$B:$B, '計算公式'!V:V), "")</f>
        <v>10h 5m</v>
      </c>
      <c r="D37" s="5">
        <f t="array" ref="D37">IFERROR(XLOOKUP($H$8, '計算公式'!$B:$B, '計算公式'!R:R), "")</f>
        <v>114.19</v>
      </c>
      <c r="E37" s="5">
        <f t="array" ref="E37">IFERROR(XLOOKUP($H$8, '計算公式'!$B:$B, '計算公式'!S:S), "")</f>
        <v>48</v>
      </c>
      <c r="F37" s="5">
        <f t="array" ref="F37">IFERROR(XLOOKUP($G37, ing_name, ing_energy), "")</f>
        <v>100</v>
      </c>
      <c r="G37" s="5" t="str">
        <f t="array" ref="G37">IFERROR(XLOOKUP($H38, '食譜'!$B:$B, '食譜'!P:P), "")</f>
        <v>萌綠大豆</v>
      </c>
      <c r="I37" s="10" t="str">
        <f t="array" ref="I37">IFERROR(XLOOKUP($G37, ing_name, ing_ico), "")</f>
        <v/>
      </c>
      <c r="J37" s="45">
        <f t="array" ref="J37">IFERROR(XLOOKUP($H38, '食譜'!$B:$B, '食譜'!$Q:$Q), "")</f>
        <v>22</v>
      </c>
      <c r="K37" s="51">
        <f t="shared" si="13"/>
        <v>0.1858265056</v>
      </c>
      <c r="L37" s="46">
        <f t="array" ref="L37">IFERROR(XLOOKUP($G37, ing_name, my_prod), "")</f>
        <v>109.12</v>
      </c>
      <c r="M37" s="55">
        <f t="shared" si="14"/>
        <v>2.273333333</v>
      </c>
      <c r="N37" s="60">
        <f t="shared" si="15"/>
        <v>0.4398826979</v>
      </c>
      <c r="O37" s="61">
        <f t="array" ref="O37">N37/(1/(1-(0.05)*IFERROR(XLOOKUP($H38, $T:$T, $U:$U, "N/A"), "")))</f>
        <v>0.4398826979</v>
      </c>
      <c r="P37" s="10" t="str">
        <f t="shared" si="16"/>
        <v>10h 33m</v>
      </c>
      <c r="Q37" s="10"/>
      <c r="R37" s="10"/>
      <c r="S37" s="5"/>
      <c r="T37" s="5"/>
      <c r="U37" s="5"/>
      <c r="V37" s="5"/>
      <c r="W37" s="23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>
        <f t="array" ref="G38">IFERROR(XLOOKUP($H38, '食譜'!$B:$B, '食譜'!$G:$G), "")</f>
        <v>14136</v>
      </c>
      <c r="H38" s="45" t="str">
        <f>T6</f>
        <v>重踏酪梨醬脆片</v>
      </c>
      <c r="I38" s="10"/>
      <c r="J38" s="45">
        <f>SUM(J34:J37)</f>
        <v>105</v>
      </c>
      <c r="K38" s="51">
        <v>1.0</v>
      </c>
      <c r="L38" s="48" t="str">
        <f t="array" ref="L38">IFERROR(XLOOKUP($G38, ing_name, my_prod), "")</f>
        <v/>
      </c>
      <c r="M38" s="49"/>
      <c r="N38" s="62">
        <f>sum(N34:N37)</f>
        <v>2.515312538</v>
      </c>
      <c r="O38" s="63">
        <f>N38/(1/(1-(0.05)*U6))</f>
        <v>2.515312538</v>
      </c>
      <c r="P38" s="10" t="str">
        <f t="shared" si="16"/>
        <v>60h 22m</v>
      </c>
      <c r="Q38" s="46">
        <f t="array" ref="Q38">IFERROR(XLOOKUP($H38, '食譜'!$B:$B, '食譜'!$H:$H), "")*(3+U14*3)</f>
        <v>83034.6</v>
      </c>
      <c r="R38" s="64">
        <f>Q38/O38</f>
        <v>33011.64318</v>
      </c>
      <c r="S38" s="5"/>
      <c r="T38" s="5"/>
      <c r="U38" s="5"/>
      <c r="V38" s="5"/>
      <c r="W38" s="23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10"/>
      <c r="F39" s="10"/>
      <c r="G39" s="10"/>
      <c r="H39" s="10" t="str">
        <f t="array" ref="H39">"料理能量："&amp;IFERROR(XLOOKUP($H38, '食譜'!$B:$B, '食譜'!$H:$H), "")</f>
        <v>料理能量：25162</v>
      </c>
      <c r="I39" s="10"/>
      <c r="J39" s="10"/>
      <c r="K39" s="10"/>
      <c r="L39" s="48"/>
      <c r="M39" s="49"/>
      <c r="N39" s="49" t="s">
        <v>77</v>
      </c>
      <c r="O39" s="10" t="s">
        <v>78</v>
      </c>
      <c r="P39" s="10" t="s">
        <v>79</v>
      </c>
      <c r="Q39" s="10" t="s">
        <v>80</v>
      </c>
      <c r="R39" s="10" t="s">
        <v>68</v>
      </c>
      <c r="S39" s="5"/>
      <c r="T39" s="5"/>
      <c r="U39" s="5"/>
      <c r="V39" s="5"/>
      <c r="W39" s="23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23"/>
      <c r="M40" s="24"/>
      <c r="N40" s="5"/>
      <c r="O40" s="5"/>
      <c r="P40" s="5"/>
      <c r="Q40" s="5"/>
      <c r="R40" s="5"/>
      <c r="S40" s="5"/>
      <c r="T40" s="5"/>
      <c r="U40" s="5"/>
      <c r="V40" s="5"/>
      <c r="W40" s="23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23"/>
      <c r="M41" s="24"/>
      <c r="N41" s="5"/>
      <c r="O41" s="5"/>
      <c r="P41" s="5"/>
      <c r="Q41" s="5"/>
      <c r="R41" s="5"/>
      <c r="S41" s="5"/>
      <c r="T41" s="5"/>
      <c r="U41" s="5"/>
      <c r="V41" s="5"/>
      <c r="W41" s="23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10"/>
      <c r="F42" s="10"/>
      <c r="G42" s="10"/>
      <c r="H42" s="10"/>
      <c r="I42" s="10"/>
      <c r="J42" s="10"/>
      <c r="K42" s="45" t="s">
        <v>58</v>
      </c>
      <c r="L42" s="46" t="s">
        <v>59</v>
      </c>
      <c r="M42" s="47" t="s">
        <v>60</v>
      </c>
      <c r="N42" s="47" t="s">
        <v>61</v>
      </c>
      <c r="O42" s="45" t="s">
        <v>62</v>
      </c>
      <c r="P42" s="10" t="s">
        <v>63</v>
      </c>
      <c r="Q42" s="45" t="s">
        <v>64</v>
      </c>
      <c r="R42" s="10"/>
      <c r="S42" s="5"/>
      <c r="T42" s="5"/>
      <c r="U42" s="5"/>
      <c r="V42" s="5"/>
      <c r="W42" s="23"/>
      <c r="X42" s="5"/>
      <c r="Y42" s="5"/>
      <c r="Z42" s="5"/>
      <c r="AA42" s="5"/>
      <c r="AB42" s="5"/>
      <c r="AC42" s="5"/>
      <c r="AD42" s="5"/>
    </row>
    <row r="43">
      <c r="A43" s="31" t="s">
        <v>57</v>
      </c>
      <c r="B43" s="32" t="s">
        <v>69</v>
      </c>
      <c r="C43" s="31" t="s">
        <v>70</v>
      </c>
      <c r="D43" s="31" t="s">
        <v>71</v>
      </c>
      <c r="E43" s="31" t="s">
        <v>72</v>
      </c>
      <c r="F43" s="5"/>
      <c r="G43" s="5"/>
      <c r="H43" s="10"/>
      <c r="I43" s="10" t="str">
        <f t="array" ref="I43">LET(last_row,IFERROR(LOOKUP(2,1/('我的食材檔案'!J42:J1040&lt;&gt;""),ROW('我的食材檔案'!J42:J1040)),2),ing_r,INDIRECT("'我的食材檔案'!D2:D"&amp;last_row),ico_r,INDIRECT("'我的食材檔案'!A2:A"&amp;last_row),IFERROR(INDEX(ico_r,MATCH(H43,ing_r,0)),""))</f>
        <v/>
      </c>
      <c r="J43" s="10" t="s">
        <v>73</v>
      </c>
      <c r="K43" s="10" t="s">
        <v>74</v>
      </c>
      <c r="L43" s="48" t="s">
        <v>75</v>
      </c>
      <c r="M43" s="49" t="s">
        <v>56</v>
      </c>
      <c r="N43" s="49" t="s">
        <v>76</v>
      </c>
      <c r="O43" s="45" t="str">
        <f t="array" ref="O43">"幫獎："&amp; IFERROR(XLOOKUP(H48, T:T, U:U, "N/A"), "")</f>
        <v>幫獎：1</v>
      </c>
      <c r="P43" s="10" t="s">
        <v>70</v>
      </c>
      <c r="Q43" s="10" t="str">
        <f>"倍率："&amp;V54</f>
        <v>倍率：</v>
      </c>
      <c r="R43" s="10"/>
      <c r="S43" s="5"/>
      <c r="T43" s="5"/>
      <c r="U43" s="5"/>
      <c r="V43" s="5"/>
      <c r="W43" s="23"/>
      <c r="X43" s="5"/>
      <c r="Y43" s="5"/>
      <c r="Z43" s="5"/>
      <c r="AA43" s="5"/>
      <c r="AB43" s="5"/>
      <c r="AC43" s="5"/>
      <c r="AD43" s="5"/>
    </row>
    <row r="44">
      <c r="A44" s="5">
        <f t="array" ref="A44">IFERROR(XLOOKUP($H48, '計算公式'!$B:$B, '計算公式'!E:E), "")</f>
        <v>1.212285714</v>
      </c>
      <c r="B44" s="5">
        <f t="array" ref="B44">IFERROR(XLOOKUP($H48, '計算公式'!$B:$B, '計算公式'!F:F), "")</f>
        <v>0.8248880509</v>
      </c>
      <c r="C44" s="5" t="str">
        <f t="array" ref="C44">IFERROR(XLOOKUP($H48, '計算公式'!$B:$B, '計算公式'!G:G), "")</f>
        <v>19h 47m</v>
      </c>
      <c r="D44" s="5">
        <f t="array" ref="D44">IFERROR(XLOOKUP($H$8, '計算公式'!$B:$B, '計算公式'!C:C), "")</f>
        <v>148.65</v>
      </c>
      <c r="E44" s="5">
        <f t="array" ref="E44">IFERROR(XLOOKUP($H48, '計算公式'!$B:$B, '計算公式'!D:D), "")</f>
        <v>105</v>
      </c>
      <c r="F44" s="5">
        <f t="array" ref="F44">IFERROR(XLOOKUP($G44, ing_name, ing_energy), "")</f>
        <v>115</v>
      </c>
      <c r="G44" s="5" t="str">
        <f t="array" ref="G44">IFERROR(XLOOKUP($H48, '食譜'!$B:$B, '食譜'!$J:$J), "")</f>
        <v>特選蛋</v>
      </c>
      <c r="H44" s="50" t="str">
        <f t="array" ref="H44">IFERROR(XLOOKUP(H48, '食譜'!B:B, '食譜'!A:A), "")</f>
        <v/>
      </c>
      <c r="I44" s="10" t="str">
        <f t="array" ref="I44">IFERROR(XLOOKUP($G44, ing_name, ing_ico), "")</f>
        <v/>
      </c>
      <c r="J44" s="45">
        <f t="array" ref="J44">IFERROR(XLOOKUP($H48, '食譜'!$B:$B, '食譜'!$K:$K), "")</f>
        <v>35</v>
      </c>
      <c r="K44" s="51">
        <f t="shared" ref="K44:K47" si="17">J44*F44/$G$8</f>
        <v>0.3399780387</v>
      </c>
      <c r="L44" s="46">
        <f t="array" ref="L44">IFERROR(XLOOKUP($G44, ing_name, my_prod), "")</f>
        <v>91.73</v>
      </c>
      <c r="M44" s="52">
        <f t="shared" ref="M44:M47" si="18">L44/E44</f>
        <v>0.8736190476</v>
      </c>
      <c r="N44" s="53">
        <f t="shared" ref="N44:N47" si="19">E44/L44</f>
        <v>1.144663687</v>
      </c>
      <c r="O44" s="54">
        <f t="array" ref="O44">N44/(1/(1-(0.05)*IFERROR(XLOOKUP($H48, $T:$T, $U:$U, "N/A"), "")))</f>
        <v>1.087430503</v>
      </c>
      <c r="P44" s="10" t="str">
        <f t="shared" ref="P44:P48" si="20">IFERROR(INT(O44*24)&amp;"h "&amp;INT(MOD(O44*24,1)*60)&amp;"m", "")</f>
        <v>26h 5m</v>
      </c>
      <c r="Q44" s="10"/>
      <c r="R44" s="10"/>
      <c r="S44" s="5"/>
      <c r="T44" s="5"/>
      <c r="U44" s="5"/>
      <c r="V44" s="5"/>
      <c r="W44" s="23"/>
      <c r="X44" s="5"/>
      <c r="Y44" s="5"/>
      <c r="Z44" s="5"/>
      <c r="AA44" s="5"/>
      <c r="AB44" s="5"/>
      <c r="AC44" s="5"/>
      <c r="AD44" s="5"/>
    </row>
    <row r="45">
      <c r="A45" s="5">
        <f t="array" ref="A45">IFERROR(XLOOKUP($H$8, '計算公式'!$B:$B, '計算公式'!J:J), "")</f>
        <v>1.834133333</v>
      </c>
      <c r="B45" s="5">
        <f t="array" ref="B45">IFERROR(XLOOKUP($H$8, '計算公式'!$B:$B, '計算公式'!K:K), "")</f>
        <v>0.5452166327</v>
      </c>
      <c r="C45" s="5" t="str">
        <f t="array" ref="C45">IFERROR(XLOOKUP($H$8, '計算公式'!$B:$B, '計算公式'!L:L), "")</f>
        <v>13h 5m</v>
      </c>
      <c r="D45" s="5">
        <f t="array" ref="D45">IFERROR(XLOOKUP($H$8, '計算公式'!$B:$B, '計算公式'!H:H), "")</f>
        <v>137.56</v>
      </c>
      <c r="E45" s="5">
        <f t="array" ref="E45">IFERROR(XLOOKUP($H$8, '計算公式'!$B:$B, '計算公式'!I:I), "")</f>
        <v>75</v>
      </c>
      <c r="F45" s="5">
        <f t="array" ref="F45">IFERROR(XLOOKUP($G45, ing_name, ing_energy), "")</f>
        <v>90</v>
      </c>
      <c r="G45" s="5" t="str">
        <f t="array" ref="G45">IFERROR(XLOOKUP($H48, '食譜'!$B:$B, '食譜'!$L:$L), "")</f>
        <v>特選蘋果</v>
      </c>
      <c r="I45" s="10" t="str">
        <f t="array" ref="I45">IFERROR(XLOOKUP($G45, ing_name, ing_ico), "")</f>
        <v/>
      </c>
      <c r="J45" s="45">
        <f t="array" ref="J45">IFERROR(XLOOKUP($H48, '食譜'!$B:$B, '食譜'!$M:$M), "")</f>
        <v>28</v>
      </c>
      <c r="K45" s="51">
        <f t="shared" si="17"/>
        <v>0.2128558155</v>
      </c>
      <c r="L45" s="46">
        <f t="array" ref="L45">IFERROR(XLOOKUP($G45, ing_name, my_prod), "")</f>
        <v>82.96</v>
      </c>
      <c r="M45" s="55">
        <f t="shared" si="18"/>
        <v>1.106133333</v>
      </c>
      <c r="N45" s="56">
        <f t="shared" si="19"/>
        <v>0.9040501446</v>
      </c>
      <c r="O45" s="57">
        <f t="array" ref="O45">N45/(1/(1-(0.05)*IFERROR(XLOOKUP($H48, $T:$T, $U:$U, "N/A"), "")))</f>
        <v>0.8588476374</v>
      </c>
      <c r="P45" s="10" t="str">
        <f t="shared" si="20"/>
        <v>20h 36m</v>
      </c>
      <c r="Q45" s="10"/>
      <c r="R45" s="10"/>
      <c r="S45" s="5"/>
      <c r="T45" s="5"/>
      <c r="U45" s="5"/>
      <c r="V45" s="5"/>
      <c r="W45" s="23"/>
      <c r="X45" s="5"/>
      <c r="Y45" s="5"/>
      <c r="Z45" s="5"/>
      <c r="AA45" s="5"/>
      <c r="AB45" s="5"/>
      <c r="AC45" s="5"/>
      <c r="AD45" s="5"/>
    </row>
    <row r="46">
      <c r="A46" s="5">
        <f t="array" ref="A46">IFERROR(XLOOKUP($H$8, '計算公式'!$B:$B, '計算公式'!O:O), "")</f>
        <v>1.343043478</v>
      </c>
      <c r="B46" s="5">
        <f t="array" ref="B46">IFERROR(XLOOKUP($H$8, '計算公式'!$B:$B, '計算公式'!P:P), "")</f>
        <v>0.7445775332</v>
      </c>
      <c r="C46" s="5" t="str">
        <f t="array" ref="C46">IFERROR(XLOOKUP($H$8, '計算公式'!$B:$B, '計算公式'!Q:Q), "")</f>
        <v>17h 52m</v>
      </c>
      <c r="D46" s="5">
        <f t="array" ref="D46">IFERROR(XLOOKUP($H$8, '計算公式'!$B:$B, '計算公式'!M:M), "")</f>
        <v>92.67</v>
      </c>
      <c r="E46" s="5">
        <f t="array" ref="E46">IFERROR(XLOOKUP($H$8, '計算公式'!$B:$B, '計算公式'!N:N), "")</f>
        <v>69</v>
      </c>
      <c r="F46" s="5">
        <f t="array" ref="F46">IFERROR(XLOOKUP($G46, ing_name, ing_energy), "")</f>
        <v>110</v>
      </c>
      <c r="G46" s="5" t="str">
        <f t="array" ref="G46">IFERROR(XLOOKUP($H48, '食譜'!$B:$B, '食譜'!$N:$N), "")</f>
        <v>好眠番茄</v>
      </c>
      <c r="I46" s="10" t="str">
        <f t="array" ref="I46">IFERROR(XLOOKUP($G46, ing_name, ing_ico), "")</f>
        <v/>
      </c>
      <c r="J46" s="45">
        <f t="array" ref="J46">IFERROR(XLOOKUP($H48, '食譜'!$B:$B, '食譜'!$O:$O), "")</f>
        <v>23</v>
      </c>
      <c r="K46" s="51">
        <f t="shared" si="17"/>
        <v>0.2137004815</v>
      </c>
      <c r="L46" s="46">
        <f t="array" ref="L46">IFERROR(XLOOKUP($G46, ing_name, my_prod), "")</f>
        <v>98.54</v>
      </c>
      <c r="M46" s="55">
        <f t="shared" si="18"/>
        <v>1.428115942</v>
      </c>
      <c r="N46" s="58">
        <f t="shared" si="19"/>
        <v>0.7002232596</v>
      </c>
      <c r="O46" s="59">
        <f t="array" ref="O46">N46/(1/(1-(0.05)*IFERROR(XLOOKUP($H48, $T:$T, $U:$U, "N/A"), "")))</f>
        <v>0.6652120966</v>
      </c>
      <c r="P46" s="10" t="str">
        <f t="shared" si="20"/>
        <v>15h 57m</v>
      </c>
      <c r="Q46" s="10"/>
      <c r="R46" s="10"/>
      <c r="S46" s="5"/>
      <c r="T46" s="5"/>
      <c r="U46" s="5"/>
      <c r="V46" s="5"/>
      <c r="W46" s="23"/>
      <c r="X46" s="5"/>
      <c r="Y46" s="5"/>
      <c r="Z46" s="5"/>
      <c r="AA46" s="5"/>
      <c r="AB46" s="5"/>
      <c r="AC46" s="5"/>
      <c r="AD46" s="5"/>
    </row>
    <row r="47">
      <c r="A47" s="5">
        <f t="array" ref="A47">IFERROR(XLOOKUP($H$8, '計算公式'!$B:$B, '計算公式'!T:T), "")</f>
        <v>2.378958333</v>
      </c>
      <c r="B47" s="5">
        <f t="array" ref="B47">IFERROR(XLOOKUP($H$8, '計算公式'!$B:$B, '計算公式'!U:U), "")</f>
        <v>0.4203520448</v>
      </c>
      <c r="C47" s="5" t="str">
        <f t="array" ref="C47">IFERROR(XLOOKUP($H$8, '計算公式'!$B:$B, '計算公式'!V:V), "")</f>
        <v>10h 5m</v>
      </c>
      <c r="D47" s="5">
        <f t="array" ref="D47">IFERROR(XLOOKUP($H$8, '計算公式'!$B:$B, '計算公式'!R:R), "")</f>
        <v>114.19</v>
      </c>
      <c r="E47" s="5">
        <f t="array" ref="E47">IFERROR(XLOOKUP($H$8, '計算公式'!$B:$B, '計算公式'!S:S), "")</f>
        <v>48</v>
      </c>
      <c r="F47" s="5">
        <f t="array" ref="F47">IFERROR(XLOOKUP($G47, ing_name, ing_energy), "")</f>
        <v>98</v>
      </c>
      <c r="G47" s="5" t="str">
        <f t="array" ref="G47">IFERROR(XLOOKUP($H48, '食譜'!$B:$B, '食譜'!P:P), "")</f>
        <v>哞哞鮮奶</v>
      </c>
      <c r="I47" s="10" t="str">
        <f t="array" ref="I47">IFERROR(XLOOKUP($G47, ing_name, ing_ico), "")</f>
        <v/>
      </c>
      <c r="J47" s="45">
        <f t="array" ref="J47">IFERROR(XLOOKUP($H48, '食譜'!$B:$B, '食譜'!$Q:$Q), "")</f>
        <v>18</v>
      </c>
      <c r="K47" s="51">
        <f t="shared" si="17"/>
        <v>0.1489990709</v>
      </c>
      <c r="L47" s="46">
        <f t="array" ref="L47">IFERROR(XLOOKUP($G47, ing_name, my_prod), "")</f>
        <v>120.82</v>
      </c>
      <c r="M47" s="55">
        <f t="shared" si="18"/>
        <v>2.517083333</v>
      </c>
      <c r="N47" s="60">
        <f t="shared" si="19"/>
        <v>0.3972852177</v>
      </c>
      <c r="O47" s="61">
        <f t="array" ref="O47">N47/(1/(1-(0.05)*IFERROR(XLOOKUP($H48, $T:$T, $U:$U, "N/A"), "")))</f>
        <v>0.3774209568</v>
      </c>
      <c r="P47" s="10" t="str">
        <f t="shared" si="20"/>
        <v>9h 3m</v>
      </c>
      <c r="Q47" s="10"/>
      <c r="R47" s="10"/>
      <c r="S47" s="5"/>
      <c r="T47" s="5"/>
      <c r="U47" s="5"/>
      <c r="V47" s="5"/>
      <c r="W47" s="23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>
        <f t="array" ref="G48">IFERROR(XLOOKUP($H48, '食譜'!$B:$B, '食譜'!$G:$G), "")</f>
        <v>10839</v>
      </c>
      <c r="H48" s="45" t="str">
        <f>T7</f>
        <v>蘋果酸優格沙拉</v>
      </c>
      <c r="I48" s="10"/>
      <c r="J48" s="45">
        <f>SUM(J44:J47)</f>
        <v>104</v>
      </c>
      <c r="K48" s="51">
        <v>1.0</v>
      </c>
      <c r="L48" s="48" t="str">
        <f t="array" ref="L48">IFERROR(XLOOKUP($G48, ing_name, my_prod), "")</f>
        <v/>
      </c>
      <c r="M48" s="49"/>
      <c r="N48" s="62">
        <f>sum(N44:N47)</f>
        <v>3.146222309</v>
      </c>
      <c r="O48" s="63">
        <f>N48/(1/(1-(0.05)*U7))</f>
        <v>2.988911193</v>
      </c>
      <c r="P48" s="10" t="str">
        <f t="shared" si="20"/>
        <v>71h 44m</v>
      </c>
      <c r="Q48" s="46">
        <f t="array" ref="Q48">IFERROR(XLOOKUP($H48, '食譜'!$B:$B, '食譜'!$H:$H), "")*(3+U14*3)</f>
        <v>63666.9</v>
      </c>
      <c r="R48" s="64">
        <f>Q48/O48</f>
        <v>21301.03435</v>
      </c>
      <c r="S48" s="5"/>
      <c r="T48" s="5"/>
      <c r="U48" s="5"/>
      <c r="V48" s="5"/>
      <c r="W48" s="23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10"/>
      <c r="F49" s="10"/>
      <c r="G49" s="10"/>
      <c r="H49" s="10" t="str">
        <f t="array" ref="H49">"料理能量："&amp;IFERROR(XLOOKUP($H48, '食譜'!$B:$B, '食譜'!$H:$H), "")</f>
        <v>料理能量：19293</v>
      </c>
      <c r="I49" s="10"/>
      <c r="J49" s="10"/>
      <c r="K49" s="10"/>
      <c r="L49" s="48"/>
      <c r="M49" s="49"/>
      <c r="N49" s="49" t="s">
        <v>77</v>
      </c>
      <c r="O49" s="10" t="s">
        <v>78</v>
      </c>
      <c r="P49" s="10" t="s">
        <v>79</v>
      </c>
      <c r="Q49" s="10" t="s">
        <v>80</v>
      </c>
      <c r="R49" s="10" t="s">
        <v>68</v>
      </c>
      <c r="S49" s="5"/>
      <c r="T49" s="5"/>
      <c r="U49" s="5"/>
      <c r="V49" s="5"/>
      <c r="W49" s="23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23"/>
      <c r="M50" s="24"/>
      <c r="N50" s="5"/>
      <c r="O50" s="5"/>
      <c r="P50" s="5"/>
      <c r="Q50" s="5"/>
      <c r="R50" s="5"/>
      <c r="S50" s="5"/>
      <c r="T50" s="5"/>
      <c r="U50" s="5"/>
      <c r="V50" s="5"/>
      <c r="W50" s="23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23"/>
      <c r="M51" s="24"/>
      <c r="N51" s="5"/>
      <c r="O51" s="5"/>
      <c r="P51" s="5"/>
      <c r="Q51" s="5"/>
      <c r="R51" s="5"/>
      <c r="S51" s="5"/>
      <c r="T51" s="5"/>
      <c r="U51" s="5"/>
      <c r="V51" s="5"/>
      <c r="W51" s="23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10"/>
      <c r="F52" s="10"/>
      <c r="G52" s="10"/>
      <c r="H52" s="10"/>
      <c r="I52" s="10"/>
      <c r="J52" s="10"/>
      <c r="K52" s="45" t="s">
        <v>58</v>
      </c>
      <c r="L52" s="46" t="s">
        <v>59</v>
      </c>
      <c r="M52" s="47" t="s">
        <v>60</v>
      </c>
      <c r="N52" s="47" t="s">
        <v>61</v>
      </c>
      <c r="O52" s="45" t="s">
        <v>62</v>
      </c>
      <c r="P52" s="10" t="s">
        <v>63</v>
      </c>
      <c r="Q52" s="45" t="s">
        <v>64</v>
      </c>
      <c r="R52" s="10"/>
      <c r="S52" s="5"/>
      <c r="T52" s="5"/>
      <c r="U52" s="5"/>
      <c r="V52" s="5"/>
      <c r="W52" s="23"/>
      <c r="X52" s="5"/>
      <c r="Y52" s="5"/>
      <c r="Z52" s="5"/>
      <c r="AA52" s="5"/>
      <c r="AB52" s="5"/>
      <c r="AC52" s="5"/>
      <c r="AD52" s="5"/>
    </row>
    <row r="53">
      <c r="A53" s="31" t="s">
        <v>57</v>
      </c>
      <c r="B53" s="32" t="s">
        <v>69</v>
      </c>
      <c r="C53" s="31" t="s">
        <v>70</v>
      </c>
      <c r="D53" s="31" t="s">
        <v>71</v>
      </c>
      <c r="E53" s="31" t="s">
        <v>72</v>
      </c>
      <c r="F53" s="5"/>
      <c r="G53" s="5"/>
      <c r="H53" s="10"/>
      <c r="I53" s="10" t="str">
        <f t="array" ref="I53">LET(last_row,IFERROR(LOOKUP(2,1/('我的食材檔案'!J52:J1050&lt;&gt;""),ROW('我的食材檔案'!J52:J1050)),2),ing_r,INDIRECT("'我的食材檔案'!D2:D"&amp;last_row),ico_r,INDIRECT("'我的食材檔案'!A2:A"&amp;last_row),IFERROR(INDEX(ico_r,MATCH(H53,ing_r,0)),""))</f>
        <v/>
      </c>
      <c r="J53" s="10" t="s">
        <v>73</v>
      </c>
      <c r="K53" s="10" t="s">
        <v>74</v>
      </c>
      <c r="L53" s="48" t="s">
        <v>75</v>
      </c>
      <c r="M53" s="49" t="s">
        <v>56</v>
      </c>
      <c r="N53" s="49" t="s">
        <v>76</v>
      </c>
      <c r="O53" s="45" t="str">
        <f t="array" ref="O53">"幫獎："&amp; IFERROR(XLOOKUP(H58, T:T, U:U, "N/A"), "0")</f>
        <v>幫獎：2</v>
      </c>
      <c r="P53" s="10" t="s">
        <v>70</v>
      </c>
      <c r="Q53" s="10" t="str">
        <f>"倍率："&amp; $U$14</f>
        <v>倍率：0.1</v>
      </c>
      <c r="R53" s="10"/>
      <c r="S53" s="5"/>
      <c r="T53" s="5"/>
      <c r="U53" s="5"/>
      <c r="V53" s="5"/>
      <c r="W53" s="23"/>
      <c r="X53" s="5"/>
      <c r="Y53" s="5"/>
      <c r="Z53" s="5"/>
      <c r="AA53" s="5"/>
      <c r="AB53" s="5"/>
      <c r="AC53" s="5"/>
      <c r="AD53" s="5"/>
    </row>
    <row r="54">
      <c r="A54" s="5">
        <f t="array" ref="A54">IFERROR(XLOOKUP($H58, '計算公式'!$B:$B, '計算公式'!E:E), "")</f>
        <v>1.359404762</v>
      </c>
      <c r="B54" s="5">
        <f t="array" ref="B54">IFERROR(XLOOKUP($H58, '計算公式'!$B:$B, '計算公式'!F:F), "")</f>
        <v>0.7356160785</v>
      </c>
      <c r="C54" s="5" t="str">
        <f t="array" ref="C54">IFERROR(XLOOKUP($H58, '計算公式'!$B:$B, '計算公式'!G:G), "")</f>
        <v>17h 39m</v>
      </c>
      <c r="D54" s="5">
        <f t="array" ref="D54">IFERROR(XLOOKUP($H$8, '計算公式'!$B:$B, '計算公式'!C:C), "")</f>
        <v>148.65</v>
      </c>
      <c r="E54" s="5">
        <f t="array" ref="E54">IFERROR(XLOOKUP($H58, '計算公式'!$B:$B, '計算公式'!D:D), "")</f>
        <v>84</v>
      </c>
      <c r="F54" s="5">
        <f t="array" ref="F54">IFERROR(XLOOKUP($G54, ing_name, ing_energy), "")</f>
        <v>153</v>
      </c>
      <c r="G54" s="5" t="str">
        <f t="array" ref="G54">IFERROR(XLOOKUP($H58, '食譜'!$B:$B, '食譜'!$J:$J), "")</f>
        <v>醒腦咖啡豆</v>
      </c>
      <c r="H54" s="50" t="str">
        <f t="array" ref="H54">IFERROR(XLOOKUP(H58, '食譜'!B:B, '食譜'!A:A), "")</f>
        <v/>
      </c>
      <c r="I54" s="10" t="str">
        <f t="array" ref="I54">IFERROR(XLOOKUP($G54, ing_name, ing_ico), "")</f>
        <v/>
      </c>
      <c r="J54" s="45">
        <f t="array" ref="J54">IFERROR(XLOOKUP($H58, '食譜'!$B:$B, '食譜'!$K:$K), "")</f>
        <v>28</v>
      </c>
      <c r="K54" s="51">
        <f t="shared" ref="K54:K57" si="21">J54*F54/$G$8</f>
        <v>0.3618548864</v>
      </c>
      <c r="L54" s="46">
        <f t="array" ref="L54">IFERROR(XLOOKUP($G54, ing_name, my_prod), "")</f>
        <v>82.13</v>
      </c>
      <c r="M54" s="52">
        <f t="shared" ref="M54:M57" si="22">L54/E54</f>
        <v>0.9777380952</v>
      </c>
      <c r="N54" s="53">
        <f t="shared" ref="N54:N57" si="23">E54/L54</f>
        <v>1.022768781</v>
      </c>
      <c r="O54" s="54">
        <f t="array" ref="O54">N54/(1/(1-(0.05)*IFERROR(XLOOKUP($H58, $T:$T, $U:$U, "N/A"), "")))</f>
        <v>0.9204919031</v>
      </c>
      <c r="P54" s="10" t="str">
        <f t="shared" ref="P54:P58" si="24">IFERROR(INT(O54*24)&amp;"h "&amp;INT(MOD(O54*24,1)*60)&amp;"m", "")</f>
        <v>22h 5m</v>
      </c>
      <c r="Q54" s="10"/>
      <c r="R54" s="10"/>
      <c r="S54" s="5"/>
      <c r="T54" s="5"/>
      <c r="U54" s="5"/>
      <c r="V54" s="5"/>
      <c r="W54" s="23"/>
      <c r="X54" s="5"/>
      <c r="Y54" s="5"/>
      <c r="Z54" s="5"/>
      <c r="AA54" s="5"/>
      <c r="AB54" s="5"/>
      <c r="AC54" s="5"/>
      <c r="AD54" s="5"/>
    </row>
    <row r="55">
      <c r="A55" s="5">
        <f t="array" ref="A55">IFERROR(XLOOKUP($H$8, '計算公式'!$B:$B, '計算公式'!J:J), "")</f>
        <v>1.834133333</v>
      </c>
      <c r="B55" s="5">
        <f t="array" ref="B55">IFERROR(XLOOKUP($H$8, '計算公式'!$B:$B, '計算公式'!K:K), "")</f>
        <v>0.5452166327</v>
      </c>
      <c r="C55" s="5" t="str">
        <f t="array" ref="C55">IFERROR(XLOOKUP($H$8, '計算公式'!$B:$B, '計算公式'!L:L), "")</f>
        <v>13h 5m</v>
      </c>
      <c r="D55" s="5">
        <f t="array" ref="D55">IFERROR(XLOOKUP($H$8, '計算公式'!$B:$B, '計算公式'!H:H), "")</f>
        <v>137.56</v>
      </c>
      <c r="E55" s="5">
        <f t="array" ref="E55">IFERROR(XLOOKUP($H$8, '計算公式'!$B:$B, '計算公式'!I:I), "")</f>
        <v>75</v>
      </c>
      <c r="F55" s="5">
        <f t="array" ref="F55">IFERROR(XLOOKUP($G55, ing_name, ing_energy), "")</f>
        <v>103</v>
      </c>
      <c r="G55" s="5" t="str">
        <f t="array" ref="G55">IFERROR(XLOOKUP($H58, '食譜'!$B:$B, '食譜'!$L:$L), "")</f>
        <v>豆製肉</v>
      </c>
      <c r="I55" s="10" t="str">
        <f t="array" ref="I55">IFERROR(XLOOKUP($G55, ing_name, ing_ico), "")</f>
        <v/>
      </c>
      <c r="J55" s="45">
        <f t="array" ref="J55">IFERROR(XLOOKUP($H58, '食譜'!$B:$B, '食譜'!$M:$M), "")</f>
        <v>28</v>
      </c>
      <c r="K55" s="51">
        <f t="shared" si="21"/>
        <v>0.2436016555</v>
      </c>
      <c r="L55" s="46">
        <f t="array" ref="L55">IFERROR(XLOOKUP($G55, ing_name, my_prod), "")</f>
        <v>105.53</v>
      </c>
      <c r="M55" s="55">
        <f t="shared" si="22"/>
        <v>1.407066667</v>
      </c>
      <c r="N55" s="56">
        <f t="shared" si="23"/>
        <v>0.7106983796</v>
      </c>
      <c r="O55" s="57">
        <f t="array" ref="O55">N55/(1/(1-(0.05)*IFERROR(XLOOKUP($H58, $T:$T, $U:$U, "N/A"), "")))</f>
        <v>0.6396285416</v>
      </c>
      <c r="P55" s="10" t="str">
        <f t="shared" si="24"/>
        <v>15h 21m</v>
      </c>
      <c r="Q55" s="10"/>
      <c r="R55" s="10"/>
      <c r="S55" s="5"/>
      <c r="T55" s="5"/>
      <c r="U55" s="5"/>
      <c r="V55" s="5"/>
      <c r="W55" s="23"/>
      <c r="X55" s="5"/>
      <c r="Y55" s="5"/>
      <c r="Z55" s="5"/>
      <c r="AA55" s="5"/>
      <c r="AB55" s="5"/>
      <c r="AC55" s="5"/>
      <c r="AD55" s="5"/>
    </row>
    <row r="56">
      <c r="A56" s="5">
        <f t="array" ref="A56">IFERROR(XLOOKUP($H$8, '計算公式'!$B:$B, '計算公式'!O:O), "")</f>
        <v>1.343043478</v>
      </c>
      <c r="B56" s="5">
        <f t="array" ref="B56">IFERROR(XLOOKUP($H$8, '計算公式'!$B:$B, '計算公式'!P:P), "")</f>
        <v>0.7445775332</v>
      </c>
      <c r="C56" s="5" t="str">
        <f t="array" ref="C56">IFERROR(XLOOKUP($H$8, '計算公式'!$B:$B, '計算公式'!Q:Q), "")</f>
        <v>17h 52m</v>
      </c>
      <c r="D56" s="5">
        <f t="array" ref="D56">IFERROR(XLOOKUP($H$8, '計算公式'!$B:$B, '計算公式'!M:M), "")</f>
        <v>92.67</v>
      </c>
      <c r="E56" s="5">
        <f t="array" ref="E56">IFERROR(XLOOKUP($H$8, '計算公式'!$B:$B, '計算公式'!N:N), "")</f>
        <v>69</v>
      </c>
      <c r="F56" s="5">
        <f t="array" ref="F56">IFERROR(XLOOKUP($G56, ing_name, ing_energy), "")</f>
        <v>121</v>
      </c>
      <c r="G56" s="5" t="str">
        <f t="array" ref="G56">IFERROR(XLOOKUP($H58, '食譜'!$B:$B, '食譜'!$N:$N), "")</f>
        <v>純粹油</v>
      </c>
      <c r="I56" s="10" t="str">
        <f t="array" ref="I56">IFERROR(XLOOKUP($G56, ing_name, ing_ico), "")</f>
        <v/>
      </c>
      <c r="J56" s="45">
        <f t="array" ref="J56">IFERROR(XLOOKUP($H58, '食譜'!$B:$B, '食譜'!$O:$O), "")</f>
        <v>22</v>
      </c>
      <c r="K56" s="51">
        <f t="shared" si="21"/>
        <v>0.2248500718</v>
      </c>
      <c r="L56" s="46">
        <f t="array" ref="L56">IFERROR(XLOOKUP($G56, ing_name, my_prod), "")</f>
        <v>56.61</v>
      </c>
      <c r="M56" s="55">
        <f t="shared" si="22"/>
        <v>0.8204347826</v>
      </c>
      <c r="N56" s="58">
        <f t="shared" si="23"/>
        <v>1.218865925</v>
      </c>
      <c r="O56" s="59">
        <f t="array" ref="O56">N56/(1/(1-(0.05)*IFERROR(XLOOKUP($H58, $T:$T, $U:$U, "N/A"), "")))</f>
        <v>1.096979332</v>
      </c>
      <c r="P56" s="10" t="str">
        <f t="shared" si="24"/>
        <v>26h 19m</v>
      </c>
      <c r="Q56" s="10"/>
      <c r="R56" s="10"/>
      <c r="S56" s="5"/>
      <c r="T56" s="5"/>
      <c r="U56" s="5"/>
      <c r="V56" s="5"/>
      <c r="W56" s="23"/>
      <c r="X56" s="5"/>
      <c r="Y56" s="5"/>
      <c r="Z56" s="5"/>
      <c r="AA56" s="5"/>
      <c r="AB56" s="5"/>
      <c r="AC56" s="5"/>
      <c r="AD56" s="5"/>
    </row>
    <row r="57">
      <c r="A57" s="5">
        <f t="array" ref="A57">IFERROR(XLOOKUP($H$8, '計算公式'!$B:$B, '計算公式'!T:T), "")</f>
        <v>2.378958333</v>
      </c>
      <c r="B57" s="5">
        <f t="array" ref="B57">IFERROR(XLOOKUP($H$8, '計算公式'!$B:$B, '計算公式'!U:U), "")</f>
        <v>0.4203520448</v>
      </c>
      <c r="C57" s="5" t="str">
        <f t="array" ref="C57">IFERROR(XLOOKUP($H$8, '計算公式'!$B:$B, '計算公式'!V:V), "")</f>
        <v>10h 5m</v>
      </c>
      <c r="D57" s="5">
        <f t="array" ref="D57">IFERROR(XLOOKUP($H$8, '計算公式'!$B:$B, '計算公式'!R:R), "")</f>
        <v>114.19</v>
      </c>
      <c r="E57" s="5">
        <f t="array" ref="E57">IFERROR(XLOOKUP($H$8, '計算公式'!$B:$B, '計算公式'!S:S), "")</f>
        <v>48</v>
      </c>
      <c r="F57" s="5">
        <f t="array" ref="F57">IFERROR(XLOOKUP($G57, ing_name, ing_energy), "")</f>
        <v>124</v>
      </c>
      <c r="G57" s="5" t="str">
        <f t="array" ref="G57">IFERROR(XLOOKUP($H58, '食譜'!$B:$B, '食譜'!P:P), "")</f>
        <v>窩心洋芋</v>
      </c>
      <c r="I57" s="10" t="str">
        <f t="array" ref="I57">IFERROR(XLOOKUP($G57, ing_name, ing_ico), "")</f>
        <v/>
      </c>
      <c r="J57" s="45">
        <f t="array" ref="J57">IFERROR(XLOOKUP($H58, '食譜'!$B:$B, '食譜'!$Q:$Q), "")</f>
        <v>22</v>
      </c>
      <c r="K57" s="51">
        <f t="shared" si="21"/>
        <v>0.230424867</v>
      </c>
      <c r="L57" s="46">
        <f t="array" ref="L57">IFERROR(XLOOKUP($G57, ing_name, my_prod), "")</f>
        <v>90.57</v>
      </c>
      <c r="M57" s="55">
        <f t="shared" si="22"/>
        <v>1.886875</v>
      </c>
      <c r="N57" s="60">
        <f t="shared" si="23"/>
        <v>0.5299768135</v>
      </c>
      <c r="O57" s="61">
        <f t="array" ref="O57">N57/(1/(1-(0.05)*IFERROR(XLOOKUP($H58, $T:$T, $U:$U, "N/A"), "")))</f>
        <v>0.4769791322</v>
      </c>
      <c r="P57" s="10" t="str">
        <f t="shared" si="24"/>
        <v>11h 26m</v>
      </c>
      <c r="Q57" s="10"/>
      <c r="R57" s="10"/>
      <c r="S57" s="5"/>
      <c r="T57" s="5"/>
      <c r="U57" s="5"/>
      <c r="V57" s="5"/>
      <c r="W57" s="23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>
        <f t="array" ref="G58">IFERROR(XLOOKUP($H58, '食譜'!$B:$B, '食譜'!$G:$G), "")</f>
        <v>12558</v>
      </c>
      <c r="H58" s="45" t="str">
        <f>T8</f>
        <v>不服輸咖啡沙拉</v>
      </c>
      <c r="I58" s="10"/>
      <c r="J58" s="45">
        <f>SUM(J54:J57)</f>
        <v>100</v>
      </c>
      <c r="K58" s="51">
        <v>1.0</v>
      </c>
      <c r="L58" s="48" t="str">
        <f t="array" ref="L58">IFERROR(XLOOKUP($G58, ing_name, my_prod), "")</f>
        <v/>
      </c>
      <c r="M58" s="49"/>
      <c r="N58" s="62">
        <f>sum(N54:N57)</f>
        <v>3.482309899</v>
      </c>
      <c r="O58" s="63">
        <f>N58/(1/(1-(0.05)*U8))</f>
        <v>3.134078909</v>
      </c>
      <c r="P58" s="10" t="str">
        <f t="shared" si="24"/>
        <v>75h 13m</v>
      </c>
      <c r="Q58" s="46">
        <f t="array" ref="Q58">IFERROR(XLOOKUP($H58, '食譜'!$B:$B, '食譜'!$H:$H), "")*(3+U14*3)</f>
        <v>66719.4</v>
      </c>
      <c r="R58" s="64">
        <f>Q58/O58</f>
        <v>21288.35997</v>
      </c>
      <c r="S58" s="5"/>
      <c r="T58" s="5"/>
      <c r="U58" s="5"/>
      <c r="V58" s="5"/>
      <c r="W58" s="23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10"/>
      <c r="F59" s="10"/>
      <c r="G59" s="10"/>
      <c r="H59" s="10" t="str">
        <f t="array" ref="H59">"料理能量："&amp;IFERROR(XLOOKUP($H58, '食譜'!$B:$B, '食譜'!$H:$H), "")</f>
        <v>料理能量：20218</v>
      </c>
      <c r="I59" s="10"/>
      <c r="J59" s="10"/>
      <c r="K59" s="10"/>
      <c r="L59" s="48"/>
      <c r="M59" s="49"/>
      <c r="N59" s="49" t="s">
        <v>77</v>
      </c>
      <c r="O59" s="10" t="s">
        <v>78</v>
      </c>
      <c r="P59" s="10" t="s">
        <v>79</v>
      </c>
      <c r="Q59" s="10" t="s">
        <v>80</v>
      </c>
      <c r="R59" s="10" t="s">
        <v>68</v>
      </c>
      <c r="S59" s="5"/>
      <c r="T59" s="5"/>
      <c r="U59" s="5"/>
      <c r="V59" s="5"/>
      <c r="W59" s="23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23"/>
      <c r="M60" s="24"/>
      <c r="N60" s="5"/>
      <c r="O60" s="5"/>
      <c r="P60" s="5"/>
      <c r="Q60" s="5"/>
      <c r="R60" s="5"/>
      <c r="S60" s="5"/>
      <c r="T60" s="5"/>
      <c r="U60" s="5"/>
      <c r="V60" s="5"/>
      <c r="W60" s="23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23"/>
      <c r="M61" s="24"/>
      <c r="N61" s="5"/>
      <c r="O61" s="5"/>
      <c r="P61" s="5"/>
      <c r="Q61" s="5"/>
      <c r="R61" s="5"/>
      <c r="S61" s="5"/>
      <c r="T61" s="5"/>
      <c r="U61" s="5"/>
      <c r="V61" s="5"/>
      <c r="W61" s="23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10"/>
      <c r="F62" s="10"/>
      <c r="G62" s="10"/>
      <c r="H62" s="10"/>
      <c r="I62" s="10"/>
      <c r="J62" s="10"/>
      <c r="K62" s="45" t="s">
        <v>58</v>
      </c>
      <c r="L62" s="46" t="s">
        <v>59</v>
      </c>
      <c r="M62" s="47" t="s">
        <v>60</v>
      </c>
      <c r="N62" s="47" t="s">
        <v>61</v>
      </c>
      <c r="O62" s="45" t="s">
        <v>62</v>
      </c>
      <c r="P62" s="10" t="s">
        <v>63</v>
      </c>
      <c r="Q62" s="45" t="s">
        <v>64</v>
      </c>
      <c r="R62" s="10"/>
      <c r="S62" s="5"/>
      <c r="T62" s="5"/>
      <c r="U62" s="5"/>
      <c r="V62" s="5"/>
      <c r="W62" s="23"/>
      <c r="X62" s="5"/>
      <c r="Y62" s="5"/>
      <c r="Z62" s="5"/>
      <c r="AA62" s="5"/>
      <c r="AB62" s="5"/>
      <c r="AC62" s="5"/>
      <c r="AD62" s="5"/>
    </row>
    <row r="63">
      <c r="A63" s="31" t="s">
        <v>57</v>
      </c>
      <c r="B63" s="32" t="s">
        <v>69</v>
      </c>
      <c r="C63" s="31" t="s">
        <v>70</v>
      </c>
      <c r="D63" s="31" t="s">
        <v>71</v>
      </c>
      <c r="E63" s="31" t="s">
        <v>72</v>
      </c>
      <c r="F63" s="5"/>
      <c r="G63" s="5"/>
      <c r="H63" s="10"/>
      <c r="I63" s="10" t="str">
        <f t="array" ref="I63">LET(last_row,IFERROR(LOOKUP(2,1/('我的食材檔案'!J62:J1060&lt;&gt;""),ROW('我的食材檔案'!J62:J1060)),2),ing_r,INDIRECT("'我的食材檔案'!D2:D"&amp;last_row),ico_r,INDIRECT("'我的食材檔案'!A2:A"&amp;last_row),IFERROR(INDEX(ico_r,MATCH(H63,ing_r,0)),""))</f>
        <v/>
      </c>
      <c r="J63" s="10" t="s">
        <v>73</v>
      </c>
      <c r="K63" s="10" t="s">
        <v>74</v>
      </c>
      <c r="L63" s="48" t="s">
        <v>75</v>
      </c>
      <c r="M63" s="49" t="s">
        <v>56</v>
      </c>
      <c r="N63" s="49" t="s">
        <v>76</v>
      </c>
      <c r="O63" s="45" t="str">
        <f t="array" ref="O63">"幫獎："&amp; IFERROR(XLOOKUP(H68, T:T, U:U, "N/A"), "0")</f>
        <v>幫獎：1</v>
      </c>
      <c r="P63" s="10" t="s">
        <v>70</v>
      </c>
      <c r="Q63" s="10" t="str">
        <f>"倍率："&amp; $U$14</f>
        <v>倍率：0.1</v>
      </c>
      <c r="R63" s="10"/>
      <c r="S63" s="5"/>
      <c r="T63" s="5"/>
      <c r="U63" s="5"/>
      <c r="V63" s="5"/>
      <c r="W63" s="23"/>
      <c r="X63" s="5"/>
      <c r="Y63" s="5"/>
      <c r="Z63" s="5"/>
      <c r="AA63" s="5"/>
      <c r="AB63" s="5"/>
      <c r="AC63" s="5"/>
      <c r="AD63" s="5"/>
    </row>
    <row r="64">
      <c r="A64" s="5">
        <f t="array" ref="A64">IFERROR(XLOOKUP($H68, '計算公式'!$B:$B, '計算公式'!E:E), "")</f>
        <v>1.373421053</v>
      </c>
      <c r="B64" s="5">
        <f t="array" ref="B64">IFERROR(XLOOKUP($H68, '計算公式'!$B:$B, '計算公式'!F:F), "")</f>
        <v>0.7281088331</v>
      </c>
      <c r="C64" s="5" t="str">
        <f t="array" ref="C64">IFERROR(XLOOKUP($H68, '計算公式'!$B:$B, '計算公式'!G:G), "")</f>
        <v>17h 28m</v>
      </c>
      <c r="D64" s="5">
        <f t="array" ref="D64">IFERROR(XLOOKUP($H$8, '計算公式'!$B:$B, '計算公式'!C:C), "")</f>
        <v>148.65</v>
      </c>
      <c r="E64" s="5">
        <f t="array" ref="E64">IFERROR(XLOOKUP($H68, '計算公式'!$B:$B, '計算公式'!D:D), "")</f>
        <v>114</v>
      </c>
      <c r="F64" s="5">
        <f t="array" ref="F64">IFERROR(XLOOKUP($G64, ing_name, ing_energy), "")</f>
        <v>101</v>
      </c>
      <c r="G64" s="5" t="str">
        <f t="array" ref="G64">IFERROR(XLOOKUP($H68, '食譜'!$B:$B, '食譜'!$J:$J), "")</f>
        <v>甜甜蜜</v>
      </c>
      <c r="H64" s="50" t="str">
        <f t="array" ref="H64">IFERROR(XLOOKUP(H68, '食譜'!B:B, '食譜'!A:A), "")</f>
        <v/>
      </c>
      <c r="I64" s="10" t="str">
        <f t="array" ref="I64">IFERROR(XLOOKUP($G64, ing_name, ing_ico), "")</f>
        <v/>
      </c>
      <c r="J64" s="45">
        <f t="array" ref="J64">IFERROR(XLOOKUP($H68, '食譜'!$B:$B, '食譜'!$K:$K), "")</f>
        <v>38</v>
      </c>
      <c r="K64" s="51">
        <f t="shared" ref="K64:K67" si="25">J64*F64/$G$8</f>
        <v>0.3241827857</v>
      </c>
      <c r="L64" s="46">
        <f t="array" ref="L64">IFERROR(XLOOKUP($G64, ing_name, my_prod), "")</f>
        <v>146.31</v>
      </c>
      <c r="M64" s="52">
        <f t="shared" ref="M64:M67" si="26">L64/E64</f>
        <v>1.283421053</v>
      </c>
      <c r="N64" s="53">
        <f t="shared" ref="N64:N67" si="27">E64/L64</f>
        <v>0.779167521</v>
      </c>
      <c r="O64" s="54">
        <f t="array" ref="O64">N64/(1/(1-(0.05)*IFERROR(XLOOKUP($H68, $T:$T, $U:$U, "N/A"), "")))</f>
        <v>0.740209145</v>
      </c>
      <c r="P64" s="10" t="str">
        <f t="shared" ref="P64:P68" si="28">IFERROR(INT(O64*24)&amp;"h "&amp;INT(MOD(O64*24,1)*60)&amp;"m", "")</f>
        <v>17h 45m</v>
      </c>
      <c r="Q64" s="10"/>
      <c r="R64" s="10"/>
      <c r="S64" s="5"/>
      <c r="T64" s="5"/>
      <c r="U64" s="5"/>
      <c r="V64" s="5"/>
      <c r="W64" s="23"/>
      <c r="X64" s="5"/>
      <c r="Y64" s="5"/>
      <c r="Z64" s="5"/>
      <c r="AA64" s="5"/>
      <c r="AB64" s="5"/>
      <c r="AC64" s="5"/>
      <c r="AD64" s="5"/>
    </row>
    <row r="65">
      <c r="A65" s="5">
        <f t="array" ref="A65">IFERROR(XLOOKUP($H$8, '計算公式'!$B:$B, '計算公式'!J:J), "")</f>
        <v>1.834133333</v>
      </c>
      <c r="B65" s="5">
        <f t="array" ref="B65">IFERROR(XLOOKUP($H$8, '計算公式'!$B:$B, '計算公式'!K:K), "")</f>
        <v>0.5452166327</v>
      </c>
      <c r="C65" s="5" t="str">
        <f t="array" ref="C65">IFERROR(XLOOKUP($H$8, '計算公式'!$B:$B, '計算公式'!L:L), "")</f>
        <v>13h 5m</v>
      </c>
      <c r="D65" s="5">
        <f t="array" ref="D65">IFERROR(XLOOKUP($H$8, '計算公式'!$B:$B, '計算公式'!H:H), "")</f>
        <v>137.56</v>
      </c>
      <c r="E65" s="5">
        <f t="array" ref="E65">IFERROR(XLOOKUP($H$8, '計算公式'!$B:$B, '計算公式'!I:I), "")</f>
        <v>75</v>
      </c>
      <c r="F65" s="5">
        <f t="array" ref="F65">IFERROR(XLOOKUP($G65, ing_name, ing_energy), "")</f>
        <v>140</v>
      </c>
      <c r="G65" s="5" t="str">
        <f t="array" ref="G65">IFERROR(XLOOKUP($H68, '食譜'!$B:$B, '食譜'!$L:$L), "")</f>
        <v>萌綠玉米</v>
      </c>
      <c r="I65" s="10" t="str">
        <f t="array" ref="I65">IFERROR(XLOOKUP($G65, ing_name, ing_ico), "")</f>
        <v/>
      </c>
      <c r="J65" s="45">
        <f t="array" ref="J65">IFERROR(XLOOKUP($H68, '食譜'!$B:$B, '食譜'!$M:$M), "")</f>
        <v>28</v>
      </c>
      <c r="K65" s="51">
        <f t="shared" si="25"/>
        <v>0.3311090464</v>
      </c>
      <c r="L65" s="46">
        <f t="array" ref="L65">IFERROR(XLOOKUP($G65, ing_name, my_prod), "")</f>
        <v>120.13</v>
      </c>
      <c r="M65" s="55">
        <f t="shared" si="26"/>
        <v>1.601733333</v>
      </c>
      <c r="N65" s="56">
        <f t="shared" si="27"/>
        <v>0.6243236494</v>
      </c>
      <c r="O65" s="57">
        <f t="array" ref="O65">N65/(1/(1-(0.05)*IFERROR(XLOOKUP($H68, $T:$T, $U:$U, "N/A"), "")))</f>
        <v>0.5931074669</v>
      </c>
      <c r="P65" s="10" t="str">
        <f t="shared" si="28"/>
        <v>14h 14m</v>
      </c>
      <c r="Q65" s="10"/>
      <c r="R65" s="10"/>
      <c r="S65" s="5"/>
      <c r="T65" s="5"/>
      <c r="U65" s="5"/>
      <c r="V65" s="5"/>
      <c r="W65" s="23"/>
      <c r="X65" s="5"/>
      <c r="Y65" s="5"/>
      <c r="Z65" s="5"/>
      <c r="AA65" s="5"/>
      <c r="AB65" s="5"/>
      <c r="AC65" s="5"/>
      <c r="AD65" s="5"/>
    </row>
    <row r="66">
      <c r="A66" s="5">
        <f t="array" ref="A66">IFERROR(XLOOKUP($H$8, '計算公式'!$B:$B, '計算公式'!O:O), "")</f>
        <v>1.343043478</v>
      </c>
      <c r="B66" s="5">
        <f t="array" ref="B66">IFERROR(XLOOKUP($H$8, '計算公式'!$B:$B, '計算公式'!P:P), "")</f>
        <v>0.7445775332</v>
      </c>
      <c r="C66" s="5" t="str">
        <f t="array" ref="C66">IFERROR(XLOOKUP($H$8, '計算公式'!$B:$B, '計算公式'!Q:Q), "")</f>
        <v>17h 52m</v>
      </c>
      <c r="D66" s="5">
        <f t="array" ref="D66">IFERROR(XLOOKUP($H$8, '計算公式'!$B:$B, '計算公式'!M:M), "")</f>
        <v>92.67</v>
      </c>
      <c r="E66" s="5">
        <f t="array" ref="E66">IFERROR(XLOOKUP($H$8, '計算公式'!$B:$B, '計算公式'!N:N), "")</f>
        <v>69</v>
      </c>
      <c r="F66" s="5">
        <f t="array" ref="F66">IFERROR(XLOOKUP($G66, ing_name, ing_energy), "")</f>
        <v>121</v>
      </c>
      <c r="G66" s="5" t="str">
        <f t="array" ref="G66">IFERROR(XLOOKUP($H68, '食譜'!$B:$B, '食譜'!$N:$N), "")</f>
        <v>純粹油</v>
      </c>
      <c r="I66" s="10" t="str">
        <f t="array" ref="I66">IFERROR(XLOOKUP($G66, ing_name, ing_ico), "")</f>
        <v/>
      </c>
      <c r="J66" s="45">
        <f t="array" ref="J66">IFERROR(XLOOKUP($H68, '食譜'!$B:$B, '食譜'!$O:$O), "")</f>
        <v>28</v>
      </c>
      <c r="K66" s="51">
        <f t="shared" si="25"/>
        <v>0.2861728187</v>
      </c>
      <c r="L66" s="46">
        <f t="array" ref="L66">IFERROR(XLOOKUP($G66, ing_name, my_prod), "")</f>
        <v>56.61</v>
      </c>
      <c r="M66" s="55">
        <f t="shared" si="26"/>
        <v>0.8204347826</v>
      </c>
      <c r="N66" s="58">
        <f t="shared" si="27"/>
        <v>1.218865925</v>
      </c>
      <c r="O66" s="59">
        <f t="array" ref="O66">N66/(1/(1-(0.05)*IFERROR(XLOOKUP($H68, $T:$T, $U:$U, "N/A"), "")))</f>
        <v>1.157922629</v>
      </c>
      <c r="P66" s="10" t="str">
        <f t="shared" si="28"/>
        <v>27h 47m</v>
      </c>
      <c r="Q66" s="10"/>
      <c r="R66" s="10"/>
      <c r="S66" s="5"/>
      <c r="T66" s="5"/>
      <c r="U66" s="5"/>
      <c r="V66" s="5"/>
      <c r="W66" s="23"/>
      <c r="X66" s="5"/>
      <c r="Y66" s="5"/>
      <c r="Z66" s="5"/>
      <c r="AA66" s="5"/>
      <c r="AB66" s="5"/>
      <c r="AC66" s="5"/>
      <c r="AD66" s="5"/>
    </row>
    <row r="67">
      <c r="A67" s="5">
        <f t="array" ref="A67">IFERROR(XLOOKUP($H$8, '計算公式'!$B:$B, '計算公式'!T:T), "")</f>
        <v>2.378958333</v>
      </c>
      <c r="B67" s="5">
        <f t="array" ref="B67">IFERROR(XLOOKUP($H$8, '計算公式'!$B:$B, '計算公式'!U:U), "")</f>
        <v>0.4203520448</v>
      </c>
      <c r="C67" s="5" t="str">
        <f t="array" ref="C67">IFERROR(XLOOKUP($H$8, '計算公式'!$B:$B, '計算公式'!V:V), "")</f>
        <v>10h 5m</v>
      </c>
      <c r="D67" s="5">
        <f t="array" ref="D67">IFERROR(XLOOKUP($H$8, '計算公式'!$B:$B, '計算公式'!R:R), "")</f>
        <v>114.19</v>
      </c>
      <c r="E67" s="5">
        <f t="array" ref="E67">IFERROR(XLOOKUP($H$8, '計算公式'!$B:$B, '計算公式'!S:S), "")</f>
        <v>48</v>
      </c>
      <c r="F67" s="5">
        <f t="array" ref="F67">IFERROR(XLOOKUP($G67, ing_name, ing_energy), "")</f>
        <v>151</v>
      </c>
      <c r="G67" s="5" t="str">
        <f t="array" ref="G67">IFERROR(XLOOKUP($H68, '食譜'!$B:$B, '食譜'!P:P), "")</f>
        <v>放鬆可可</v>
      </c>
      <c r="I67" s="10" t="str">
        <f t="array" ref="I67">IFERROR(XLOOKUP($G67, ing_name, ing_ico), "")</f>
        <v/>
      </c>
      <c r="J67" s="45">
        <f t="array" ref="J67">IFERROR(XLOOKUP($H68, '食譜'!$B:$B, '食譜'!$Q:$Q), "")</f>
        <v>21</v>
      </c>
      <c r="K67" s="51">
        <f t="shared" si="25"/>
        <v>0.2678435679</v>
      </c>
      <c r="L67" s="46">
        <f t="array" ref="L67">IFERROR(XLOOKUP($G67, ing_name, my_prod), "")</f>
        <v>76.86</v>
      </c>
      <c r="M67" s="55">
        <f t="shared" si="26"/>
        <v>1.60125</v>
      </c>
      <c r="N67" s="60">
        <f t="shared" si="27"/>
        <v>0.6245120999</v>
      </c>
      <c r="O67" s="61">
        <f t="array" ref="O67">N67/(1/(1-(0.05)*IFERROR(XLOOKUP($H68, $T:$T, $U:$U, "N/A"), "")))</f>
        <v>0.5932864949</v>
      </c>
      <c r="P67" s="10" t="str">
        <f t="shared" si="28"/>
        <v>14h 14m</v>
      </c>
      <c r="Q67" s="10"/>
      <c r="R67" s="10"/>
      <c r="S67" s="5"/>
      <c r="T67" s="5"/>
      <c r="U67" s="5"/>
      <c r="V67" s="5"/>
      <c r="W67" s="23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>
        <f t="array" ref="G68">IFERROR(XLOOKUP($H68, '食譜'!$B:$B, '食譜'!$G:$G), "")</f>
        <v>14317</v>
      </c>
      <c r="H68" s="45" t="str">
        <f>T9</f>
        <v>採蜜巧克力格子鬆餅</v>
      </c>
      <c r="I68" s="10"/>
      <c r="J68" s="45">
        <f>SUM(J64:J67)</f>
        <v>115</v>
      </c>
      <c r="K68" s="51">
        <v>1.0</v>
      </c>
      <c r="L68" s="48" t="str">
        <f t="array" ref="L68">IFERROR(XLOOKUP($G68, ing_name, my_prod), "")</f>
        <v/>
      </c>
      <c r="M68" s="49"/>
      <c r="N68" s="62">
        <f>sum(N64:N67)</f>
        <v>3.246869195</v>
      </c>
      <c r="O68" s="63">
        <f>N68/(1/(1-(0.05)*U9))</f>
        <v>3.084525735</v>
      </c>
      <c r="P68" s="10" t="str">
        <f t="shared" si="28"/>
        <v>74h 1m</v>
      </c>
      <c r="Q68" s="46">
        <f t="array" ref="Q68">IFERROR(XLOOKUP($H68, '食譜'!$B:$B, '食譜'!$H:$H), "")*(3+U14*3)</f>
        <v>84097.2</v>
      </c>
      <c r="R68" s="64">
        <f>Q68/O68</f>
        <v>27264.22381</v>
      </c>
      <c r="S68" s="5"/>
      <c r="T68" s="5"/>
      <c r="U68" s="5"/>
      <c r="V68" s="5"/>
      <c r="W68" s="23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10"/>
      <c r="F69" s="10"/>
      <c r="G69" s="10"/>
      <c r="H69" s="10" t="str">
        <f t="array" ref="H69">"料理能量："&amp;IFERROR(XLOOKUP($H68, '食譜'!$B:$B, '食譜'!$H:$H), "")</f>
        <v>料理能量：25484</v>
      </c>
      <c r="I69" s="10"/>
      <c r="J69" s="10"/>
      <c r="K69" s="10"/>
      <c r="L69" s="48"/>
      <c r="M69" s="49"/>
      <c r="N69" s="49" t="s">
        <v>77</v>
      </c>
      <c r="O69" s="10" t="s">
        <v>78</v>
      </c>
      <c r="P69" s="10" t="s">
        <v>79</v>
      </c>
      <c r="Q69" s="10" t="s">
        <v>80</v>
      </c>
      <c r="R69" s="10" t="s">
        <v>68</v>
      </c>
      <c r="S69" s="5"/>
      <c r="T69" s="5"/>
      <c r="U69" s="5"/>
      <c r="V69" s="5"/>
      <c r="W69" s="23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23"/>
      <c r="M70" s="24"/>
      <c r="N70" s="5"/>
      <c r="O70" s="5"/>
      <c r="P70" s="5"/>
      <c r="Q70" s="5"/>
      <c r="R70" s="5"/>
      <c r="S70" s="5"/>
      <c r="T70" s="5"/>
      <c r="U70" s="5"/>
      <c r="V70" s="5"/>
      <c r="W70" s="23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23"/>
      <c r="M71" s="24"/>
      <c r="N71" s="5"/>
      <c r="O71" s="5"/>
      <c r="P71" s="5"/>
      <c r="Q71" s="5"/>
      <c r="R71" s="5"/>
      <c r="S71" s="5"/>
      <c r="T71" s="5"/>
      <c r="U71" s="5"/>
      <c r="V71" s="5"/>
      <c r="W71" s="23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10"/>
      <c r="F72" s="10"/>
      <c r="G72" s="10"/>
      <c r="H72" s="10"/>
      <c r="I72" s="10"/>
      <c r="J72" s="10"/>
      <c r="K72" s="45" t="s">
        <v>58</v>
      </c>
      <c r="L72" s="46" t="s">
        <v>59</v>
      </c>
      <c r="M72" s="47" t="s">
        <v>60</v>
      </c>
      <c r="N72" s="47" t="s">
        <v>61</v>
      </c>
      <c r="O72" s="45" t="s">
        <v>62</v>
      </c>
      <c r="P72" s="10" t="s">
        <v>63</v>
      </c>
      <c r="Q72" s="45" t="s">
        <v>64</v>
      </c>
      <c r="R72" s="10"/>
      <c r="S72" s="5"/>
      <c r="T72" s="5"/>
      <c r="U72" s="5"/>
      <c r="V72" s="5"/>
      <c r="W72" s="23"/>
      <c r="X72" s="5"/>
      <c r="Y72" s="5"/>
      <c r="Z72" s="5"/>
      <c r="AA72" s="5"/>
      <c r="AB72" s="5"/>
      <c r="AC72" s="5"/>
      <c r="AD72" s="5"/>
    </row>
    <row r="73">
      <c r="A73" s="31" t="s">
        <v>57</v>
      </c>
      <c r="B73" s="32" t="s">
        <v>69</v>
      </c>
      <c r="C73" s="31" t="s">
        <v>70</v>
      </c>
      <c r="D73" s="31" t="s">
        <v>71</v>
      </c>
      <c r="E73" s="31" t="s">
        <v>72</v>
      </c>
      <c r="F73" s="5"/>
      <c r="G73" s="5"/>
      <c r="H73" s="10"/>
      <c r="I73" s="10" t="str">
        <f t="array" ref="I73">LET(last_row,IFERROR(LOOKUP(2,1/('我的食材檔案'!J72:J1070&lt;&gt;""),ROW('我的食材檔案'!J72:J1070)),2),ing_r,INDIRECT("'我的食材檔案'!D2:D"&amp;last_row),ico_r,INDIRECT("'我的食材檔案'!A2:A"&amp;last_row),IFERROR(INDEX(ico_r,MATCH(H73,ing_r,0)),""))</f>
        <v/>
      </c>
      <c r="J73" s="10" t="s">
        <v>73</v>
      </c>
      <c r="K73" s="10" t="s">
        <v>74</v>
      </c>
      <c r="L73" s="48" t="s">
        <v>75</v>
      </c>
      <c r="M73" s="49" t="s">
        <v>56</v>
      </c>
      <c r="N73" s="49" t="s">
        <v>76</v>
      </c>
      <c r="O73" s="45" t="str">
        <f t="array" ref="O73">"幫獎："&amp; IFERROR(XLOOKUP(H78, T:T, U:U, "N/A"), "0")</f>
        <v>幫獎：2</v>
      </c>
      <c r="P73" s="10" t="s">
        <v>70</v>
      </c>
      <c r="Q73" s="10" t="str">
        <f>"倍率："&amp; $U$14</f>
        <v>倍率：0.1</v>
      </c>
      <c r="R73" s="10"/>
      <c r="S73" s="5"/>
      <c r="T73" s="5"/>
      <c r="U73" s="5"/>
      <c r="V73" s="5"/>
      <c r="W73" s="23"/>
      <c r="X73" s="5"/>
      <c r="Y73" s="5"/>
      <c r="Z73" s="5"/>
      <c r="AA73" s="5"/>
      <c r="AB73" s="5"/>
      <c r="AC73" s="5"/>
      <c r="AD73" s="5"/>
    </row>
    <row r="74">
      <c r="A74" s="5">
        <f t="array" ref="A74">IFERROR(XLOOKUP($H78, '計算公式'!$B:$B, '計算公式'!E:E), "")</f>
        <v>1.167592593</v>
      </c>
      <c r="B74" s="5">
        <f t="array" ref="B74">IFERROR(XLOOKUP($H78, '計算公式'!$B:$B, '計算公式'!F:F), "")</f>
        <v>0.8564631245</v>
      </c>
      <c r="C74" s="5" t="str">
        <f t="array" ref="C74">IFERROR(XLOOKUP($H78, '計算公式'!$B:$B, '計算公式'!G:G), "")</f>
        <v>20h 33m</v>
      </c>
      <c r="D74" s="5">
        <f t="array" ref="D74">IFERROR(XLOOKUP($H$8, '計算公式'!$B:$B, '計算公式'!C:C), "")</f>
        <v>148.65</v>
      </c>
      <c r="E74" s="5">
        <f t="array" ref="E74">IFERROR(XLOOKUP($H78, '計算公式'!$B:$B, '計算公式'!D:D), "")</f>
        <v>54</v>
      </c>
      <c r="F74" s="5">
        <f t="array" ref="F74">IFERROR(XLOOKUP($G74, ing_name, ing_energy), "")</f>
        <v>250</v>
      </c>
      <c r="G74" s="5" t="str">
        <f t="array" ref="G74">IFERROR(XLOOKUP($H78, '食譜'!$B:$B, '食譜'!$J:$J), "")</f>
        <v>沉甸甸南瓜</v>
      </c>
      <c r="H74" s="50" t="str">
        <f t="array" ref="H74">IFERROR(XLOOKUP(H78, '食譜'!B:B, '食譜'!A:A), "")</f>
        <v/>
      </c>
      <c r="I74" s="10" t="str">
        <f t="array" ref="I74">IFERROR(XLOOKUP($G74, ing_name, ing_ico), "")</f>
        <v/>
      </c>
      <c r="J74" s="45">
        <f t="array" ref="J74">IFERROR(XLOOKUP($H78, '食譜'!$B:$B, '食譜'!$K:$K), "")</f>
        <v>18</v>
      </c>
      <c r="K74" s="51">
        <f t="shared" ref="K74:K77" si="29">J74*F74/$G$8</f>
        <v>0.3800996706</v>
      </c>
      <c r="L74" s="46">
        <f t="array" ref="L74">IFERROR(XLOOKUP($G74, ing_name, my_prod), "")</f>
        <v>1</v>
      </c>
      <c r="M74" s="52">
        <f t="shared" ref="M74:M77" si="30">L74/E74</f>
        <v>0.01851851852</v>
      </c>
      <c r="N74" s="53">
        <f t="shared" ref="N74:N77" si="31">E74/L74</f>
        <v>54</v>
      </c>
      <c r="O74" s="54">
        <f t="array" ref="O74">N74/(1/(1-(0.05)*IFERROR(XLOOKUP($H78, $T:$T, $U:$U, "N/A"), "")))</f>
        <v>48.6</v>
      </c>
      <c r="P74" s="10" t="str">
        <f t="shared" ref="P74:P78" si="32">IFERROR(INT(O74*24)&amp;"h "&amp;INT(MOD(O74*24,1)*60)&amp;"m", "")</f>
        <v>1166h 23m</v>
      </c>
      <c r="Q74" s="10"/>
      <c r="R74" s="10"/>
      <c r="S74" s="5"/>
      <c r="T74" s="5"/>
      <c r="U74" s="5"/>
      <c r="V74" s="5"/>
      <c r="W74" s="23"/>
      <c r="X74" s="5"/>
      <c r="Y74" s="5"/>
      <c r="Z74" s="5"/>
      <c r="AA74" s="5"/>
      <c r="AB74" s="5"/>
      <c r="AC74" s="5"/>
      <c r="AD74" s="5"/>
    </row>
    <row r="75">
      <c r="A75" s="5">
        <f t="array" ref="A75">IFERROR(XLOOKUP($H$8, '計算公式'!$B:$B, '計算公式'!J:J), "")</f>
        <v>1.834133333</v>
      </c>
      <c r="B75" s="5">
        <f t="array" ref="B75">IFERROR(XLOOKUP($H$8, '計算公式'!$B:$B, '計算公式'!K:K), "")</f>
        <v>0.5452166327</v>
      </c>
      <c r="C75" s="5" t="str">
        <f t="array" ref="C75">IFERROR(XLOOKUP($H$8, '計算公式'!$B:$B, '計算公式'!L:L), "")</f>
        <v>13h 5m</v>
      </c>
      <c r="D75" s="5">
        <f t="array" ref="D75">IFERROR(XLOOKUP($H$8, '計算公式'!$B:$B, '計算公式'!H:H), "")</f>
        <v>137.56</v>
      </c>
      <c r="E75" s="5">
        <f t="array" ref="E75">IFERROR(XLOOKUP($H$8, '計算公式'!$B:$B, '計算公式'!I:I), "")</f>
        <v>75</v>
      </c>
      <c r="F75" s="5">
        <f t="array" ref="F75">IFERROR(XLOOKUP($G75, ing_name, ing_energy), "")</f>
        <v>115</v>
      </c>
      <c r="G75" s="5" t="str">
        <f t="array" ref="G75">IFERROR(XLOOKUP($H78, '食譜'!$B:$B, '食譜'!$L:$L), "")</f>
        <v>特選蛋</v>
      </c>
      <c r="I75" s="10" t="str">
        <f t="array" ref="I75">IFERROR(XLOOKUP($G75, ing_name, ing_ico), "")</f>
        <v/>
      </c>
      <c r="J75" s="45">
        <f t="array" ref="J75">IFERROR(XLOOKUP($H78, '食譜'!$B:$B, '食譜'!$M:$M), "")</f>
        <v>24</v>
      </c>
      <c r="K75" s="51">
        <f t="shared" si="29"/>
        <v>0.233127798</v>
      </c>
      <c r="L75" s="46">
        <f t="array" ref="L75">IFERROR(XLOOKUP($G75, ing_name, my_prod), "")</f>
        <v>91.73</v>
      </c>
      <c r="M75" s="55">
        <f t="shared" si="30"/>
        <v>1.223066667</v>
      </c>
      <c r="N75" s="56">
        <f t="shared" si="31"/>
        <v>0.8176169192</v>
      </c>
      <c r="O75" s="57">
        <f t="array" ref="O75">N75/(1/(1-(0.05)*IFERROR(XLOOKUP($H78, $T:$T, $U:$U, "N/A"), "")))</f>
        <v>0.7358552273</v>
      </c>
      <c r="P75" s="10" t="str">
        <f t="shared" si="32"/>
        <v>17h 39m</v>
      </c>
      <c r="Q75" s="10"/>
      <c r="R75" s="10"/>
      <c r="S75" s="5"/>
      <c r="T75" s="5"/>
      <c r="U75" s="5"/>
      <c r="V75" s="5"/>
      <c r="W75" s="23"/>
      <c r="X75" s="5"/>
      <c r="Y75" s="5"/>
      <c r="Z75" s="5"/>
      <c r="AA75" s="5"/>
      <c r="AB75" s="5"/>
      <c r="AC75" s="5"/>
      <c r="AD75" s="5"/>
    </row>
    <row r="76">
      <c r="A76" s="5">
        <f t="array" ref="A76">IFERROR(XLOOKUP($H$8, '計算公式'!$B:$B, '計算公式'!O:O), "")</f>
        <v>1.343043478</v>
      </c>
      <c r="B76" s="5">
        <f t="array" ref="B76">IFERROR(XLOOKUP($H$8, '計算公式'!$B:$B, '計算公式'!P:P), "")</f>
        <v>0.7445775332</v>
      </c>
      <c r="C76" s="5" t="str">
        <f t="array" ref="C76">IFERROR(XLOOKUP($H$8, '計算公式'!$B:$B, '計算公式'!Q:Q), "")</f>
        <v>17h 52m</v>
      </c>
      <c r="D76" s="5">
        <f t="array" ref="D76">IFERROR(XLOOKUP($H$8, '計算公式'!$B:$B, '計算公式'!M:M), "")</f>
        <v>92.67</v>
      </c>
      <c r="E76" s="5">
        <f t="array" ref="E76">IFERROR(XLOOKUP($H$8, '計算公式'!$B:$B, '計算公式'!N:N), "")</f>
        <v>69</v>
      </c>
      <c r="F76" s="5">
        <f t="array" ref="F76">IFERROR(XLOOKUP($G76, ing_name, ing_energy), "")</f>
        <v>101</v>
      </c>
      <c r="G76" s="5" t="str">
        <f t="array" ref="G76">IFERROR(XLOOKUP($H78, '食譜'!$B:$B, '食譜'!$N:$N), "")</f>
        <v>甜甜蜜</v>
      </c>
      <c r="I76" s="10" t="str">
        <f t="array" ref="I76">IFERROR(XLOOKUP($G76, ing_name, ing_ico), "")</f>
        <v/>
      </c>
      <c r="J76" s="45">
        <f t="array" ref="J76">IFERROR(XLOOKUP($H78, '食譜'!$B:$B, '食譜'!$O:$O), "")</f>
        <v>32</v>
      </c>
      <c r="K76" s="51">
        <f t="shared" si="29"/>
        <v>0.2729960301</v>
      </c>
      <c r="L76" s="46">
        <f t="array" ref="L76">IFERROR(XLOOKUP($G76, ing_name, my_prod), "")</f>
        <v>146.31</v>
      </c>
      <c r="M76" s="55">
        <f t="shared" si="30"/>
        <v>2.120434783</v>
      </c>
      <c r="N76" s="58">
        <f t="shared" si="31"/>
        <v>0.4716013943</v>
      </c>
      <c r="O76" s="59">
        <f t="array" ref="O76">N76/(1/(1-(0.05)*IFERROR(XLOOKUP($H78, $T:$T, $U:$U, "N/A"), "")))</f>
        <v>0.4244412549</v>
      </c>
      <c r="P76" s="10" t="str">
        <f t="shared" si="32"/>
        <v>10h 11m</v>
      </c>
      <c r="Q76" s="10"/>
      <c r="R76" s="10"/>
      <c r="S76" s="5"/>
      <c r="T76" s="5"/>
      <c r="U76" s="5"/>
      <c r="V76" s="5"/>
      <c r="W76" s="23"/>
      <c r="X76" s="5"/>
      <c r="Y76" s="5"/>
      <c r="Z76" s="5"/>
      <c r="AA76" s="5"/>
      <c r="AB76" s="5"/>
      <c r="AC76" s="5"/>
      <c r="AD76" s="5"/>
    </row>
    <row r="77">
      <c r="A77" s="5">
        <f t="array" ref="A77">IFERROR(XLOOKUP($H$8, '計算公式'!$B:$B, '計算公式'!T:T), "")</f>
        <v>2.378958333</v>
      </c>
      <c r="B77" s="5">
        <f t="array" ref="B77">IFERROR(XLOOKUP($H$8, '計算公式'!$B:$B, '計算公式'!U:U), "")</f>
        <v>0.4203520448</v>
      </c>
      <c r="C77" s="5" t="str">
        <f t="array" ref="C77">IFERROR(XLOOKUP($H$8, '計算公式'!$B:$B, '計算公式'!V:V), "")</f>
        <v>10h 5m</v>
      </c>
      <c r="D77" s="5">
        <f t="array" ref="D77">IFERROR(XLOOKUP($H$8, '計算公式'!$B:$B, '計算公式'!R:R), "")</f>
        <v>114.19</v>
      </c>
      <c r="E77" s="5">
        <f t="array" ref="E77">IFERROR(XLOOKUP($H$8, '計算公式'!$B:$B, '計算公式'!S:S), "")</f>
        <v>48</v>
      </c>
      <c r="F77" s="5">
        <f t="array" ref="F77">IFERROR(XLOOKUP($G77, ing_name, ing_energy), "")</f>
        <v>110</v>
      </c>
      <c r="G77" s="5" t="str">
        <f t="array" ref="G77">IFERROR(XLOOKUP($H78, '食譜'!$B:$B, '食譜'!P:P), "")</f>
        <v>好眠番茄</v>
      </c>
      <c r="I77" s="10" t="str">
        <f t="array" ref="I77">IFERROR(XLOOKUP($G77, ing_name, ing_ico), "")</f>
        <v/>
      </c>
      <c r="J77" s="45">
        <f t="array" ref="J77">IFERROR(XLOOKUP($H78, '食譜'!$B:$B, '食譜'!$Q:$Q), "")</f>
        <v>29</v>
      </c>
      <c r="K77" s="51">
        <f t="shared" si="29"/>
        <v>0.2694484331</v>
      </c>
      <c r="L77" s="46">
        <f t="array" ref="L77">IFERROR(XLOOKUP($G77, ing_name, my_prod), "")</f>
        <v>98.54</v>
      </c>
      <c r="M77" s="55">
        <f t="shared" si="30"/>
        <v>2.052916667</v>
      </c>
      <c r="N77" s="60">
        <f t="shared" si="31"/>
        <v>0.4871118328</v>
      </c>
      <c r="O77" s="61">
        <f t="array" ref="O77">N77/(1/(1-(0.05)*IFERROR(XLOOKUP($H78, $T:$T, $U:$U, "N/A"), "")))</f>
        <v>0.4384006495</v>
      </c>
      <c r="P77" s="10" t="str">
        <f t="shared" si="32"/>
        <v>10h 31m</v>
      </c>
      <c r="Q77" s="10"/>
      <c r="R77" s="10"/>
      <c r="S77" s="5"/>
      <c r="T77" s="5"/>
      <c r="U77" s="5"/>
      <c r="V77" s="5"/>
      <c r="W77" s="23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>
        <f t="array" ref="G78">IFERROR(XLOOKUP($H78, '食譜'!$B:$B, '食譜'!$G:$G), "")</f>
        <v>13682</v>
      </c>
      <c r="H78" s="45" t="str">
        <f>T10</f>
        <v>心跳加速鬼面鬆餅</v>
      </c>
      <c r="I78" s="10"/>
      <c r="J78" s="45">
        <f>SUM(J74:J77)</f>
        <v>103</v>
      </c>
      <c r="K78" s="51">
        <v>1.0</v>
      </c>
      <c r="L78" s="48" t="str">
        <f t="array" ref="L78">IFERROR(XLOOKUP($G78, ing_name, my_prod), "")</f>
        <v/>
      </c>
      <c r="M78" s="49"/>
      <c r="N78" s="62">
        <f>sum(N74:N77)</f>
        <v>55.77633015</v>
      </c>
      <c r="O78" s="63">
        <f>N78/(1/(1-(0.05)*U10))</f>
        <v>50.19869713</v>
      </c>
      <c r="P78" s="10" t="str">
        <f t="shared" si="32"/>
        <v>1204h 46m</v>
      </c>
      <c r="Q78" s="46">
        <f t="array" ref="Q78">IFERROR(XLOOKUP($H78, '食譜'!$B:$B, '食譜'!$H:$H), "")*(3+U14*3)</f>
        <v>80368.2</v>
      </c>
      <c r="R78" s="64">
        <f>Q78/O78</f>
        <v>1601.001711</v>
      </c>
      <c r="S78" s="5"/>
      <c r="T78" s="5"/>
      <c r="U78" s="5"/>
      <c r="V78" s="5"/>
      <c r="W78" s="23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10"/>
      <c r="F79" s="10"/>
      <c r="G79" s="10"/>
      <c r="H79" s="10" t="str">
        <f t="array" ref="H79">"料理能量："&amp;IFERROR(XLOOKUP($H78, '食譜'!$B:$B, '食譜'!$H:$H), "")</f>
        <v>料理能量：24354</v>
      </c>
      <c r="I79" s="10"/>
      <c r="J79" s="10"/>
      <c r="K79" s="10"/>
      <c r="L79" s="48"/>
      <c r="M79" s="49"/>
      <c r="N79" s="49" t="s">
        <v>77</v>
      </c>
      <c r="O79" s="10" t="s">
        <v>78</v>
      </c>
      <c r="P79" s="10" t="s">
        <v>79</v>
      </c>
      <c r="Q79" s="10" t="s">
        <v>80</v>
      </c>
      <c r="R79" s="10" t="s">
        <v>68</v>
      </c>
      <c r="S79" s="5"/>
      <c r="T79" s="5"/>
      <c r="U79" s="5"/>
      <c r="V79" s="5"/>
      <c r="W79" s="23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23"/>
      <c r="M80" s="24"/>
      <c r="N80" s="5"/>
      <c r="O80" s="5"/>
      <c r="P80" s="5"/>
      <c r="Q80" s="5"/>
      <c r="R80" s="5"/>
      <c r="S80" s="5"/>
      <c r="T80" s="5"/>
      <c r="U80" s="5"/>
      <c r="V80" s="5"/>
      <c r="W80" s="23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23"/>
      <c r="M81" s="24"/>
      <c r="N81" s="5"/>
      <c r="O81" s="5"/>
      <c r="P81" s="5"/>
      <c r="Q81" s="5"/>
      <c r="R81" s="5"/>
      <c r="S81" s="5"/>
      <c r="T81" s="5"/>
      <c r="U81" s="5"/>
      <c r="V81" s="5"/>
      <c r="W81" s="23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10"/>
      <c r="F82" s="10"/>
      <c r="G82" s="10"/>
      <c r="H82" s="10"/>
      <c r="I82" s="10"/>
      <c r="J82" s="10"/>
      <c r="K82" s="45" t="s">
        <v>58</v>
      </c>
      <c r="L82" s="46" t="s">
        <v>59</v>
      </c>
      <c r="M82" s="47" t="s">
        <v>60</v>
      </c>
      <c r="N82" s="47" t="s">
        <v>61</v>
      </c>
      <c r="O82" s="45" t="s">
        <v>62</v>
      </c>
      <c r="P82" s="10" t="s">
        <v>63</v>
      </c>
      <c r="Q82" s="45" t="s">
        <v>64</v>
      </c>
      <c r="R82" s="10"/>
      <c r="S82" s="5"/>
      <c r="T82" s="5"/>
      <c r="U82" s="5"/>
      <c r="V82" s="5"/>
      <c r="W82" s="23"/>
      <c r="X82" s="5"/>
      <c r="Y82" s="5"/>
      <c r="Z82" s="5"/>
      <c r="AA82" s="5"/>
      <c r="AB82" s="5"/>
      <c r="AC82" s="5"/>
      <c r="AD82" s="5"/>
    </row>
    <row r="83">
      <c r="A83" s="31" t="s">
        <v>57</v>
      </c>
      <c r="B83" s="32" t="s">
        <v>69</v>
      </c>
      <c r="C83" s="31" t="s">
        <v>70</v>
      </c>
      <c r="D83" s="31" t="s">
        <v>71</v>
      </c>
      <c r="E83" s="31" t="s">
        <v>72</v>
      </c>
      <c r="F83" s="5"/>
      <c r="G83" s="5"/>
      <c r="H83" s="10"/>
      <c r="I83" s="10" t="str">
        <f t="array" ref="I83">LET(last_row,IFERROR(LOOKUP(2,1/('我的食材檔案'!J82:J1080&lt;&gt;""),ROW('我的食材檔案'!J82:J1080)),2),ing_r,INDIRECT("'我的食材檔案'!D2:D"&amp;last_row),ico_r,INDIRECT("'我的食材檔案'!A2:A"&amp;last_row),IFERROR(INDEX(ico_r,MATCH(H83,ing_r,0)),""))</f>
        <v/>
      </c>
      <c r="J83" s="10" t="s">
        <v>73</v>
      </c>
      <c r="K83" s="10" t="s">
        <v>74</v>
      </c>
      <c r="L83" s="48" t="s">
        <v>75</v>
      </c>
      <c r="M83" s="49" t="s">
        <v>56</v>
      </c>
      <c r="N83" s="49" t="s">
        <v>76</v>
      </c>
      <c r="O83" s="45" t="str">
        <f t="array" ref="O83">"幫獎："&amp; IFERROR(XLOOKUP(H88, T:T, U:U, "N/A"), "0")</f>
        <v>幫獎：0</v>
      </c>
      <c r="P83" s="10" t="s">
        <v>70</v>
      </c>
      <c r="Q83" s="10" t="str">
        <f>"倍率："&amp; $U$14</f>
        <v>倍率：0.1</v>
      </c>
      <c r="R83" s="10"/>
      <c r="S83" s="5"/>
      <c r="T83" s="5"/>
      <c r="U83" s="5"/>
      <c r="V83" s="5"/>
      <c r="W83" s="23"/>
      <c r="X83" s="5"/>
      <c r="Y83" s="5"/>
      <c r="Z83" s="5"/>
      <c r="AA83" s="5"/>
      <c r="AB83" s="5"/>
      <c r="AC83" s="5"/>
      <c r="AD83" s="5"/>
    </row>
    <row r="84">
      <c r="A84" s="5">
        <f t="array" ref="A84">IFERROR(XLOOKUP($H88, '計算公式'!$B:$B, '計算公式'!E:E), "")</f>
        <v>1.094777778</v>
      </c>
      <c r="B84" s="5">
        <f t="array" ref="B84">IFERROR(XLOOKUP($H88, '計算公式'!$B:$B, '計算公式'!F:F), "")</f>
        <v>0.9134273825</v>
      </c>
      <c r="C84" s="5" t="str">
        <f t="array" ref="C84">IFERROR(XLOOKUP($H88, '計算公式'!$B:$B, '計算公式'!G:G), "")</f>
        <v>21h 55m</v>
      </c>
      <c r="D84" s="5">
        <f t="array" ref="D84">IFERROR(XLOOKUP($H$8, '計算公式'!$B:$B, '計算公式'!C:C), "")</f>
        <v>148.65</v>
      </c>
      <c r="E84" s="5">
        <f t="array" ref="E84">IFERROR(XLOOKUP($H88, '計算公式'!$B:$B, '計算公式'!D:D), "")</f>
        <v>90</v>
      </c>
      <c r="F84" s="5">
        <f t="array" ref="F84">IFERROR(XLOOKUP($G84, ing_name, ing_energy), "")</f>
        <v>151</v>
      </c>
      <c r="G84" s="5" t="str">
        <f t="array" ref="G84">IFERROR(XLOOKUP($H88, '食譜'!$B:$B, '食譜'!$J:$J), "")</f>
        <v>放鬆可可</v>
      </c>
      <c r="H84" s="50" t="str">
        <f t="array" ref="H84">IFERROR(XLOOKUP(H88, '食譜'!B:B, '食譜'!A:A), "")</f>
        <v/>
      </c>
      <c r="I84" s="10" t="str">
        <f t="array" ref="I84">IFERROR(XLOOKUP($G84, ing_name, ing_ico), "")</f>
        <v/>
      </c>
      <c r="J84" s="45">
        <f t="array" ref="J84">IFERROR(XLOOKUP($H88, '食譜'!$B:$B, '食譜'!$K:$K), "")</f>
        <v>30</v>
      </c>
      <c r="K84" s="51">
        <f t="shared" ref="K84:K87" si="33">J84*F84/$G$8</f>
        <v>0.3826336684</v>
      </c>
      <c r="L84" s="46">
        <f t="array" ref="L84">IFERROR(XLOOKUP($G84, ing_name, my_prod), "")</f>
        <v>76.86</v>
      </c>
      <c r="M84" s="52">
        <f t="shared" ref="M84:M87" si="34">L84/E84</f>
        <v>0.854</v>
      </c>
      <c r="N84" s="53">
        <f t="shared" ref="N84:N87" si="35">E84/L84</f>
        <v>1.170960187</v>
      </c>
      <c r="O84" s="54">
        <f t="array" ref="O84">N84/(1/(1-(0.05)*IFERROR(XLOOKUP($H88, $T:$T, $U:$U, "N/A"), "")))</f>
        <v>1.170960187</v>
      </c>
      <c r="P84" s="10" t="str">
        <f t="shared" ref="P84:P88" si="36">IFERROR(INT(O84*24)&amp;"h "&amp;INT(MOD(O84*24,1)*60)&amp;"m", "")</f>
        <v>28h 6m</v>
      </c>
      <c r="Q84" s="10"/>
      <c r="R84" s="10"/>
      <c r="S84" s="5"/>
      <c r="T84" s="5"/>
      <c r="U84" s="5"/>
      <c r="V84" s="5"/>
      <c r="W84" s="23"/>
      <c r="X84" s="5"/>
      <c r="Y84" s="5"/>
      <c r="Z84" s="5"/>
      <c r="AA84" s="5"/>
      <c r="AB84" s="5"/>
      <c r="AC84" s="5"/>
      <c r="AD84" s="5"/>
    </row>
    <row r="85">
      <c r="A85" s="5">
        <f t="array" ref="A85">IFERROR(XLOOKUP($H$8, '計算公式'!$B:$B, '計算公式'!J:J), "")</f>
        <v>1.834133333</v>
      </c>
      <c r="B85" s="5">
        <f t="array" ref="B85">IFERROR(XLOOKUP($H$8, '計算公式'!$B:$B, '計算公式'!K:K), "")</f>
        <v>0.5452166327</v>
      </c>
      <c r="C85" s="5" t="str">
        <f t="array" ref="C85">IFERROR(XLOOKUP($H$8, '計算公式'!$B:$B, '計算公式'!L:L), "")</f>
        <v>13h 5m</v>
      </c>
      <c r="D85" s="5">
        <f t="array" ref="D85">IFERROR(XLOOKUP($H$8, '計算公式'!$B:$B, '計算公式'!H:H), "")</f>
        <v>137.56</v>
      </c>
      <c r="E85" s="5">
        <f t="array" ref="E85">IFERROR(XLOOKUP($H$8, '計算公式'!$B:$B, '計算公式'!I:I), "")</f>
        <v>75</v>
      </c>
      <c r="F85" s="5">
        <f t="array" ref="F85">IFERROR(XLOOKUP($G85, ing_name, ing_energy), "")</f>
        <v>98</v>
      </c>
      <c r="G85" s="5" t="str">
        <f t="array" ref="G85">IFERROR(XLOOKUP($H88, '食譜'!$B:$B, '食譜'!$L:$L), "")</f>
        <v>哞哞鮮奶</v>
      </c>
      <c r="I85" s="10" t="str">
        <f t="array" ref="I85">IFERROR(XLOOKUP($G85, ing_name, ing_ico), "")</f>
        <v/>
      </c>
      <c r="J85" s="45">
        <f t="array" ref="J85">IFERROR(XLOOKUP($H88, '食譜'!$B:$B, '食譜'!$M:$M), "")</f>
        <v>26</v>
      </c>
      <c r="K85" s="51">
        <f t="shared" si="33"/>
        <v>0.2152208801</v>
      </c>
      <c r="L85" s="46">
        <f t="array" ref="L85">IFERROR(XLOOKUP($G85, ing_name, my_prod), "")</f>
        <v>120.82</v>
      </c>
      <c r="M85" s="55">
        <f t="shared" si="34"/>
        <v>1.610933333</v>
      </c>
      <c r="N85" s="56">
        <f t="shared" si="35"/>
        <v>0.6207581526</v>
      </c>
      <c r="O85" s="57">
        <f t="array" ref="O85">N85/(1/(1-(0.05)*IFERROR(XLOOKUP($H88, $T:$T, $U:$U, "N/A"), "")))</f>
        <v>0.6207581526</v>
      </c>
      <c r="P85" s="10" t="str">
        <f t="shared" si="36"/>
        <v>14h 53m</v>
      </c>
      <c r="Q85" s="10"/>
      <c r="R85" s="10"/>
      <c r="S85" s="5"/>
      <c r="T85" s="5"/>
      <c r="U85" s="5"/>
      <c r="V85" s="5"/>
      <c r="W85" s="23"/>
      <c r="X85" s="5"/>
      <c r="Y85" s="5"/>
      <c r="Z85" s="5"/>
      <c r="AA85" s="5"/>
      <c r="AB85" s="5"/>
      <c r="AC85" s="5"/>
      <c r="AD85" s="5"/>
    </row>
    <row r="86">
      <c r="A86" s="5">
        <f t="array" ref="A86">IFERROR(XLOOKUP($H$8, '計算公式'!$B:$B, '計算公式'!O:O), "")</f>
        <v>1.343043478</v>
      </c>
      <c r="B86" s="5">
        <f t="array" ref="B86">IFERROR(XLOOKUP($H$8, '計算公式'!$B:$B, '計算公式'!P:P), "")</f>
        <v>0.7445775332</v>
      </c>
      <c r="C86" s="5" t="str">
        <f t="array" ref="C86">IFERROR(XLOOKUP($H$8, '計算公式'!$B:$B, '計算公式'!Q:Q), "")</f>
        <v>17h 52m</v>
      </c>
      <c r="D86" s="5">
        <f t="array" ref="D86">IFERROR(XLOOKUP($H$8, '計算公式'!$B:$B, '計算公式'!M:M), "")</f>
        <v>92.67</v>
      </c>
      <c r="E86" s="5">
        <f t="array" ref="E86">IFERROR(XLOOKUP($H$8, '計算公式'!$B:$B, '計算公式'!N:N), "")</f>
        <v>69</v>
      </c>
      <c r="F86" s="5">
        <f t="array" ref="F86">IFERROR(XLOOKUP($G86, ing_name, ing_energy), "")</f>
        <v>153</v>
      </c>
      <c r="G86" s="5" t="str">
        <f t="array" ref="G86">IFERROR(XLOOKUP($H88, '食譜'!$B:$B, '食譜'!$N:$N), "")</f>
        <v>醒腦咖啡豆</v>
      </c>
      <c r="I86" s="10" t="str">
        <f t="array" ref="I86">IFERROR(XLOOKUP($G86, ing_name, ing_ico), "")</f>
        <v/>
      </c>
      <c r="J86" s="45">
        <f t="array" ref="J86">IFERROR(XLOOKUP($H88, '食譜'!$B:$B, '食譜'!$O:$O), "")</f>
        <v>24</v>
      </c>
      <c r="K86" s="51">
        <f t="shared" si="33"/>
        <v>0.3101613312</v>
      </c>
      <c r="L86" s="46">
        <f t="array" ref="L86">IFERROR(XLOOKUP($G86, ing_name, my_prod), "")</f>
        <v>82.13</v>
      </c>
      <c r="M86" s="55">
        <f t="shared" si="34"/>
        <v>1.190289855</v>
      </c>
      <c r="N86" s="58">
        <f t="shared" si="35"/>
        <v>0.8401314988</v>
      </c>
      <c r="O86" s="59">
        <f t="array" ref="O86">N86/(1/(1-(0.05)*IFERROR(XLOOKUP($H88, $T:$T, $U:$U, "N/A"), "")))</f>
        <v>0.8401314988</v>
      </c>
      <c r="P86" s="10" t="str">
        <f t="shared" si="36"/>
        <v>20h 9m</v>
      </c>
      <c r="Q86" s="10"/>
      <c r="R86" s="10"/>
      <c r="S86" s="5"/>
      <c r="T86" s="5"/>
      <c r="U86" s="5"/>
      <c r="V86" s="5"/>
      <c r="W86" s="23"/>
      <c r="X86" s="5"/>
      <c r="Y86" s="5"/>
      <c r="Z86" s="5"/>
      <c r="AA86" s="5"/>
      <c r="AB86" s="5"/>
      <c r="AC86" s="5"/>
      <c r="AD86" s="5"/>
    </row>
    <row r="87">
      <c r="A87" s="5">
        <f t="array" ref="A87">IFERROR(XLOOKUP($H$8, '計算公式'!$B:$B, '計算公式'!T:T), "")</f>
        <v>2.378958333</v>
      </c>
      <c r="B87" s="5">
        <f t="array" ref="B87">IFERROR(XLOOKUP($H$8, '計算公式'!$B:$B, '計算公式'!U:U), "")</f>
        <v>0.4203520448</v>
      </c>
      <c r="C87" s="5" t="str">
        <f t="array" ref="C87">IFERROR(XLOOKUP($H$8, '計算公式'!$B:$B, '計算公式'!V:V), "")</f>
        <v>10h 5m</v>
      </c>
      <c r="D87" s="5">
        <f t="array" ref="D87">IFERROR(XLOOKUP($H$8, '計算公式'!$B:$B, '計算公式'!R:R), "")</f>
        <v>114.19</v>
      </c>
      <c r="E87" s="5">
        <f t="array" ref="E87">IFERROR(XLOOKUP($H$8, '計算公式'!$B:$B, '計算公式'!S:S), "")</f>
        <v>48</v>
      </c>
      <c r="F87" s="5">
        <f t="array" ref="F87">IFERROR(XLOOKUP($G87, ing_name, ing_energy), "")</f>
        <v>101</v>
      </c>
      <c r="G87" s="5" t="str">
        <f t="array" ref="G87">IFERROR(XLOOKUP($H88, '食譜'!$B:$B, '食譜'!P:P), "")</f>
        <v>甜甜蜜</v>
      </c>
      <c r="I87" s="10" t="str">
        <f t="array" ref="I87">IFERROR(XLOOKUP($G87, ing_name, ing_ico), "")</f>
        <v/>
      </c>
      <c r="J87" s="45">
        <f t="array" ref="J87">IFERROR(XLOOKUP($H88, '食譜'!$B:$B, '食譜'!$Q:$Q), "")</f>
        <v>22</v>
      </c>
      <c r="K87" s="51">
        <f t="shared" si="33"/>
        <v>0.1876847707</v>
      </c>
      <c r="L87" s="46">
        <f t="array" ref="L87">IFERROR(XLOOKUP($G87, ing_name, my_prod), "")</f>
        <v>146.31</v>
      </c>
      <c r="M87" s="55">
        <f t="shared" si="34"/>
        <v>3.048125</v>
      </c>
      <c r="N87" s="60">
        <f t="shared" si="35"/>
        <v>0.3280705352</v>
      </c>
      <c r="O87" s="61">
        <f t="array" ref="O87">N87/(1/(1-(0.05)*IFERROR(XLOOKUP($H88, $T:$T, $U:$U, "N/A"), "")))</f>
        <v>0.3280705352</v>
      </c>
      <c r="P87" s="10" t="str">
        <f t="shared" si="36"/>
        <v>7h 52m</v>
      </c>
      <c r="Q87" s="10"/>
      <c r="R87" s="10"/>
      <c r="S87" s="5"/>
      <c r="T87" s="5"/>
      <c r="U87" s="5"/>
      <c r="V87" s="5"/>
      <c r="W87" s="23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>
        <f t="array" ref="G88">IFERROR(XLOOKUP($H88, '食譜'!$B:$B, '食譜'!$G:$G), "")</f>
        <v>12972</v>
      </c>
      <c r="H88" s="45" t="str">
        <f>T11</f>
        <v>土王閃電泡芙</v>
      </c>
      <c r="I88" s="10"/>
      <c r="J88" s="45">
        <f>SUM(J84:J87)</f>
        <v>102</v>
      </c>
      <c r="K88" s="51">
        <v>1.0</v>
      </c>
      <c r="L88" s="48" t="str">
        <f t="array" ref="L88">IFERROR(XLOOKUP($G88, ing_name, my_prod), "")</f>
        <v/>
      </c>
      <c r="M88" s="49"/>
      <c r="N88" s="62">
        <f>sum(N84:N87)</f>
        <v>2.959920374</v>
      </c>
      <c r="O88" s="63">
        <f>N88/(1/(1-(0.05)*T87))</f>
        <v>2.959920374</v>
      </c>
      <c r="P88" s="10" t="str">
        <f t="shared" si="36"/>
        <v>71h 2m</v>
      </c>
      <c r="Q88" s="46">
        <f t="array" ref="Q88">IFERROR(XLOOKUP($H88, '食譜'!$B:$B, '食譜'!$H:$H), "")*(3+U14*3)</f>
        <v>68920.5</v>
      </c>
      <c r="R88" s="64">
        <f>Q88/O88</f>
        <v>23284.57907</v>
      </c>
      <c r="S88" s="5"/>
      <c r="T88" s="5"/>
      <c r="U88" s="5"/>
      <c r="V88" s="5"/>
      <c r="W88" s="23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10"/>
      <c r="F89" s="10"/>
      <c r="G89" s="10"/>
      <c r="H89" s="10" t="str">
        <f t="array" ref="H89">"料理能量："&amp;IFERROR(XLOOKUP($H88, '食譜'!$B:$B, '食譜'!$H:$H), "")</f>
        <v>料理能量：20885</v>
      </c>
      <c r="I89" s="10"/>
      <c r="J89" s="10"/>
      <c r="K89" s="10"/>
      <c r="L89" s="48"/>
      <c r="M89" s="49"/>
      <c r="N89" s="49" t="s">
        <v>77</v>
      </c>
      <c r="O89" s="10" t="s">
        <v>78</v>
      </c>
      <c r="P89" s="10" t="s">
        <v>79</v>
      </c>
      <c r="Q89" s="10" t="s">
        <v>80</v>
      </c>
      <c r="R89" s="10" t="s">
        <v>68</v>
      </c>
      <c r="S89" s="5"/>
      <c r="T89" s="5"/>
      <c r="U89" s="5"/>
      <c r="V89" s="5"/>
      <c r="W89" s="23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23"/>
      <c r="M90" s="24"/>
      <c r="N90" s="5"/>
      <c r="O90" s="5"/>
      <c r="P90" s="5"/>
      <c r="Q90" s="5"/>
      <c r="R90" s="5"/>
      <c r="S90" s="5"/>
      <c r="T90" s="5"/>
      <c r="U90" s="5"/>
      <c r="V90" s="5"/>
      <c r="W90" s="23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23"/>
      <c r="M91" s="24"/>
      <c r="N91" s="5"/>
      <c r="O91" s="5"/>
      <c r="P91" s="5"/>
      <c r="Q91" s="5"/>
      <c r="R91" s="5"/>
      <c r="S91" s="5"/>
      <c r="T91" s="5"/>
      <c r="U91" s="5"/>
      <c r="V91" s="5"/>
      <c r="W91" s="23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10"/>
      <c r="F92" s="10"/>
      <c r="G92" s="10"/>
      <c r="H92" s="10"/>
      <c r="I92" s="10"/>
      <c r="J92" s="10"/>
      <c r="K92" s="45" t="s">
        <v>58</v>
      </c>
      <c r="L92" s="46" t="s">
        <v>59</v>
      </c>
      <c r="M92" s="47" t="s">
        <v>60</v>
      </c>
      <c r="N92" s="47" t="s">
        <v>61</v>
      </c>
      <c r="O92" s="45" t="s">
        <v>62</v>
      </c>
      <c r="P92" s="10" t="s">
        <v>63</v>
      </c>
      <c r="Q92" s="45" t="s">
        <v>64</v>
      </c>
      <c r="R92" s="10"/>
      <c r="S92" s="5"/>
      <c r="T92" s="5"/>
      <c r="U92" s="5"/>
      <c r="V92" s="5"/>
      <c r="W92" s="23"/>
      <c r="X92" s="5"/>
      <c r="Y92" s="5"/>
      <c r="Z92" s="5"/>
      <c r="AA92" s="5"/>
      <c r="AB92" s="5"/>
      <c r="AC92" s="5"/>
      <c r="AD92" s="5"/>
    </row>
    <row r="93">
      <c r="A93" s="31" t="s">
        <v>57</v>
      </c>
      <c r="B93" s="32" t="s">
        <v>69</v>
      </c>
      <c r="C93" s="31" t="s">
        <v>70</v>
      </c>
      <c r="D93" s="31" t="s">
        <v>71</v>
      </c>
      <c r="E93" s="31" t="s">
        <v>72</v>
      </c>
      <c r="F93" s="5"/>
      <c r="G93" s="5"/>
      <c r="H93" s="10"/>
      <c r="I93" s="10" t="str">
        <f t="array" ref="I93">LET(last_row,IFERROR(LOOKUP(2,1/('我的食材檔案'!J92:J1090&lt;&gt;""),ROW('我的食材檔案'!J92:J1090)),2),ing_r,INDIRECT("'我的食材檔案'!D2:D"&amp;last_row),ico_r,INDIRECT("'我的食材檔案'!A2:A"&amp;last_row),IFERROR(INDEX(ico_r,MATCH(H93,ing_r,0)),""))</f>
        <v/>
      </c>
      <c r="J93" s="10" t="s">
        <v>73</v>
      </c>
      <c r="K93" s="10" t="s">
        <v>74</v>
      </c>
      <c r="L93" s="48" t="s">
        <v>75</v>
      </c>
      <c r="M93" s="49" t="s">
        <v>56</v>
      </c>
      <c r="N93" s="49" t="s">
        <v>76</v>
      </c>
      <c r="O93" s="45" t="str">
        <f t="array" ref="O93">"幫獎："&amp; IFERROR(XLOOKUP(H98, T:T, U:U, "N/A"), "0")</f>
        <v>幫獎：0</v>
      </c>
      <c r="P93" s="10" t="s">
        <v>70</v>
      </c>
      <c r="Q93" s="10" t="str">
        <f>"倍率："&amp; $U$14</f>
        <v>倍率：0.1</v>
      </c>
      <c r="R93" s="10"/>
      <c r="S93" s="5"/>
      <c r="T93" s="5"/>
      <c r="U93" s="5"/>
      <c r="V93" s="5"/>
      <c r="W93" s="23"/>
      <c r="X93" s="5"/>
      <c r="Y93" s="5"/>
      <c r="Z93" s="5"/>
      <c r="AA93" s="5"/>
      <c r="AB93" s="5"/>
      <c r="AC93" s="5"/>
      <c r="AD93" s="5"/>
    </row>
    <row r="94">
      <c r="A94" s="5">
        <f t="array" ref="A94">IFERROR(XLOOKUP($H98, '計算公式'!$B:$B, '計算公式'!E:E), "")</f>
        <v>1.558190476</v>
      </c>
      <c r="B94" s="5">
        <f t="array" ref="B94">IFERROR(XLOOKUP($H98, '計算公式'!$B:$B, '計算公式'!F:F), "")</f>
        <v>0.641770063</v>
      </c>
      <c r="C94" s="5" t="str">
        <f t="array" ref="C94">IFERROR(XLOOKUP($H98, '計算公式'!$B:$B, '計算公式'!G:G), "")</f>
        <v>15h 24m</v>
      </c>
      <c r="D94" s="5">
        <f t="array" ref="D94">IFERROR(XLOOKUP($H$8, '計算公式'!$B:$B, '計算公式'!C:C), "")</f>
        <v>148.65</v>
      </c>
      <c r="E94" s="5">
        <f t="array" ref="E94">IFERROR(XLOOKUP($H98, '計算公式'!$B:$B, '計算公式'!D:D), "")</f>
        <v>105</v>
      </c>
      <c r="F94" s="5">
        <f t="array" ref="F94">IFERROR(XLOOKUP($G94, ing_name, ing_energy), "")</f>
        <v>90</v>
      </c>
      <c r="G94" s="5" t="str">
        <f t="array" ref="G94">IFERROR(XLOOKUP($H98, '食譜'!$B:$B, '食譜'!$J:$J), "")</f>
        <v>特選蘋果</v>
      </c>
      <c r="H94" s="50" t="str">
        <f t="array" ref="H94">IFERROR(XLOOKUP(H98, '食譜'!B:B, '食譜'!A:A), "")</f>
        <v/>
      </c>
      <c r="I94" s="10" t="str">
        <f t="array" ref="I94">IFERROR(XLOOKUP($G94, ing_name, ing_ico), "")</f>
        <v/>
      </c>
      <c r="J94" s="45">
        <f t="array" ref="J94">IFERROR(XLOOKUP($H98, '食譜'!$B:$B, '食譜'!$K:$K), "")</f>
        <v>35</v>
      </c>
      <c r="K94" s="51">
        <f t="shared" ref="K94:K97" si="37">J94*F94/$G$8</f>
        <v>0.2660697694</v>
      </c>
      <c r="L94" s="46">
        <f t="array" ref="L94">IFERROR(XLOOKUP($G94, ing_name, my_prod), "")</f>
        <v>82.96</v>
      </c>
      <c r="M94" s="52">
        <f t="shared" ref="M94:M97" si="38">L94/E94</f>
        <v>0.7900952381</v>
      </c>
      <c r="N94" s="53">
        <f t="shared" ref="N94:N97" si="39">E94/L94</f>
        <v>1.265670203</v>
      </c>
      <c r="O94" s="54">
        <f t="array" ref="O94">N94/(1/(1-(0.05)*IFERROR(XLOOKUP($H98, $T:$T, $U:$U, "N/A"), "")))</f>
        <v>1.265670203</v>
      </c>
      <c r="P94" s="10" t="str">
        <f t="shared" ref="P94:P98" si="40">IFERROR(INT(O94*24)&amp;"h "&amp;INT(MOD(O94*24,1)*60)&amp;"m", "")</f>
        <v>30h 22m</v>
      </c>
      <c r="Q94" s="10"/>
      <c r="R94" s="10"/>
      <c r="S94" s="5"/>
      <c r="T94" s="5"/>
      <c r="U94" s="5"/>
      <c r="V94" s="5"/>
      <c r="W94" s="23"/>
      <c r="X94" s="5"/>
      <c r="Y94" s="5"/>
      <c r="Z94" s="5"/>
      <c r="AA94" s="5"/>
      <c r="AB94" s="5"/>
      <c r="AC94" s="5"/>
      <c r="AD94" s="5"/>
    </row>
    <row r="95">
      <c r="A95" s="5">
        <f t="array" ref="A95">IFERROR(XLOOKUP($H$8, '計算公式'!$B:$B, '計算公式'!J:J), "")</f>
        <v>1.834133333</v>
      </c>
      <c r="B95" s="5">
        <f t="array" ref="B95">IFERROR(XLOOKUP($H$8, '計算公式'!$B:$B, '計算公式'!K:K), "")</f>
        <v>0.5452166327</v>
      </c>
      <c r="C95" s="5" t="str">
        <f t="array" ref="C95">IFERROR(XLOOKUP($H$8, '計算公式'!$B:$B, '計算公式'!L:L), "")</f>
        <v>13h 5m</v>
      </c>
      <c r="D95" s="5">
        <f t="array" ref="D95">IFERROR(XLOOKUP($H$8, '計算公式'!$B:$B, '計算公式'!H:H), "")</f>
        <v>137.56</v>
      </c>
      <c r="E95" s="5">
        <f t="array" ref="E95">IFERROR(XLOOKUP($H$8, '計算公式'!$B:$B, '計算公式'!I:I), "")</f>
        <v>75</v>
      </c>
      <c r="F95" s="5">
        <f t="array" ref="F95">IFERROR(XLOOKUP($G95, ing_name, ing_energy), "")</f>
        <v>109</v>
      </c>
      <c r="G95" s="5" t="str">
        <f t="array" ref="G95">IFERROR(XLOOKUP($H98, '食譜'!$B:$B, '食譜'!$L:$L), "")</f>
        <v>暖暖薑</v>
      </c>
      <c r="I95" s="10" t="str">
        <f t="array" ref="I95">IFERROR(XLOOKUP($G95, ing_name, ing_ico), "")</f>
        <v/>
      </c>
      <c r="J95" s="45">
        <f t="array" ref="J95">IFERROR(XLOOKUP($H98, '食譜'!$B:$B, '食譜'!$M:$M), "")</f>
        <v>20</v>
      </c>
      <c r="K95" s="51">
        <f t="shared" si="37"/>
        <v>0.1841371737</v>
      </c>
      <c r="L95" s="46">
        <f t="array" ref="L95">IFERROR(XLOOKUP($G95, ing_name, my_prod), "")</f>
        <v>115.87</v>
      </c>
      <c r="M95" s="55">
        <f t="shared" si="38"/>
        <v>1.544933333</v>
      </c>
      <c r="N95" s="56">
        <f t="shared" si="39"/>
        <v>0.6472771209</v>
      </c>
      <c r="O95" s="57">
        <f t="array" ref="O95">N95/(1/(1-(0.05)*IFERROR(XLOOKUP($H98, $T:$T, $U:$U, "N/A"), "")))</f>
        <v>0.6472771209</v>
      </c>
      <c r="P95" s="10" t="str">
        <f t="shared" si="40"/>
        <v>15h 32m</v>
      </c>
      <c r="Q95" s="10"/>
      <c r="R95" s="10"/>
      <c r="S95" s="5"/>
      <c r="T95" s="5"/>
      <c r="U95" s="5"/>
      <c r="V95" s="5"/>
      <c r="W95" s="23"/>
      <c r="X95" s="5"/>
      <c r="Y95" s="5"/>
      <c r="Z95" s="5"/>
      <c r="AA95" s="5"/>
      <c r="AB95" s="5"/>
      <c r="AC95" s="5"/>
      <c r="AD95" s="5"/>
    </row>
    <row r="96">
      <c r="A96" s="5">
        <f t="array" ref="A96">IFERROR(XLOOKUP($H$8, '計算公式'!$B:$B, '計算公式'!O:O), "")</f>
        <v>1.343043478</v>
      </c>
      <c r="B96" s="5">
        <f t="array" ref="B96">IFERROR(XLOOKUP($H$8, '計算公式'!$B:$B, '計算公式'!P:P), "")</f>
        <v>0.7445775332</v>
      </c>
      <c r="C96" s="5" t="str">
        <f t="array" ref="C96">IFERROR(XLOOKUP($H$8, '計算公式'!$B:$B, '計算公式'!Q:Q), "")</f>
        <v>17h 52m</v>
      </c>
      <c r="D96" s="5">
        <f t="array" ref="D96">IFERROR(XLOOKUP($H$8, '計算公式'!$B:$B, '計算公式'!M:M), "")</f>
        <v>92.67</v>
      </c>
      <c r="E96" s="5">
        <f t="array" ref="E96">IFERROR(XLOOKUP($H$8, '計算公式'!$B:$B, '計算公式'!N:N), "")</f>
        <v>69</v>
      </c>
      <c r="F96" s="5">
        <f t="array" ref="F96">IFERROR(XLOOKUP($G96, ing_name, ing_energy), "")</f>
        <v>185</v>
      </c>
      <c r="G96" s="5" t="str">
        <f t="array" ref="G96">IFERROR(XLOOKUP($H98, '食譜'!$B:$B, '食譜'!$N:$N), "")</f>
        <v>粗枝大蔥</v>
      </c>
      <c r="I96" s="10" t="str">
        <f t="array" ref="I96">IFERROR(XLOOKUP($G96, ing_name, ing_ico), "")</f>
        <v/>
      </c>
      <c r="J96" s="45">
        <f t="array" ref="J96">IFERROR(XLOOKUP($H98, '食譜'!$B:$B, '食譜'!$O:$O), "")</f>
        <v>20</v>
      </c>
      <c r="K96" s="51">
        <f t="shared" si="37"/>
        <v>0.3125263958</v>
      </c>
      <c r="L96" s="46">
        <f t="array" ref="L96">IFERROR(XLOOKUP($G96, ing_name, my_prod), "")</f>
        <v>54.58</v>
      </c>
      <c r="M96" s="55">
        <f t="shared" si="38"/>
        <v>0.7910144928</v>
      </c>
      <c r="N96" s="58">
        <f t="shared" si="39"/>
        <v>1.26419934</v>
      </c>
      <c r="O96" s="59">
        <f t="array" ref="O96">N96/(1/(1-(0.05)*IFERROR(XLOOKUP($H98, $T:$T, $U:$U, "N/A"), "")))</f>
        <v>1.26419934</v>
      </c>
      <c r="P96" s="10" t="str">
        <f t="shared" si="40"/>
        <v>30h 20m</v>
      </c>
      <c r="Q96" s="10"/>
      <c r="R96" s="10"/>
      <c r="S96" s="5"/>
      <c r="T96" s="5"/>
      <c r="U96" s="5"/>
      <c r="V96" s="5"/>
      <c r="W96" s="23"/>
      <c r="X96" s="5"/>
      <c r="Y96" s="5"/>
      <c r="Z96" s="5"/>
      <c r="AA96" s="5"/>
      <c r="AB96" s="5"/>
      <c r="AC96" s="5"/>
      <c r="AD96" s="5"/>
    </row>
    <row r="97">
      <c r="A97" s="5">
        <f t="array" ref="A97">IFERROR(XLOOKUP($H$8, '計算公式'!$B:$B, '計算公式'!T:T), "")</f>
        <v>2.378958333</v>
      </c>
      <c r="B97" s="5">
        <f t="array" ref="B97">IFERROR(XLOOKUP($H$8, '計算公式'!$B:$B, '計算公式'!U:U), "")</f>
        <v>0.4203520448</v>
      </c>
      <c r="C97" s="5" t="str">
        <f t="array" ref="C97">IFERROR(XLOOKUP($H$8, '計算公式'!$B:$B, '計算公式'!V:V), "")</f>
        <v>10h 5m</v>
      </c>
      <c r="D97" s="5">
        <f t="array" ref="D97">IFERROR(XLOOKUP($H$8, '計算公式'!$B:$B, '計算公式'!R:R), "")</f>
        <v>114.19</v>
      </c>
      <c r="E97" s="5">
        <f t="array" ref="E97">IFERROR(XLOOKUP($H$8, '計算公式'!$B:$B, '計算公式'!S:S), "")</f>
        <v>48</v>
      </c>
      <c r="F97" s="5">
        <f t="array" ref="F97">IFERROR(XLOOKUP($G97, ing_name, ing_energy), "")</f>
        <v>153</v>
      </c>
      <c r="G97" s="5" t="str">
        <f t="array" ref="G97">IFERROR(XLOOKUP($H98, '食譜'!$B:$B, '食譜'!P:P), "")</f>
        <v>醒腦咖啡豆</v>
      </c>
      <c r="I97" s="10" t="str">
        <f t="array" ref="I97">IFERROR(XLOOKUP($G97, ing_name, ing_ico), "")</f>
        <v/>
      </c>
      <c r="J97" s="45">
        <f t="array" ref="J97">IFERROR(XLOOKUP($H98, '食譜'!$B:$B, '食譜'!$Q:$Q), "")</f>
        <v>12</v>
      </c>
      <c r="K97" s="51">
        <f t="shared" si="37"/>
        <v>0.1550806656</v>
      </c>
      <c r="L97" s="46">
        <f t="array" ref="L97">IFERROR(XLOOKUP($G97, ing_name, my_prod), "")</f>
        <v>82.13</v>
      </c>
      <c r="M97" s="55">
        <f t="shared" si="38"/>
        <v>1.711041667</v>
      </c>
      <c r="N97" s="60">
        <f t="shared" si="39"/>
        <v>0.5844393035</v>
      </c>
      <c r="O97" s="61">
        <f t="array" ref="O97">N97/(1/(1-(0.05)*IFERROR(XLOOKUP($H98, $T:$T, $U:$U, "N/A"), "")))</f>
        <v>0.5844393035</v>
      </c>
      <c r="P97" s="10" t="str">
        <f t="shared" si="40"/>
        <v>14h 1m</v>
      </c>
      <c r="Q97" s="10"/>
      <c r="R97" s="10"/>
      <c r="S97" s="5"/>
      <c r="T97" s="5"/>
      <c r="U97" s="5"/>
      <c r="V97" s="5"/>
      <c r="W97" s="23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>
        <f t="array" ref="G98">IFERROR(XLOOKUP($H98, '食譜'!$B:$B, '食譜'!$G:$G), "")</f>
        <v>10866</v>
      </c>
      <c r="H98" s="45" t="str">
        <f>T12</f>
        <v>電光香料可樂</v>
      </c>
      <c r="I98" s="10"/>
      <c r="J98" s="45">
        <f>SUM(J94:J97)</f>
        <v>87</v>
      </c>
      <c r="K98" s="51">
        <v>1.0</v>
      </c>
      <c r="L98" s="48" t="str">
        <f t="array" ref="L98">IFERROR(XLOOKUP($G98, ing_name, my_prod), "")</f>
        <v/>
      </c>
      <c r="M98" s="49"/>
      <c r="N98" s="62">
        <f>sum(N94:N97)</f>
        <v>3.761585967</v>
      </c>
      <c r="O98" s="63">
        <f>N98/(1/(1-(0.05)*U11))</f>
        <v>3.761585967</v>
      </c>
      <c r="P98" s="10" t="str">
        <f t="shared" si="40"/>
        <v>90h 16m</v>
      </c>
      <c r="Q98" s="46">
        <f t="array" ref="Q98">IFERROR(XLOOKUP($H98, '食譜'!$B:$B, '食譜'!$H:$H), "")*(3+U14*3)</f>
        <v>57730.2</v>
      </c>
      <c r="R98" s="64">
        <f>Q98/O98</f>
        <v>15347.30311</v>
      </c>
      <c r="S98" s="5"/>
      <c r="T98" s="5"/>
      <c r="U98" s="5"/>
      <c r="V98" s="5"/>
      <c r="W98" s="23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10"/>
      <c r="F99" s="10"/>
      <c r="G99" s="10"/>
      <c r="H99" s="10" t="str">
        <f t="array" ref="H99">"料理能量："&amp;IFERROR(XLOOKUP($H98, '食譜'!$B:$B, '食譜'!$H:$H), "")</f>
        <v>料理能量：17494</v>
      </c>
      <c r="I99" s="10"/>
      <c r="J99" s="10"/>
      <c r="K99" s="10"/>
      <c r="L99" s="48"/>
      <c r="M99" s="49"/>
      <c r="N99" s="49" t="s">
        <v>77</v>
      </c>
      <c r="O99" s="10" t="s">
        <v>78</v>
      </c>
      <c r="P99" s="10" t="s">
        <v>79</v>
      </c>
      <c r="Q99" s="10" t="s">
        <v>80</v>
      </c>
      <c r="R99" s="10" t="s">
        <v>68</v>
      </c>
      <c r="S99" s="5"/>
      <c r="T99" s="5"/>
      <c r="U99" s="5"/>
      <c r="V99" s="5"/>
      <c r="W99" s="23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3"/>
      <c r="M100" s="24"/>
      <c r="N100" s="5"/>
      <c r="O100" s="5"/>
      <c r="P100" s="5"/>
      <c r="Q100" s="5"/>
      <c r="R100" s="5"/>
      <c r="S100" s="5"/>
      <c r="T100" s="5"/>
      <c r="U100" s="5"/>
      <c r="V100" s="5"/>
      <c r="W100" s="23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3"/>
      <c r="M101" s="24"/>
      <c r="N101" s="5"/>
      <c r="O101" s="5"/>
      <c r="P101" s="5"/>
      <c r="Q101" s="5"/>
      <c r="R101" s="5"/>
      <c r="S101" s="5"/>
      <c r="T101" s="5"/>
      <c r="U101" s="5"/>
      <c r="V101" s="5"/>
      <c r="W101" s="23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3"/>
      <c r="M102" s="24"/>
      <c r="N102" s="5"/>
      <c r="O102" s="5"/>
      <c r="P102" s="5"/>
      <c r="Q102" s="5"/>
      <c r="R102" s="5"/>
      <c r="S102" s="5"/>
      <c r="T102" s="5"/>
      <c r="U102" s="5"/>
      <c r="V102" s="5"/>
      <c r="W102" s="23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3"/>
      <c r="M103" s="24"/>
      <c r="N103" s="5"/>
      <c r="O103" s="5"/>
      <c r="P103" s="5"/>
      <c r="Q103" s="5"/>
      <c r="R103" s="5"/>
      <c r="S103" s="5"/>
      <c r="T103" s="5"/>
      <c r="U103" s="5"/>
      <c r="V103" s="5"/>
      <c r="W103" s="23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3"/>
      <c r="M104" s="24"/>
      <c r="N104" s="5"/>
      <c r="O104" s="5"/>
      <c r="P104" s="5"/>
      <c r="Q104" s="5"/>
      <c r="R104" s="5"/>
      <c r="S104" s="5"/>
      <c r="T104" s="5"/>
      <c r="U104" s="5"/>
      <c r="V104" s="5"/>
      <c r="W104" s="23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3"/>
      <c r="M105" s="24"/>
      <c r="N105" s="5"/>
      <c r="O105" s="5"/>
      <c r="P105" s="5"/>
      <c r="Q105" s="5"/>
      <c r="R105" s="5"/>
      <c r="S105" s="5"/>
      <c r="T105" s="5"/>
      <c r="U105" s="5"/>
      <c r="V105" s="5"/>
      <c r="W105" s="23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3"/>
      <c r="M106" s="24"/>
      <c r="N106" s="5"/>
      <c r="O106" s="5"/>
      <c r="P106" s="5"/>
      <c r="Q106" s="5"/>
      <c r="R106" s="5"/>
      <c r="S106" s="5"/>
      <c r="T106" s="5"/>
      <c r="U106" s="5"/>
      <c r="V106" s="5"/>
      <c r="W106" s="23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3"/>
      <c r="M107" s="24"/>
      <c r="N107" s="5"/>
      <c r="O107" s="5"/>
      <c r="P107" s="5"/>
      <c r="Q107" s="5"/>
      <c r="R107" s="5"/>
      <c r="S107" s="5"/>
      <c r="T107" s="5"/>
      <c r="U107" s="5"/>
      <c r="V107" s="5"/>
      <c r="W107" s="23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23"/>
      <c r="M108" s="24"/>
      <c r="N108" s="5"/>
      <c r="O108" s="5"/>
      <c r="P108" s="5"/>
      <c r="Q108" s="5"/>
      <c r="R108" s="5"/>
      <c r="S108" s="5"/>
      <c r="T108" s="5"/>
      <c r="U108" s="5"/>
      <c r="V108" s="5"/>
      <c r="W108" s="23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23"/>
      <c r="M109" s="24"/>
      <c r="N109" s="5"/>
      <c r="O109" s="5"/>
      <c r="P109" s="5"/>
      <c r="Q109" s="5"/>
      <c r="R109" s="5"/>
      <c r="S109" s="5"/>
      <c r="T109" s="5"/>
      <c r="U109" s="5"/>
      <c r="V109" s="5"/>
      <c r="W109" s="23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23"/>
      <c r="M110" s="24"/>
      <c r="N110" s="5"/>
      <c r="O110" s="5"/>
      <c r="P110" s="5"/>
      <c r="Q110" s="5"/>
      <c r="R110" s="5"/>
      <c r="S110" s="5"/>
      <c r="T110" s="5"/>
      <c r="U110" s="5"/>
      <c r="V110" s="5"/>
      <c r="W110" s="23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23"/>
      <c r="M111" s="24"/>
      <c r="N111" s="5"/>
      <c r="O111" s="5"/>
      <c r="P111" s="5"/>
      <c r="Q111" s="5"/>
      <c r="R111" s="5"/>
      <c r="S111" s="5"/>
      <c r="T111" s="5"/>
      <c r="U111" s="5"/>
      <c r="V111" s="5"/>
      <c r="W111" s="23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23"/>
      <c r="M112" s="24"/>
      <c r="N112" s="5"/>
      <c r="O112" s="5"/>
      <c r="P112" s="5"/>
      <c r="Q112" s="5"/>
      <c r="R112" s="5"/>
      <c r="S112" s="5"/>
      <c r="T112" s="5"/>
      <c r="U112" s="5"/>
      <c r="V112" s="5"/>
      <c r="W112" s="23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23"/>
      <c r="M113" s="24"/>
      <c r="N113" s="5"/>
      <c r="O113" s="5"/>
      <c r="P113" s="5"/>
      <c r="Q113" s="5"/>
      <c r="R113" s="5"/>
      <c r="S113" s="5"/>
      <c r="T113" s="5"/>
      <c r="U113" s="5"/>
      <c r="V113" s="5"/>
      <c r="W113" s="23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23"/>
      <c r="M114" s="24"/>
      <c r="N114" s="5"/>
      <c r="O114" s="5"/>
      <c r="P114" s="5"/>
      <c r="Q114" s="5"/>
      <c r="R114" s="5"/>
      <c r="S114" s="5"/>
      <c r="T114" s="5"/>
      <c r="U114" s="5"/>
      <c r="V114" s="5"/>
      <c r="W114" s="23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23"/>
      <c r="M115" s="24"/>
      <c r="N115" s="5"/>
      <c r="O115" s="5"/>
      <c r="P115" s="5"/>
      <c r="Q115" s="5"/>
      <c r="R115" s="5"/>
      <c r="S115" s="5"/>
      <c r="T115" s="5"/>
      <c r="U115" s="5"/>
      <c r="V115" s="5"/>
      <c r="W115" s="23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23"/>
      <c r="M116" s="24"/>
      <c r="N116" s="5"/>
      <c r="O116" s="5"/>
      <c r="P116" s="5"/>
      <c r="Q116" s="5"/>
      <c r="R116" s="5"/>
      <c r="S116" s="5"/>
      <c r="T116" s="5"/>
      <c r="U116" s="5"/>
      <c r="V116" s="5"/>
      <c r="W116" s="23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23"/>
      <c r="M117" s="24"/>
      <c r="N117" s="5"/>
      <c r="O117" s="5"/>
      <c r="P117" s="5"/>
      <c r="Q117" s="5"/>
      <c r="R117" s="5"/>
      <c r="S117" s="5"/>
      <c r="T117" s="5"/>
      <c r="U117" s="5"/>
      <c r="V117" s="5"/>
      <c r="W117" s="23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23"/>
      <c r="M118" s="24"/>
      <c r="N118" s="5"/>
      <c r="O118" s="5"/>
      <c r="P118" s="5"/>
      <c r="Q118" s="5"/>
      <c r="R118" s="5"/>
      <c r="S118" s="5"/>
      <c r="T118" s="5"/>
      <c r="U118" s="5"/>
      <c r="V118" s="5"/>
      <c r="W118" s="23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23"/>
      <c r="M119" s="24"/>
      <c r="N119" s="5"/>
      <c r="O119" s="5"/>
      <c r="P119" s="5"/>
      <c r="Q119" s="5"/>
      <c r="R119" s="5"/>
      <c r="S119" s="5"/>
      <c r="T119" s="5"/>
      <c r="U119" s="5"/>
      <c r="V119" s="5"/>
      <c r="W119" s="23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23"/>
      <c r="M120" s="24"/>
      <c r="N120" s="5"/>
      <c r="O120" s="5"/>
      <c r="P120" s="5"/>
      <c r="Q120" s="5"/>
      <c r="R120" s="5"/>
      <c r="S120" s="5"/>
      <c r="T120" s="5"/>
      <c r="U120" s="5"/>
      <c r="V120" s="5"/>
      <c r="W120" s="23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23"/>
      <c r="M121" s="24"/>
      <c r="N121" s="5"/>
      <c r="O121" s="5"/>
      <c r="P121" s="5"/>
      <c r="Q121" s="5"/>
      <c r="R121" s="5"/>
      <c r="S121" s="5"/>
      <c r="T121" s="5"/>
      <c r="U121" s="5"/>
      <c r="V121" s="5"/>
      <c r="W121" s="23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23"/>
      <c r="M122" s="24"/>
      <c r="N122" s="5"/>
      <c r="O122" s="5"/>
      <c r="P122" s="5"/>
      <c r="Q122" s="5"/>
      <c r="R122" s="5"/>
      <c r="S122" s="5"/>
      <c r="T122" s="5"/>
      <c r="U122" s="5"/>
      <c r="V122" s="5"/>
      <c r="W122" s="23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23"/>
      <c r="M123" s="24"/>
      <c r="N123" s="5"/>
      <c r="O123" s="5"/>
      <c r="P123" s="5"/>
      <c r="Q123" s="5"/>
      <c r="R123" s="5"/>
      <c r="S123" s="5"/>
      <c r="T123" s="5"/>
      <c r="U123" s="5"/>
      <c r="V123" s="5"/>
      <c r="W123" s="23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23"/>
      <c r="M124" s="24"/>
      <c r="N124" s="5"/>
      <c r="O124" s="5"/>
      <c r="P124" s="5"/>
      <c r="Q124" s="5"/>
      <c r="R124" s="5"/>
      <c r="S124" s="5"/>
      <c r="T124" s="5"/>
      <c r="U124" s="5"/>
      <c r="V124" s="5"/>
      <c r="W124" s="23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23"/>
      <c r="M125" s="24"/>
      <c r="N125" s="5"/>
      <c r="O125" s="5"/>
      <c r="P125" s="5"/>
      <c r="Q125" s="5"/>
      <c r="R125" s="5"/>
      <c r="S125" s="5"/>
      <c r="T125" s="5"/>
      <c r="U125" s="5"/>
      <c r="V125" s="5"/>
      <c r="W125" s="23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23"/>
      <c r="M126" s="24"/>
      <c r="N126" s="5"/>
      <c r="O126" s="5"/>
      <c r="P126" s="5"/>
      <c r="Q126" s="5"/>
      <c r="R126" s="5"/>
      <c r="S126" s="5"/>
      <c r="T126" s="5"/>
      <c r="U126" s="5"/>
      <c r="V126" s="5"/>
      <c r="W126" s="23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23"/>
      <c r="M127" s="24"/>
      <c r="N127" s="5"/>
      <c r="O127" s="5"/>
      <c r="P127" s="5"/>
      <c r="Q127" s="5"/>
      <c r="R127" s="5"/>
      <c r="S127" s="5"/>
      <c r="T127" s="5"/>
      <c r="U127" s="5"/>
      <c r="V127" s="5"/>
      <c r="W127" s="23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23"/>
      <c r="M128" s="24"/>
      <c r="N128" s="5"/>
      <c r="O128" s="5"/>
      <c r="P128" s="5"/>
      <c r="Q128" s="5"/>
      <c r="R128" s="5"/>
      <c r="S128" s="5"/>
      <c r="T128" s="5"/>
      <c r="U128" s="5"/>
      <c r="V128" s="5"/>
      <c r="W128" s="23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23"/>
      <c r="M129" s="24"/>
      <c r="N129" s="5"/>
      <c r="O129" s="5"/>
      <c r="P129" s="5"/>
      <c r="Q129" s="5"/>
      <c r="R129" s="5"/>
      <c r="S129" s="5"/>
      <c r="T129" s="5"/>
      <c r="U129" s="5"/>
      <c r="V129" s="5"/>
      <c r="W129" s="23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23"/>
      <c r="M130" s="24"/>
      <c r="N130" s="5"/>
      <c r="O130" s="5"/>
      <c r="P130" s="5"/>
      <c r="Q130" s="5"/>
      <c r="R130" s="5"/>
      <c r="S130" s="5"/>
      <c r="T130" s="5"/>
      <c r="U130" s="5"/>
      <c r="V130" s="5"/>
      <c r="W130" s="23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23"/>
      <c r="M131" s="24"/>
      <c r="N131" s="5"/>
      <c r="O131" s="5"/>
      <c r="P131" s="5"/>
      <c r="Q131" s="5"/>
      <c r="R131" s="5"/>
      <c r="S131" s="5"/>
      <c r="T131" s="5"/>
      <c r="U131" s="5"/>
      <c r="V131" s="5"/>
      <c r="W131" s="23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23"/>
      <c r="M132" s="24"/>
      <c r="N132" s="5"/>
      <c r="O132" s="5"/>
      <c r="P132" s="5"/>
      <c r="Q132" s="5"/>
      <c r="R132" s="5"/>
      <c r="S132" s="5"/>
      <c r="T132" s="5"/>
      <c r="U132" s="5"/>
      <c r="V132" s="5"/>
      <c r="W132" s="23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23"/>
      <c r="M133" s="24"/>
      <c r="N133" s="5"/>
      <c r="O133" s="5"/>
      <c r="P133" s="5"/>
      <c r="Q133" s="5"/>
      <c r="R133" s="5"/>
      <c r="S133" s="5"/>
      <c r="T133" s="5"/>
      <c r="U133" s="5"/>
      <c r="V133" s="5"/>
      <c r="W133" s="23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23"/>
      <c r="M134" s="24"/>
      <c r="N134" s="5"/>
      <c r="O134" s="5"/>
      <c r="P134" s="5"/>
      <c r="Q134" s="5"/>
      <c r="R134" s="5"/>
      <c r="S134" s="5"/>
      <c r="T134" s="5"/>
      <c r="U134" s="5"/>
      <c r="V134" s="5"/>
      <c r="W134" s="23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23"/>
      <c r="M135" s="24"/>
      <c r="N135" s="5"/>
      <c r="O135" s="5"/>
      <c r="P135" s="5"/>
      <c r="Q135" s="5"/>
      <c r="R135" s="5"/>
      <c r="S135" s="5"/>
      <c r="T135" s="5"/>
      <c r="U135" s="5"/>
      <c r="V135" s="5"/>
      <c r="W135" s="23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23"/>
      <c r="M136" s="24"/>
      <c r="N136" s="5"/>
      <c r="O136" s="5"/>
      <c r="P136" s="5"/>
      <c r="Q136" s="5"/>
      <c r="R136" s="5"/>
      <c r="S136" s="5"/>
      <c r="T136" s="5"/>
      <c r="U136" s="5"/>
      <c r="V136" s="5"/>
      <c r="W136" s="23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23"/>
      <c r="M137" s="24"/>
      <c r="N137" s="5"/>
      <c r="O137" s="5"/>
      <c r="P137" s="5"/>
      <c r="Q137" s="5"/>
      <c r="R137" s="5"/>
      <c r="S137" s="5"/>
      <c r="T137" s="5"/>
      <c r="U137" s="5"/>
      <c r="V137" s="5"/>
      <c r="W137" s="23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23"/>
      <c r="M138" s="24"/>
      <c r="N138" s="5"/>
      <c r="O138" s="5"/>
      <c r="P138" s="5"/>
      <c r="Q138" s="5"/>
      <c r="R138" s="5"/>
      <c r="S138" s="5"/>
      <c r="T138" s="5"/>
      <c r="U138" s="5"/>
      <c r="V138" s="5"/>
      <c r="W138" s="23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23"/>
      <c r="M139" s="24"/>
      <c r="N139" s="5"/>
      <c r="O139" s="5"/>
      <c r="P139" s="5"/>
      <c r="Q139" s="5"/>
      <c r="R139" s="5"/>
      <c r="S139" s="5"/>
      <c r="T139" s="5"/>
      <c r="U139" s="5"/>
      <c r="V139" s="5"/>
      <c r="W139" s="23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23"/>
      <c r="M140" s="24"/>
      <c r="N140" s="5"/>
      <c r="O140" s="5"/>
      <c r="P140" s="5"/>
      <c r="Q140" s="5"/>
      <c r="R140" s="5"/>
      <c r="S140" s="5"/>
      <c r="T140" s="5"/>
      <c r="U140" s="5"/>
      <c r="V140" s="5"/>
      <c r="W140" s="23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23"/>
      <c r="M141" s="24"/>
      <c r="N141" s="5"/>
      <c r="O141" s="5"/>
      <c r="P141" s="5"/>
      <c r="Q141" s="5"/>
      <c r="R141" s="5"/>
      <c r="S141" s="5"/>
      <c r="T141" s="5"/>
      <c r="U141" s="5"/>
      <c r="V141" s="5"/>
      <c r="W141" s="23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23"/>
      <c r="M142" s="24"/>
      <c r="N142" s="5"/>
      <c r="O142" s="5"/>
      <c r="P142" s="5"/>
      <c r="Q142" s="5"/>
      <c r="R142" s="5"/>
      <c r="S142" s="5"/>
      <c r="T142" s="5"/>
      <c r="U142" s="5"/>
      <c r="V142" s="5"/>
      <c r="W142" s="23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23"/>
      <c r="M143" s="24"/>
      <c r="N143" s="5"/>
      <c r="O143" s="5"/>
      <c r="P143" s="5"/>
      <c r="Q143" s="5"/>
      <c r="R143" s="5"/>
      <c r="S143" s="5"/>
      <c r="T143" s="5"/>
      <c r="U143" s="5"/>
      <c r="V143" s="5"/>
      <c r="W143" s="23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23"/>
      <c r="M144" s="24"/>
      <c r="N144" s="5"/>
      <c r="O144" s="5"/>
      <c r="P144" s="5"/>
      <c r="Q144" s="5"/>
      <c r="R144" s="5"/>
      <c r="S144" s="5"/>
      <c r="T144" s="5"/>
      <c r="U144" s="5"/>
      <c r="V144" s="5"/>
      <c r="W144" s="23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23"/>
      <c r="M145" s="24"/>
      <c r="N145" s="5"/>
      <c r="O145" s="5"/>
      <c r="P145" s="5"/>
      <c r="Q145" s="5"/>
      <c r="R145" s="5"/>
      <c r="S145" s="5"/>
      <c r="T145" s="5"/>
      <c r="U145" s="5"/>
      <c r="V145" s="5"/>
      <c r="W145" s="23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23"/>
      <c r="M146" s="24"/>
      <c r="N146" s="5"/>
      <c r="O146" s="5"/>
      <c r="P146" s="5"/>
      <c r="Q146" s="5"/>
      <c r="R146" s="5"/>
      <c r="S146" s="5"/>
      <c r="T146" s="5"/>
      <c r="U146" s="5"/>
      <c r="V146" s="5"/>
      <c r="W146" s="23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23"/>
      <c r="M147" s="24"/>
      <c r="N147" s="5"/>
      <c r="O147" s="5"/>
      <c r="P147" s="5"/>
      <c r="Q147" s="5"/>
      <c r="R147" s="5"/>
      <c r="S147" s="5"/>
      <c r="T147" s="5"/>
      <c r="U147" s="5"/>
      <c r="V147" s="5"/>
      <c r="W147" s="23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23"/>
      <c r="M148" s="24"/>
      <c r="N148" s="5"/>
      <c r="O148" s="5"/>
      <c r="P148" s="5"/>
      <c r="Q148" s="5"/>
      <c r="R148" s="5"/>
      <c r="S148" s="5"/>
      <c r="T148" s="5"/>
      <c r="U148" s="5"/>
      <c r="V148" s="5"/>
      <c r="W148" s="23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23"/>
      <c r="M149" s="24"/>
      <c r="N149" s="5"/>
      <c r="O149" s="5"/>
      <c r="P149" s="5"/>
      <c r="Q149" s="5"/>
      <c r="R149" s="5"/>
      <c r="S149" s="5"/>
      <c r="T149" s="5"/>
      <c r="U149" s="5"/>
      <c r="V149" s="5"/>
      <c r="W149" s="23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23"/>
      <c r="M150" s="24"/>
      <c r="N150" s="5"/>
      <c r="O150" s="5"/>
      <c r="P150" s="5"/>
      <c r="Q150" s="5"/>
      <c r="R150" s="5"/>
      <c r="S150" s="5"/>
      <c r="T150" s="5"/>
      <c r="U150" s="5"/>
      <c r="V150" s="5"/>
      <c r="W150" s="23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23"/>
      <c r="M151" s="24"/>
      <c r="N151" s="5"/>
      <c r="O151" s="5"/>
      <c r="P151" s="5"/>
      <c r="Q151" s="5"/>
      <c r="R151" s="5"/>
      <c r="S151" s="5"/>
      <c r="T151" s="5"/>
      <c r="U151" s="5"/>
      <c r="V151" s="5"/>
      <c r="W151" s="23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23"/>
      <c r="M152" s="24"/>
      <c r="N152" s="5"/>
      <c r="O152" s="5"/>
      <c r="P152" s="5"/>
      <c r="Q152" s="5"/>
      <c r="R152" s="5"/>
      <c r="S152" s="5"/>
      <c r="T152" s="5"/>
      <c r="U152" s="5"/>
      <c r="V152" s="5"/>
      <c r="W152" s="23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23"/>
      <c r="M153" s="24"/>
      <c r="N153" s="5"/>
      <c r="O153" s="5"/>
      <c r="P153" s="5"/>
      <c r="Q153" s="5"/>
      <c r="R153" s="5"/>
      <c r="S153" s="5"/>
      <c r="T153" s="5"/>
      <c r="U153" s="5"/>
      <c r="V153" s="5"/>
      <c r="W153" s="23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23"/>
      <c r="M154" s="24"/>
      <c r="N154" s="5"/>
      <c r="O154" s="5"/>
      <c r="P154" s="5"/>
      <c r="Q154" s="5"/>
      <c r="R154" s="5"/>
      <c r="S154" s="5"/>
      <c r="T154" s="5"/>
      <c r="U154" s="5"/>
      <c r="V154" s="5"/>
      <c r="W154" s="23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23"/>
      <c r="M155" s="24"/>
      <c r="N155" s="5"/>
      <c r="O155" s="5"/>
      <c r="P155" s="5"/>
      <c r="Q155" s="5"/>
      <c r="R155" s="5"/>
      <c r="S155" s="5"/>
      <c r="T155" s="5"/>
      <c r="U155" s="5"/>
      <c r="V155" s="5"/>
      <c r="W155" s="23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23"/>
      <c r="M156" s="24"/>
      <c r="N156" s="5"/>
      <c r="O156" s="5"/>
      <c r="P156" s="5"/>
      <c r="Q156" s="5"/>
      <c r="R156" s="5"/>
      <c r="S156" s="5"/>
      <c r="T156" s="5"/>
      <c r="U156" s="5"/>
      <c r="V156" s="5"/>
      <c r="W156" s="23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23"/>
      <c r="M157" s="24"/>
      <c r="N157" s="5"/>
      <c r="O157" s="5"/>
      <c r="P157" s="5"/>
      <c r="Q157" s="5"/>
      <c r="R157" s="5"/>
      <c r="S157" s="5"/>
      <c r="T157" s="5"/>
      <c r="U157" s="5"/>
      <c r="V157" s="5"/>
      <c r="W157" s="23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23"/>
      <c r="M158" s="24"/>
      <c r="N158" s="5"/>
      <c r="O158" s="5"/>
      <c r="P158" s="5"/>
      <c r="Q158" s="5"/>
      <c r="R158" s="5"/>
      <c r="S158" s="5"/>
      <c r="T158" s="5"/>
      <c r="U158" s="5"/>
      <c r="V158" s="5"/>
      <c r="W158" s="23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23"/>
      <c r="M159" s="24"/>
      <c r="N159" s="5"/>
      <c r="O159" s="5"/>
      <c r="P159" s="5"/>
      <c r="Q159" s="5"/>
      <c r="R159" s="5"/>
      <c r="S159" s="5"/>
      <c r="T159" s="5"/>
      <c r="U159" s="5"/>
      <c r="V159" s="5"/>
      <c r="W159" s="23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23"/>
      <c r="M160" s="24"/>
      <c r="N160" s="5"/>
      <c r="O160" s="5"/>
      <c r="P160" s="5"/>
      <c r="Q160" s="5"/>
      <c r="R160" s="5"/>
      <c r="S160" s="5"/>
      <c r="T160" s="5"/>
      <c r="U160" s="5"/>
      <c r="V160" s="5"/>
      <c r="W160" s="23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23"/>
      <c r="M161" s="24"/>
      <c r="N161" s="5"/>
      <c r="O161" s="5"/>
      <c r="P161" s="5"/>
      <c r="Q161" s="5"/>
      <c r="R161" s="5"/>
      <c r="S161" s="5"/>
      <c r="T161" s="5"/>
      <c r="U161" s="5"/>
      <c r="V161" s="5"/>
      <c r="W161" s="23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23"/>
      <c r="M162" s="24"/>
      <c r="N162" s="5"/>
      <c r="O162" s="5"/>
      <c r="P162" s="5"/>
      <c r="Q162" s="5"/>
      <c r="R162" s="5"/>
      <c r="S162" s="5"/>
      <c r="T162" s="5"/>
      <c r="U162" s="5"/>
      <c r="V162" s="5"/>
      <c r="W162" s="23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23"/>
      <c r="M163" s="24"/>
      <c r="N163" s="5"/>
      <c r="O163" s="5"/>
      <c r="P163" s="5"/>
      <c r="Q163" s="5"/>
      <c r="R163" s="5"/>
      <c r="S163" s="5"/>
      <c r="T163" s="5"/>
      <c r="U163" s="5"/>
      <c r="V163" s="5"/>
      <c r="W163" s="23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23"/>
      <c r="M164" s="24"/>
      <c r="N164" s="5"/>
      <c r="O164" s="5"/>
      <c r="P164" s="5"/>
      <c r="Q164" s="5"/>
      <c r="R164" s="5"/>
      <c r="S164" s="5"/>
      <c r="T164" s="5"/>
      <c r="U164" s="5"/>
      <c r="V164" s="5"/>
      <c r="W164" s="23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23"/>
      <c r="M165" s="24"/>
      <c r="N165" s="5"/>
      <c r="O165" s="5"/>
      <c r="P165" s="5"/>
      <c r="Q165" s="5"/>
      <c r="R165" s="5"/>
      <c r="S165" s="5"/>
      <c r="T165" s="5"/>
      <c r="U165" s="5"/>
      <c r="V165" s="5"/>
      <c r="W165" s="23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23"/>
      <c r="M166" s="24"/>
      <c r="N166" s="5"/>
      <c r="O166" s="5"/>
      <c r="P166" s="5"/>
      <c r="Q166" s="5"/>
      <c r="R166" s="5"/>
      <c r="S166" s="5"/>
      <c r="T166" s="5"/>
      <c r="U166" s="5"/>
      <c r="V166" s="5"/>
      <c r="W166" s="23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23"/>
      <c r="M167" s="24"/>
      <c r="N167" s="5"/>
      <c r="O167" s="5"/>
      <c r="P167" s="5"/>
      <c r="Q167" s="5"/>
      <c r="R167" s="5"/>
      <c r="S167" s="5"/>
      <c r="T167" s="5"/>
      <c r="U167" s="5"/>
      <c r="V167" s="5"/>
      <c r="W167" s="23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23"/>
      <c r="M168" s="24"/>
      <c r="N168" s="5"/>
      <c r="O168" s="5"/>
      <c r="P168" s="5"/>
      <c r="Q168" s="5"/>
      <c r="R168" s="5"/>
      <c r="S168" s="5"/>
      <c r="T168" s="5"/>
      <c r="U168" s="5"/>
      <c r="V168" s="5"/>
      <c r="W168" s="23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23"/>
      <c r="M169" s="24"/>
      <c r="N169" s="5"/>
      <c r="O169" s="5"/>
      <c r="P169" s="5"/>
      <c r="Q169" s="5"/>
      <c r="R169" s="5"/>
      <c r="S169" s="5"/>
      <c r="T169" s="5"/>
      <c r="U169" s="5"/>
      <c r="V169" s="5"/>
      <c r="W169" s="23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23"/>
      <c r="M170" s="24"/>
      <c r="N170" s="5"/>
      <c r="O170" s="5"/>
      <c r="P170" s="5"/>
      <c r="Q170" s="5"/>
      <c r="R170" s="5"/>
      <c r="S170" s="5"/>
      <c r="T170" s="5"/>
      <c r="U170" s="5"/>
      <c r="V170" s="5"/>
      <c r="W170" s="23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23"/>
      <c r="M171" s="24"/>
      <c r="N171" s="5"/>
      <c r="O171" s="5"/>
      <c r="P171" s="5"/>
      <c r="Q171" s="5"/>
      <c r="R171" s="5"/>
      <c r="S171" s="5"/>
      <c r="T171" s="5"/>
      <c r="U171" s="5"/>
      <c r="V171" s="5"/>
      <c r="W171" s="23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23"/>
      <c r="M172" s="24"/>
      <c r="N172" s="5"/>
      <c r="O172" s="5"/>
      <c r="P172" s="5"/>
      <c r="Q172" s="5"/>
      <c r="R172" s="5"/>
      <c r="S172" s="5"/>
      <c r="T172" s="5"/>
      <c r="U172" s="5"/>
      <c r="V172" s="5"/>
      <c r="W172" s="23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23"/>
      <c r="M173" s="24"/>
      <c r="N173" s="5"/>
      <c r="O173" s="5"/>
      <c r="P173" s="5"/>
      <c r="Q173" s="5"/>
      <c r="R173" s="5"/>
      <c r="S173" s="5"/>
      <c r="T173" s="5"/>
      <c r="U173" s="5"/>
      <c r="V173" s="5"/>
      <c r="W173" s="23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23"/>
      <c r="M174" s="24"/>
      <c r="N174" s="5"/>
      <c r="O174" s="5"/>
      <c r="P174" s="5"/>
      <c r="Q174" s="5"/>
      <c r="R174" s="5"/>
      <c r="S174" s="5"/>
      <c r="T174" s="5"/>
      <c r="U174" s="5"/>
      <c r="V174" s="5"/>
      <c r="W174" s="23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23"/>
      <c r="M175" s="24"/>
      <c r="N175" s="5"/>
      <c r="O175" s="5"/>
      <c r="P175" s="5"/>
      <c r="Q175" s="5"/>
      <c r="R175" s="5"/>
      <c r="S175" s="5"/>
      <c r="T175" s="5"/>
      <c r="U175" s="5"/>
      <c r="V175" s="5"/>
      <c r="W175" s="23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23"/>
      <c r="M176" s="24"/>
      <c r="N176" s="5"/>
      <c r="O176" s="5"/>
      <c r="P176" s="5"/>
      <c r="Q176" s="5"/>
      <c r="R176" s="5"/>
      <c r="S176" s="5"/>
      <c r="T176" s="5"/>
      <c r="U176" s="5"/>
      <c r="V176" s="5"/>
      <c r="W176" s="23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23"/>
      <c r="M177" s="24"/>
      <c r="N177" s="5"/>
      <c r="O177" s="5"/>
      <c r="P177" s="5"/>
      <c r="Q177" s="5"/>
      <c r="R177" s="5"/>
      <c r="S177" s="5"/>
      <c r="T177" s="5"/>
      <c r="U177" s="5"/>
      <c r="V177" s="5"/>
      <c r="W177" s="23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23"/>
      <c r="M178" s="24"/>
      <c r="N178" s="5"/>
      <c r="O178" s="5"/>
      <c r="P178" s="5"/>
      <c r="Q178" s="5"/>
      <c r="R178" s="5"/>
      <c r="S178" s="5"/>
      <c r="T178" s="5"/>
      <c r="U178" s="5"/>
      <c r="V178" s="5"/>
      <c r="W178" s="23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23"/>
      <c r="M179" s="24"/>
      <c r="N179" s="5"/>
      <c r="O179" s="5"/>
      <c r="P179" s="5"/>
      <c r="Q179" s="5"/>
      <c r="R179" s="5"/>
      <c r="S179" s="5"/>
      <c r="T179" s="5"/>
      <c r="U179" s="5"/>
      <c r="V179" s="5"/>
      <c r="W179" s="23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23"/>
      <c r="M180" s="24"/>
      <c r="N180" s="5"/>
      <c r="O180" s="5"/>
      <c r="P180" s="5"/>
      <c r="Q180" s="5"/>
      <c r="R180" s="5"/>
      <c r="S180" s="5"/>
      <c r="T180" s="5"/>
      <c r="U180" s="5"/>
      <c r="V180" s="5"/>
      <c r="W180" s="23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23"/>
      <c r="M181" s="24"/>
      <c r="N181" s="5"/>
      <c r="O181" s="5"/>
      <c r="P181" s="5"/>
      <c r="Q181" s="5"/>
      <c r="R181" s="5"/>
      <c r="S181" s="5"/>
      <c r="T181" s="5"/>
      <c r="U181" s="5"/>
      <c r="V181" s="5"/>
      <c r="W181" s="23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23"/>
      <c r="M182" s="24"/>
      <c r="N182" s="5"/>
      <c r="O182" s="5"/>
      <c r="P182" s="5"/>
      <c r="Q182" s="5"/>
      <c r="R182" s="5"/>
      <c r="S182" s="5"/>
      <c r="T182" s="5"/>
      <c r="U182" s="5"/>
      <c r="V182" s="5"/>
      <c r="W182" s="23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23"/>
      <c r="M183" s="24"/>
      <c r="N183" s="5"/>
      <c r="O183" s="5"/>
      <c r="P183" s="5"/>
      <c r="Q183" s="5"/>
      <c r="R183" s="5"/>
      <c r="S183" s="5"/>
      <c r="T183" s="5"/>
      <c r="U183" s="5"/>
      <c r="V183" s="5"/>
      <c r="W183" s="23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23"/>
      <c r="M184" s="24"/>
      <c r="N184" s="5"/>
      <c r="O184" s="5"/>
      <c r="P184" s="5"/>
      <c r="Q184" s="5"/>
      <c r="R184" s="5"/>
      <c r="S184" s="5"/>
      <c r="T184" s="5"/>
      <c r="U184" s="5"/>
      <c r="V184" s="5"/>
      <c r="W184" s="23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23"/>
      <c r="M185" s="24"/>
      <c r="N185" s="5"/>
      <c r="O185" s="5"/>
      <c r="P185" s="5"/>
      <c r="Q185" s="5"/>
      <c r="R185" s="5"/>
      <c r="S185" s="5"/>
      <c r="T185" s="5"/>
      <c r="U185" s="5"/>
      <c r="V185" s="5"/>
      <c r="W185" s="23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23"/>
      <c r="M186" s="24"/>
      <c r="N186" s="5"/>
      <c r="O186" s="5"/>
      <c r="P186" s="5"/>
      <c r="Q186" s="5"/>
      <c r="R186" s="5"/>
      <c r="S186" s="5"/>
      <c r="T186" s="5"/>
      <c r="U186" s="5"/>
      <c r="V186" s="5"/>
      <c r="W186" s="23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23"/>
      <c r="M187" s="24"/>
      <c r="N187" s="5"/>
      <c r="O187" s="5"/>
      <c r="P187" s="5"/>
      <c r="Q187" s="5"/>
      <c r="R187" s="5"/>
      <c r="S187" s="5"/>
      <c r="T187" s="5"/>
      <c r="U187" s="5"/>
      <c r="V187" s="5"/>
      <c r="W187" s="23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23"/>
      <c r="M188" s="24"/>
      <c r="N188" s="5"/>
      <c r="O188" s="5"/>
      <c r="P188" s="5"/>
      <c r="Q188" s="5"/>
      <c r="R188" s="5"/>
      <c r="S188" s="5"/>
      <c r="T188" s="5"/>
      <c r="U188" s="5"/>
      <c r="V188" s="5"/>
      <c r="W188" s="23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23"/>
      <c r="M189" s="24"/>
      <c r="N189" s="5"/>
      <c r="O189" s="5"/>
      <c r="P189" s="5"/>
      <c r="Q189" s="5"/>
      <c r="R189" s="5"/>
      <c r="S189" s="5"/>
      <c r="T189" s="5"/>
      <c r="U189" s="5"/>
      <c r="V189" s="5"/>
      <c r="W189" s="23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23"/>
      <c r="M190" s="24"/>
      <c r="N190" s="5"/>
      <c r="O190" s="5"/>
      <c r="P190" s="5"/>
      <c r="Q190" s="5"/>
      <c r="R190" s="5"/>
      <c r="S190" s="5"/>
      <c r="T190" s="5"/>
      <c r="U190" s="5"/>
      <c r="V190" s="5"/>
      <c r="W190" s="23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23"/>
      <c r="M191" s="24"/>
      <c r="N191" s="5"/>
      <c r="O191" s="5"/>
      <c r="P191" s="5"/>
      <c r="Q191" s="5"/>
      <c r="R191" s="5"/>
      <c r="S191" s="5"/>
      <c r="T191" s="5"/>
      <c r="U191" s="5"/>
      <c r="V191" s="5"/>
      <c r="W191" s="23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23"/>
      <c r="M192" s="24"/>
      <c r="N192" s="5"/>
      <c r="O192" s="5"/>
      <c r="P192" s="5"/>
      <c r="Q192" s="5"/>
      <c r="R192" s="5"/>
      <c r="S192" s="5"/>
      <c r="T192" s="5"/>
      <c r="U192" s="5"/>
      <c r="V192" s="5"/>
      <c r="W192" s="23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23"/>
      <c r="M193" s="24"/>
      <c r="N193" s="5"/>
      <c r="O193" s="5"/>
      <c r="P193" s="5"/>
      <c r="Q193" s="5"/>
      <c r="R193" s="5"/>
      <c r="S193" s="5"/>
      <c r="T193" s="5"/>
      <c r="U193" s="5"/>
      <c r="V193" s="5"/>
      <c r="W193" s="23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23"/>
      <c r="M194" s="24"/>
      <c r="N194" s="5"/>
      <c r="O194" s="5"/>
      <c r="P194" s="5"/>
      <c r="Q194" s="5"/>
      <c r="R194" s="5"/>
      <c r="S194" s="5"/>
      <c r="T194" s="5"/>
      <c r="U194" s="5"/>
      <c r="V194" s="5"/>
      <c r="W194" s="23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23"/>
      <c r="M195" s="24"/>
      <c r="N195" s="5"/>
      <c r="O195" s="5"/>
      <c r="P195" s="5"/>
      <c r="Q195" s="5"/>
      <c r="R195" s="5"/>
      <c r="S195" s="5"/>
      <c r="T195" s="5"/>
      <c r="U195" s="5"/>
      <c r="V195" s="5"/>
      <c r="W195" s="23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23"/>
      <c r="M196" s="24"/>
      <c r="N196" s="5"/>
      <c r="O196" s="5"/>
      <c r="P196" s="5"/>
      <c r="Q196" s="5"/>
      <c r="R196" s="5"/>
      <c r="S196" s="5"/>
      <c r="T196" s="5"/>
      <c r="U196" s="5"/>
      <c r="V196" s="5"/>
      <c r="W196" s="23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23"/>
      <c r="M197" s="24"/>
      <c r="N197" s="5"/>
      <c r="O197" s="5"/>
      <c r="P197" s="5"/>
      <c r="Q197" s="5"/>
      <c r="R197" s="5"/>
      <c r="S197" s="5"/>
      <c r="T197" s="5"/>
      <c r="U197" s="5"/>
      <c r="V197" s="5"/>
      <c r="W197" s="23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23"/>
      <c r="M198" s="24"/>
      <c r="N198" s="5"/>
      <c r="O198" s="5"/>
      <c r="P198" s="5"/>
      <c r="Q198" s="5"/>
      <c r="R198" s="5"/>
      <c r="S198" s="5"/>
      <c r="T198" s="5"/>
      <c r="U198" s="5"/>
      <c r="V198" s="5"/>
      <c r="W198" s="23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23"/>
      <c r="M199" s="24"/>
      <c r="N199" s="5"/>
      <c r="O199" s="5"/>
      <c r="P199" s="5"/>
      <c r="Q199" s="5"/>
      <c r="R199" s="5"/>
      <c r="S199" s="5"/>
      <c r="T199" s="5"/>
      <c r="U199" s="5"/>
      <c r="V199" s="5"/>
      <c r="W199" s="23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23"/>
      <c r="M200" s="24"/>
      <c r="N200" s="5"/>
      <c r="O200" s="5"/>
      <c r="P200" s="5"/>
      <c r="Q200" s="5"/>
      <c r="R200" s="5"/>
      <c r="S200" s="5"/>
      <c r="T200" s="5"/>
      <c r="U200" s="5"/>
      <c r="V200" s="5"/>
      <c r="W200" s="23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23"/>
      <c r="M201" s="24"/>
      <c r="N201" s="5"/>
      <c r="O201" s="5"/>
      <c r="P201" s="5"/>
      <c r="Q201" s="5"/>
      <c r="R201" s="5"/>
      <c r="S201" s="5"/>
      <c r="T201" s="5"/>
      <c r="U201" s="5"/>
      <c r="V201" s="5"/>
      <c r="W201" s="23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23"/>
      <c r="M202" s="24"/>
      <c r="N202" s="5"/>
      <c r="O202" s="5"/>
      <c r="P202" s="5"/>
      <c r="Q202" s="5"/>
      <c r="R202" s="5"/>
      <c r="S202" s="5"/>
      <c r="T202" s="5"/>
      <c r="U202" s="5"/>
      <c r="V202" s="5"/>
      <c r="W202" s="23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23"/>
      <c r="M203" s="24"/>
      <c r="N203" s="5"/>
      <c r="O203" s="5"/>
      <c r="P203" s="5"/>
      <c r="Q203" s="5"/>
      <c r="R203" s="5"/>
      <c r="S203" s="5"/>
      <c r="T203" s="5"/>
      <c r="U203" s="5"/>
      <c r="V203" s="5"/>
      <c r="W203" s="23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23"/>
      <c r="M204" s="24"/>
      <c r="N204" s="5"/>
      <c r="O204" s="5"/>
      <c r="P204" s="5"/>
      <c r="Q204" s="5"/>
      <c r="R204" s="5"/>
      <c r="S204" s="5"/>
      <c r="T204" s="5"/>
      <c r="U204" s="5"/>
      <c r="V204" s="5"/>
      <c r="W204" s="23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23"/>
      <c r="M205" s="24"/>
      <c r="N205" s="5"/>
      <c r="O205" s="5"/>
      <c r="P205" s="5"/>
      <c r="Q205" s="5"/>
      <c r="R205" s="5"/>
      <c r="S205" s="5"/>
      <c r="T205" s="5"/>
      <c r="U205" s="5"/>
      <c r="V205" s="5"/>
      <c r="W205" s="23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23"/>
      <c r="M206" s="24"/>
      <c r="N206" s="5"/>
      <c r="O206" s="5"/>
      <c r="P206" s="5"/>
      <c r="Q206" s="5"/>
      <c r="R206" s="5"/>
      <c r="S206" s="5"/>
      <c r="T206" s="5"/>
      <c r="U206" s="5"/>
      <c r="V206" s="5"/>
      <c r="W206" s="23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23"/>
      <c r="M207" s="24"/>
      <c r="N207" s="5"/>
      <c r="O207" s="5"/>
      <c r="P207" s="5"/>
      <c r="Q207" s="5"/>
      <c r="R207" s="5"/>
      <c r="S207" s="5"/>
      <c r="T207" s="5"/>
      <c r="U207" s="5"/>
      <c r="V207" s="5"/>
      <c r="W207" s="23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23"/>
      <c r="M208" s="24"/>
      <c r="N208" s="5"/>
      <c r="O208" s="5"/>
      <c r="P208" s="5"/>
      <c r="Q208" s="5"/>
      <c r="R208" s="5"/>
      <c r="S208" s="5"/>
      <c r="T208" s="5"/>
      <c r="U208" s="5"/>
      <c r="V208" s="5"/>
      <c r="W208" s="23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23"/>
      <c r="M209" s="24"/>
      <c r="N209" s="5"/>
      <c r="O209" s="5"/>
      <c r="P209" s="5"/>
      <c r="Q209" s="5"/>
      <c r="R209" s="5"/>
      <c r="S209" s="5"/>
      <c r="T209" s="5"/>
      <c r="U209" s="5"/>
      <c r="V209" s="5"/>
      <c r="W209" s="23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23"/>
      <c r="M210" s="24"/>
      <c r="N210" s="5"/>
      <c r="O210" s="5"/>
      <c r="P210" s="5"/>
      <c r="Q210" s="5"/>
      <c r="R210" s="5"/>
      <c r="S210" s="5"/>
      <c r="T210" s="5"/>
      <c r="U210" s="5"/>
      <c r="V210" s="5"/>
      <c r="W210" s="23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23"/>
      <c r="M211" s="24"/>
      <c r="N211" s="5"/>
      <c r="O211" s="5"/>
      <c r="P211" s="5"/>
      <c r="Q211" s="5"/>
      <c r="R211" s="5"/>
      <c r="S211" s="5"/>
      <c r="T211" s="5"/>
      <c r="U211" s="5"/>
      <c r="V211" s="5"/>
      <c r="W211" s="23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23"/>
      <c r="M212" s="24"/>
      <c r="N212" s="5"/>
      <c r="O212" s="5"/>
      <c r="P212" s="5"/>
      <c r="Q212" s="5"/>
      <c r="R212" s="5"/>
      <c r="S212" s="5"/>
      <c r="T212" s="5"/>
      <c r="U212" s="5"/>
      <c r="V212" s="5"/>
      <c r="W212" s="23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23"/>
      <c r="M213" s="24"/>
      <c r="N213" s="5"/>
      <c r="O213" s="5"/>
      <c r="P213" s="5"/>
      <c r="Q213" s="5"/>
      <c r="R213" s="5"/>
      <c r="S213" s="5"/>
      <c r="T213" s="5"/>
      <c r="U213" s="5"/>
      <c r="V213" s="5"/>
      <c r="W213" s="23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23"/>
      <c r="M214" s="24"/>
      <c r="N214" s="5"/>
      <c r="O214" s="5"/>
      <c r="P214" s="5"/>
      <c r="Q214" s="5"/>
      <c r="R214" s="5"/>
      <c r="S214" s="5"/>
      <c r="T214" s="5"/>
      <c r="U214" s="5"/>
      <c r="V214" s="5"/>
      <c r="W214" s="23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23"/>
      <c r="M215" s="24"/>
      <c r="N215" s="5"/>
      <c r="O215" s="5"/>
      <c r="P215" s="5"/>
      <c r="Q215" s="5"/>
      <c r="R215" s="5"/>
      <c r="S215" s="5"/>
      <c r="T215" s="5"/>
      <c r="U215" s="5"/>
      <c r="V215" s="5"/>
      <c r="W215" s="23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23"/>
      <c r="M216" s="24"/>
      <c r="N216" s="5"/>
      <c r="O216" s="5"/>
      <c r="P216" s="5"/>
      <c r="Q216" s="5"/>
      <c r="R216" s="5"/>
      <c r="S216" s="5"/>
      <c r="T216" s="5"/>
      <c r="U216" s="5"/>
      <c r="V216" s="5"/>
      <c r="W216" s="23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23"/>
      <c r="M217" s="24"/>
      <c r="N217" s="5"/>
      <c r="O217" s="5"/>
      <c r="P217" s="5"/>
      <c r="Q217" s="5"/>
      <c r="R217" s="5"/>
      <c r="S217" s="5"/>
      <c r="T217" s="5"/>
      <c r="U217" s="5"/>
      <c r="V217" s="5"/>
      <c r="W217" s="23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23"/>
      <c r="M218" s="24"/>
      <c r="N218" s="5"/>
      <c r="O218" s="5"/>
      <c r="P218" s="5"/>
      <c r="Q218" s="5"/>
      <c r="R218" s="5"/>
      <c r="S218" s="5"/>
      <c r="T218" s="5"/>
      <c r="U218" s="5"/>
      <c r="V218" s="5"/>
      <c r="W218" s="23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23"/>
      <c r="M219" s="24"/>
      <c r="N219" s="5"/>
      <c r="O219" s="5"/>
      <c r="P219" s="5"/>
      <c r="Q219" s="5"/>
      <c r="R219" s="5"/>
      <c r="S219" s="5"/>
      <c r="T219" s="5"/>
      <c r="U219" s="5"/>
      <c r="V219" s="5"/>
      <c r="W219" s="23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23"/>
      <c r="M220" s="24"/>
      <c r="N220" s="5"/>
      <c r="O220" s="5"/>
      <c r="P220" s="5"/>
      <c r="Q220" s="5"/>
      <c r="R220" s="5"/>
      <c r="S220" s="5"/>
      <c r="T220" s="5"/>
      <c r="U220" s="5"/>
      <c r="V220" s="5"/>
      <c r="W220" s="23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23"/>
      <c r="M221" s="24"/>
      <c r="N221" s="5"/>
      <c r="O221" s="5"/>
      <c r="P221" s="5"/>
      <c r="Q221" s="5"/>
      <c r="R221" s="5"/>
      <c r="S221" s="5"/>
      <c r="T221" s="5"/>
      <c r="U221" s="5"/>
      <c r="V221" s="5"/>
      <c r="W221" s="23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23"/>
      <c r="M222" s="24"/>
      <c r="N222" s="5"/>
      <c r="O222" s="5"/>
      <c r="P222" s="5"/>
      <c r="Q222" s="5"/>
      <c r="R222" s="5"/>
      <c r="S222" s="5"/>
      <c r="T222" s="5"/>
      <c r="U222" s="5"/>
      <c r="V222" s="5"/>
      <c r="W222" s="23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23"/>
      <c r="M223" s="24"/>
      <c r="N223" s="5"/>
      <c r="O223" s="5"/>
      <c r="P223" s="5"/>
      <c r="Q223" s="5"/>
      <c r="R223" s="5"/>
      <c r="S223" s="5"/>
      <c r="T223" s="5"/>
      <c r="U223" s="5"/>
      <c r="V223" s="5"/>
      <c r="W223" s="23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23"/>
      <c r="M224" s="24"/>
      <c r="N224" s="5"/>
      <c r="O224" s="5"/>
      <c r="P224" s="5"/>
      <c r="Q224" s="5"/>
      <c r="R224" s="5"/>
      <c r="S224" s="5"/>
      <c r="T224" s="5"/>
      <c r="U224" s="5"/>
      <c r="V224" s="5"/>
      <c r="W224" s="23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23"/>
      <c r="M225" s="24"/>
      <c r="N225" s="5"/>
      <c r="O225" s="5"/>
      <c r="P225" s="5"/>
      <c r="Q225" s="5"/>
      <c r="R225" s="5"/>
      <c r="S225" s="5"/>
      <c r="T225" s="5"/>
      <c r="U225" s="5"/>
      <c r="V225" s="5"/>
      <c r="W225" s="23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23"/>
      <c r="M226" s="24"/>
      <c r="N226" s="5"/>
      <c r="O226" s="5"/>
      <c r="P226" s="5"/>
      <c r="Q226" s="5"/>
      <c r="R226" s="5"/>
      <c r="S226" s="5"/>
      <c r="T226" s="5"/>
      <c r="U226" s="5"/>
      <c r="V226" s="5"/>
      <c r="W226" s="23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23"/>
      <c r="M227" s="24"/>
      <c r="N227" s="5"/>
      <c r="O227" s="5"/>
      <c r="P227" s="5"/>
      <c r="Q227" s="5"/>
      <c r="R227" s="5"/>
      <c r="S227" s="5"/>
      <c r="T227" s="5"/>
      <c r="U227" s="5"/>
      <c r="V227" s="5"/>
      <c r="W227" s="23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23"/>
      <c r="M228" s="24"/>
      <c r="N228" s="5"/>
      <c r="O228" s="5"/>
      <c r="P228" s="5"/>
      <c r="Q228" s="5"/>
      <c r="R228" s="5"/>
      <c r="S228" s="5"/>
      <c r="T228" s="5"/>
      <c r="U228" s="5"/>
      <c r="V228" s="5"/>
      <c r="W228" s="23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23"/>
      <c r="M229" s="24"/>
      <c r="N229" s="5"/>
      <c r="O229" s="5"/>
      <c r="P229" s="5"/>
      <c r="Q229" s="5"/>
      <c r="R229" s="5"/>
      <c r="S229" s="5"/>
      <c r="T229" s="5"/>
      <c r="U229" s="5"/>
      <c r="V229" s="5"/>
      <c r="W229" s="23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23"/>
      <c r="M230" s="24"/>
      <c r="N230" s="5"/>
      <c r="O230" s="5"/>
      <c r="P230" s="5"/>
      <c r="Q230" s="5"/>
      <c r="R230" s="5"/>
      <c r="S230" s="5"/>
      <c r="T230" s="5"/>
      <c r="U230" s="5"/>
      <c r="V230" s="5"/>
      <c r="W230" s="23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23"/>
      <c r="M231" s="24"/>
      <c r="N231" s="5"/>
      <c r="O231" s="5"/>
      <c r="P231" s="5"/>
      <c r="Q231" s="5"/>
      <c r="R231" s="5"/>
      <c r="S231" s="5"/>
      <c r="T231" s="5"/>
      <c r="U231" s="5"/>
      <c r="V231" s="5"/>
      <c r="W231" s="23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23"/>
      <c r="M232" s="24"/>
      <c r="N232" s="5"/>
      <c r="O232" s="5"/>
      <c r="P232" s="5"/>
      <c r="Q232" s="5"/>
      <c r="R232" s="5"/>
      <c r="S232" s="5"/>
      <c r="T232" s="5"/>
      <c r="U232" s="5"/>
      <c r="V232" s="5"/>
      <c r="W232" s="23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23"/>
      <c r="M233" s="24"/>
      <c r="N233" s="5"/>
      <c r="O233" s="5"/>
      <c r="P233" s="5"/>
      <c r="Q233" s="5"/>
      <c r="R233" s="5"/>
      <c r="S233" s="5"/>
      <c r="T233" s="5"/>
      <c r="U233" s="5"/>
      <c r="V233" s="5"/>
      <c r="W233" s="23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23"/>
      <c r="M234" s="24"/>
      <c r="N234" s="5"/>
      <c r="O234" s="5"/>
      <c r="P234" s="5"/>
      <c r="Q234" s="5"/>
      <c r="R234" s="5"/>
      <c r="S234" s="5"/>
      <c r="T234" s="5"/>
      <c r="U234" s="5"/>
      <c r="V234" s="5"/>
      <c r="W234" s="23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23"/>
      <c r="M235" s="24"/>
      <c r="N235" s="5"/>
      <c r="O235" s="5"/>
      <c r="P235" s="5"/>
      <c r="Q235" s="5"/>
      <c r="R235" s="5"/>
      <c r="S235" s="5"/>
      <c r="T235" s="5"/>
      <c r="U235" s="5"/>
      <c r="V235" s="5"/>
      <c r="W235" s="23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23"/>
      <c r="M236" s="24"/>
      <c r="N236" s="5"/>
      <c r="O236" s="5"/>
      <c r="P236" s="5"/>
      <c r="Q236" s="5"/>
      <c r="R236" s="5"/>
      <c r="S236" s="5"/>
      <c r="T236" s="5"/>
      <c r="U236" s="5"/>
      <c r="V236" s="5"/>
      <c r="W236" s="23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23"/>
      <c r="M237" s="24"/>
      <c r="N237" s="5"/>
      <c r="O237" s="5"/>
      <c r="P237" s="5"/>
      <c r="Q237" s="5"/>
      <c r="R237" s="5"/>
      <c r="S237" s="5"/>
      <c r="T237" s="5"/>
      <c r="U237" s="5"/>
      <c r="V237" s="5"/>
      <c r="W237" s="23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23"/>
      <c r="M238" s="24"/>
      <c r="N238" s="5"/>
      <c r="O238" s="5"/>
      <c r="P238" s="5"/>
      <c r="Q238" s="5"/>
      <c r="R238" s="5"/>
      <c r="S238" s="5"/>
      <c r="T238" s="5"/>
      <c r="U238" s="5"/>
      <c r="V238" s="5"/>
      <c r="W238" s="23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23"/>
      <c r="M239" s="24"/>
      <c r="N239" s="5"/>
      <c r="O239" s="5"/>
      <c r="P239" s="5"/>
      <c r="Q239" s="5"/>
      <c r="R239" s="5"/>
      <c r="S239" s="5"/>
      <c r="T239" s="5"/>
      <c r="U239" s="5"/>
      <c r="V239" s="5"/>
      <c r="W239" s="23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23"/>
      <c r="M240" s="24"/>
      <c r="N240" s="5"/>
      <c r="O240" s="5"/>
      <c r="P240" s="5"/>
      <c r="Q240" s="5"/>
      <c r="R240" s="5"/>
      <c r="S240" s="5"/>
      <c r="T240" s="5"/>
      <c r="U240" s="5"/>
      <c r="V240" s="5"/>
      <c r="W240" s="23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23"/>
      <c r="M241" s="24"/>
      <c r="N241" s="5"/>
      <c r="O241" s="5"/>
      <c r="P241" s="5"/>
      <c r="Q241" s="5"/>
      <c r="R241" s="5"/>
      <c r="S241" s="5"/>
      <c r="T241" s="5"/>
      <c r="U241" s="5"/>
      <c r="V241" s="5"/>
      <c r="W241" s="23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23"/>
      <c r="M242" s="24"/>
      <c r="N242" s="5"/>
      <c r="O242" s="5"/>
      <c r="P242" s="5"/>
      <c r="Q242" s="5"/>
      <c r="R242" s="5"/>
      <c r="S242" s="5"/>
      <c r="T242" s="5"/>
      <c r="U242" s="5"/>
      <c r="V242" s="5"/>
      <c r="W242" s="23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23"/>
      <c r="M243" s="24"/>
      <c r="N243" s="5"/>
      <c r="O243" s="5"/>
      <c r="P243" s="5"/>
      <c r="Q243" s="5"/>
      <c r="R243" s="5"/>
      <c r="S243" s="5"/>
      <c r="T243" s="5"/>
      <c r="U243" s="5"/>
      <c r="V243" s="5"/>
      <c r="W243" s="23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23"/>
      <c r="M244" s="24"/>
      <c r="N244" s="5"/>
      <c r="O244" s="5"/>
      <c r="P244" s="5"/>
      <c r="Q244" s="5"/>
      <c r="R244" s="5"/>
      <c r="S244" s="5"/>
      <c r="T244" s="5"/>
      <c r="U244" s="5"/>
      <c r="V244" s="5"/>
      <c r="W244" s="23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23"/>
      <c r="M245" s="24"/>
      <c r="N245" s="5"/>
      <c r="O245" s="5"/>
      <c r="P245" s="5"/>
      <c r="Q245" s="5"/>
      <c r="R245" s="5"/>
      <c r="S245" s="5"/>
      <c r="T245" s="5"/>
      <c r="U245" s="5"/>
      <c r="V245" s="5"/>
      <c r="W245" s="23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23"/>
      <c r="M246" s="24"/>
      <c r="N246" s="5"/>
      <c r="O246" s="5"/>
      <c r="P246" s="5"/>
      <c r="Q246" s="5"/>
      <c r="R246" s="5"/>
      <c r="S246" s="5"/>
      <c r="T246" s="5"/>
      <c r="U246" s="5"/>
      <c r="V246" s="5"/>
      <c r="W246" s="23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23"/>
      <c r="M247" s="24"/>
      <c r="N247" s="5"/>
      <c r="O247" s="5"/>
      <c r="P247" s="5"/>
      <c r="Q247" s="5"/>
      <c r="R247" s="5"/>
      <c r="S247" s="5"/>
      <c r="T247" s="5"/>
      <c r="U247" s="5"/>
      <c r="V247" s="5"/>
      <c r="W247" s="23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23"/>
      <c r="M248" s="24"/>
      <c r="N248" s="5"/>
      <c r="O248" s="5"/>
      <c r="P248" s="5"/>
      <c r="Q248" s="5"/>
      <c r="R248" s="5"/>
      <c r="S248" s="5"/>
      <c r="T248" s="5"/>
      <c r="U248" s="5"/>
      <c r="V248" s="5"/>
      <c r="W248" s="23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23"/>
      <c r="M249" s="24"/>
      <c r="N249" s="5"/>
      <c r="O249" s="5"/>
      <c r="P249" s="5"/>
      <c r="Q249" s="5"/>
      <c r="R249" s="5"/>
      <c r="S249" s="5"/>
      <c r="T249" s="5"/>
      <c r="U249" s="5"/>
      <c r="V249" s="5"/>
      <c r="W249" s="23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23"/>
      <c r="M250" s="24"/>
      <c r="N250" s="5"/>
      <c r="O250" s="5"/>
      <c r="P250" s="5"/>
      <c r="Q250" s="5"/>
      <c r="R250" s="5"/>
      <c r="S250" s="5"/>
      <c r="T250" s="5"/>
      <c r="U250" s="5"/>
      <c r="V250" s="5"/>
      <c r="W250" s="23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23"/>
      <c r="M251" s="24"/>
      <c r="N251" s="5"/>
      <c r="O251" s="5"/>
      <c r="P251" s="5"/>
      <c r="Q251" s="5"/>
      <c r="R251" s="5"/>
      <c r="S251" s="5"/>
      <c r="T251" s="5"/>
      <c r="U251" s="5"/>
      <c r="V251" s="5"/>
      <c r="W251" s="23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23"/>
      <c r="M252" s="24"/>
      <c r="N252" s="5"/>
      <c r="O252" s="5"/>
      <c r="P252" s="5"/>
      <c r="Q252" s="5"/>
      <c r="R252" s="5"/>
      <c r="S252" s="5"/>
      <c r="T252" s="5"/>
      <c r="U252" s="5"/>
      <c r="V252" s="5"/>
      <c r="W252" s="23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23"/>
      <c r="M253" s="24"/>
      <c r="N253" s="5"/>
      <c r="O253" s="5"/>
      <c r="P253" s="5"/>
      <c r="Q253" s="5"/>
      <c r="R253" s="5"/>
      <c r="S253" s="5"/>
      <c r="T253" s="5"/>
      <c r="U253" s="5"/>
      <c r="V253" s="5"/>
      <c r="W253" s="23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23"/>
      <c r="M254" s="24"/>
      <c r="N254" s="5"/>
      <c r="O254" s="5"/>
      <c r="P254" s="5"/>
      <c r="Q254" s="5"/>
      <c r="R254" s="5"/>
      <c r="S254" s="5"/>
      <c r="T254" s="5"/>
      <c r="U254" s="5"/>
      <c r="V254" s="5"/>
      <c r="W254" s="23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23"/>
      <c r="M255" s="24"/>
      <c r="N255" s="5"/>
      <c r="O255" s="5"/>
      <c r="P255" s="5"/>
      <c r="Q255" s="5"/>
      <c r="R255" s="5"/>
      <c r="S255" s="5"/>
      <c r="T255" s="5"/>
      <c r="U255" s="5"/>
      <c r="V255" s="5"/>
      <c r="W255" s="23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23"/>
      <c r="M256" s="24"/>
      <c r="N256" s="5"/>
      <c r="O256" s="5"/>
      <c r="P256" s="5"/>
      <c r="Q256" s="5"/>
      <c r="R256" s="5"/>
      <c r="S256" s="5"/>
      <c r="T256" s="5"/>
      <c r="U256" s="5"/>
      <c r="V256" s="5"/>
      <c r="W256" s="23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23"/>
      <c r="M257" s="24"/>
      <c r="N257" s="5"/>
      <c r="O257" s="5"/>
      <c r="P257" s="5"/>
      <c r="Q257" s="5"/>
      <c r="R257" s="5"/>
      <c r="S257" s="5"/>
      <c r="T257" s="5"/>
      <c r="U257" s="5"/>
      <c r="V257" s="5"/>
      <c r="W257" s="23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23"/>
      <c r="M258" s="24"/>
      <c r="N258" s="5"/>
      <c r="O258" s="5"/>
      <c r="P258" s="5"/>
      <c r="Q258" s="5"/>
      <c r="R258" s="5"/>
      <c r="S258" s="5"/>
      <c r="T258" s="5"/>
      <c r="U258" s="5"/>
      <c r="V258" s="5"/>
      <c r="W258" s="23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23"/>
      <c r="M259" s="24"/>
      <c r="N259" s="5"/>
      <c r="O259" s="5"/>
      <c r="P259" s="5"/>
      <c r="Q259" s="5"/>
      <c r="R259" s="5"/>
      <c r="S259" s="5"/>
      <c r="T259" s="5"/>
      <c r="U259" s="5"/>
      <c r="V259" s="5"/>
      <c r="W259" s="23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23"/>
      <c r="M260" s="24"/>
      <c r="N260" s="5"/>
      <c r="O260" s="5"/>
      <c r="P260" s="5"/>
      <c r="Q260" s="5"/>
      <c r="R260" s="5"/>
      <c r="S260" s="5"/>
      <c r="T260" s="5"/>
      <c r="U260" s="5"/>
      <c r="V260" s="5"/>
      <c r="W260" s="23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23"/>
      <c r="M261" s="24"/>
      <c r="N261" s="5"/>
      <c r="O261" s="5"/>
      <c r="P261" s="5"/>
      <c r="Q261" s="5"/>
      <c r="R261" s="5"/>
      <c r="S261" s="5"/>
      <c r="T261" s="5"/>
      <c r="U261" s="5"/>
      <c r="V261" s="5"/>
      <c r="W261" s="23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23"/>
      <c r="M262" s="24"/>
      <c r="N262" s="5"/>
      <c r="O262" s="5"/>
      <c r="P262" s="5"/>
      <c r="Q262" s="5"/>
      <c r="R262" s="5"/>
      <c r="S262" s="5"/>
      <c r="T262" s="5"/>
      <c r="U262" s="5"/>
      <c r="V262" s="5"/>
      <c r="W262" s="23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23"/>
      <c r="M263" s="24"/>
      <c r="N263" s="5"/>
      <c r="O263" s="5"/>
      <c r="P263" s="5"/>
      <c r="Q263" s="5"/>
      <c r="R263" s="5"/>
      <c r="S263" s="5"/>
      <c r="T263" s="5"/>
      <c r="U263" s="5"/>
      <c r="V263" s="5"/>
      <c r="W263" s="23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23"/>
      <c r="M264" s="24"/>
      <c r="N264" s="5"/>
      <c r="O264" s="5"/>
      <c r="P264" s="5"/>
      <c r="Q264" s="5"/>
      <c r="R264" s="5"/>
      <c r="S264" s="5"/>
      <c r="T264" s="5"/>
      <c r="U264" s="5"/>
      <c r="V264" s="5"/>
      <c r="W264" s="23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23"/>
      <c r="M265" s="24"/>
      <c r="N265" s="5"/>
      <c r="O265" s="5"/>
      <c r="P265" s="5"/>
      <c r="Q265" s="5"/>
      <c r="R265" s="5"/>
      <c r="S265" s="5"/>
      <c r="T265" s="5"/>
      <c r="U265" s="5"/>
      <c r="V265" s="5"/>
      <c r="W265" s="23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23"/>
      <c r="M266" s="24"/>
      <c r="N266" s="5"/>
      <c r="O266" s="5"/>
      <c r="P266" s="5"/>
      <c r="Q266" s="5"/>
      <c r="R266" s="5"/>
      <c r="S266" s="5"/>
      <c r="T266" s="5"/>
      <c r="U266" s="5"/>
      <c r="V266" s="5"/>
      <c r="W266" s="23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23"/>
      <c r="M267" s="24"/>
      <c r="N267" s="5"/>
      <c r="O267" s="5"/>
      <c r="P267" s="5"/>
      <c r="Q267" s="5"/>
      <c r="R267" s="5"/>
      <c r="S267" s="5"/>
      <c r="T267" s="5"/>
      <c r="U267" s="5"/>
      <c r="V267" s="5"/>
      <c r="W267" s="23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23"/>
      <c r="M268" s="24"/>
      <c r="N268" s="5"/>
      <c r="O268" s="5"/>
      <c r="P268" s="5"/>
      <c r="Q268" s="5"/>
      <c r="R268" s="5"/>
      <c r="S268" s="5"/>
      <c r="T268" s="5"/>
      <c r="U268" s="5"/>
      <c r="V268" s="5"/>
      <c r="W268" s="23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23"/>
      <c r="M269" s="24"/>
      <c r="N269" s="5"/>
      <c r="O269" s="5"/>
      <c r="P269" s="5"/>
      <c r="Q269" s="5"/>
      <c r="R269" s="5"/>
      <c r="S269" s="5"/>
      <c r="T269" s="5"/>
      <c r="U269" s="5"/>
      <c r="V269" s="5"/>
      <c r="W269" s="23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23"/>
      <c r="M270" s="24"/>
      <c r="N270" s="5"/>
      <c r="O270" s="5"/>
      <c r="P270" s="5"/>
      <c r="Q270" s="5"/>
      <c r="R270" s="5"/>
      <c r="S270" s="5"/>
      <c r="T270" s="5"/>
      <c r="U270" s="5"/>
      <c r="V270" s="5"/>
      <c r="W270" s="23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23"/>
      <c r="M271" s="24"/>
      <c r="N271" s="5"/>
      <c r="O271" s="5"/>
      <c r="P271" s="5"/>
      <c r="Q271" s="5"/>
      <c r="R271" s="5"/>
      <c r="S271" s="5"/>
      <c r="T271" s="5"/>
      <c r="U271" s="5"/>
      <c r="V271" s="5"/>
      <c r="W271" s="23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23"/>
      <c r="M272" s="24"/>
      <c r="N272" s="5"/>
      <c r="O272" s="5"/>
      <c r="P272" s="5"/>
      <c r="Q272" s="5"/>
      <c r="R272" s="5"/>
      <c r="S272" s="5"/>
      <c r="T272" s="5"/>
      <c r="U272" s="5"/>
      <c r="V272" s="5"/>
      <c r="W272" s="23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23"/>
      <c r="M273" s="24"/>
      <c r="N273" s="5"/>
      <c r="O273" s="5"/>
      <c r="P273" s="5"/>
      <c r="Q273" s="5"/>
      <c r="R273" s="5"/>
      <c r="S273" s="5"/>
      <c r="T273" s="5"/>
      <c r="U273" s="5"/>
      <c r="V273" s="5"/>
      <c r="W273" s="23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23"/>
      <c r="M274" s="24"/>
      <c r="N274" s="5"/>
      <c r="O274" s="5"/>
      <c r="P274" s="5"/>
      <c r="Q274" s="5"/>
      <c r="R274" s="5"/>
      <c r="S274" s="5"/>
      <c r="T274" s="5"/>
      <c r="U274" s="5"/>
      <c r="V274" s="5"/>
      <c r="W274" s="23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23"/>
      <c r="M275" s="24"/>
      <c r="N275" s="5"/>
      <c r="O275" s="5"/>
      <c r="P275" s="5"/>
      <c r="Q275" s="5"/>
      <c r="R275" s="5"/>
      <c r="S275" s="5"/>
      <c r="T275" s="5"/>
      <c r="U275" s="5"/>
      <c r="V275" s="5"/>
      <c r="W275" s="23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23"/>
      <c r="M276" s="24"/>
      <c r="N276" s="5"/>
      <c r="O276" s="5"/>
      <c r="P276" s="5"/>
      <c r="Q276" s="5"/>
      <c r="R276" s="5"/>
      <c r="S276" s="5"/>
      <c r="T276" s="5"/>
      <c r="U276" s="5"/>
      <c r="V276" s="5"/>
      <c r="W276" s="23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23"/>
      <c r="M277" s="24"/>
      <c r="N277" s="5"/>
      <c r="O277" s="5"/>
      <c r="P277" s="5"/>
      <c r="Q277" s="5"/>
      <c r="R277" s="5"/>
      <c r="S277" s="5"/>
      <c r="T277" s="5"/>
      <c r="U277" s="5"/>
      <c r="V277" s="5"/>
      <c r="W277" s="23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23"/>
      <c r="M278" s="24"/>
      <c r="N278" s="5"/>
      <c r="O278" s="5"/>
      <c r="P278" s="5"/>
      <c r="Q278" s="5"/>
      <c r="R278" s="5"/>
      <c r="S278" s="5"/>
      <c r="T278" s="5"/>
      <c r="U278" s="5"/>
      <c r="V278" s="5"/>
      <c r="W278" s="23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23"/>
      <c r="M279" s="24"/>
      <c r="N279" s="5"/>
      <c r="O279" s="5"/>
      <c r="P279" s="5"/>
      <c r="Q279" s="5"/>
      <c r="R279" s="5"/>
      <c r="S279" s="5"/>
      <c r="T279" s="5"/>
      <c r="U279" s="5"/>
      <c r="V279" s="5"/>
      <c r="W279" s="23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23"/>
      <c r="M280" s="24"/>
      <c r="N280" s="5"/>
      <c r="O280" s="5"/>
      <c r="P280" s="5"/>
      <c r="Q280" s="5"/>
      <c r="R280" s="5"/>
      <c r="S280" s="5"/>
      <c r="T280" s="5"/>
      <c r="U280" s="5"/>
      <c r="V280" s="5"/>
      <c r="W280" s="23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23"/>
      <c r="M281" s="24"/>
      <c r="N281" s="5"/>
      <c r="O281" s="5"/>
      <c r="P281" s="5"/>
      <c r="Q281" s="5"/>
      <c r="R281" s="5"/>
      <c r="S281" s="5"/>
      <c r="T281" s="5"/>
      <c r="U281" s="5"/>
      <c r="V281" s="5"/>
      <c r="W281" s="23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23"/>
      <c r="M282" s="24"/>
      <c r="N282" s="5"/>
      <c r="O282" s="5"/>
      <c r="P282" s="5"/>
      <c r="Q282" s="5"/>
      <c r="R282" s="5"/>
      <c r="S282" s="5"/>
      <c r="T282" s="5"/>
      <c r="U282" s="5"/>
      <c r="V282" s="5"/>
      <c r="W282" s="23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23"/>
      <c r="M283" s="24"/>
      <c r="N283" s="5"/>
      <c r="O283" s="5"/>
      <c r="P283" s="5"/>
      <c r="Q283" s="5"/>
      <c r="R283" s="5"/>
      <c r="S283" s="5"/>
      <c r="T283" s="5"/>
      <c r="U283" s="5"/>
      <c r="V283" s="5"/>
      <c r="W283" s="23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23"/>
      <c r="M284" s="24"/>
      <c r="N284" s="5"/>
      <c r="O284" s="5"/>
      <c r="P284" s="5"/>
      <c r="Q284" s="5"/>
      <c r="R284" s="5"/>
      <c r="S284" s="5"/>
      <c r="T284" s="5"/>
      <c r="U284" s="5"/>
      <c r="V284" s="5"/>
      <c r="W284" s="23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23"/>
      <c r="M285" s="24"/>
      <c r="N285" s="5"/>
      <c r="O285" s="5"/>
      <c r="P285" s="5"/>
      <c r="Q285" s="5"/>
      <c r="R285" s="5"/>
      <c r="S285" s="5"/>
      <c r="T285" s="5"/>
      <c r="U285" s="5"/>
      <c r="V285" s="5"/>
      <c r="W285" s="23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23"/>
      <c r="M286" s="24"/>
      <c r="N286" s="5"/>
      <c r="O286" s="5"/>
      <c r="P286" s="5"/>
      <c r="Q286" s="5"/>
      <c r="R286" s="5"/>
      <c r="S286" s="5"/>
      <c r="T286" s="5"/>
      <c r="U286" s="5"/>
      <c r="V286" s="5"/>
      <c r="W286" s="23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23"/>
      <c r="M287" s="24"/>
      <c r="N287" s="5"/>
      <c r="O287" s="5"/>
      <c r="P287" s="5"/>
      <c r="Q287" s="5"/>
      <c r="R287" s="5"/>
      <c r="S287" s="5"/>
      <c r="T287" s="5"/>
      <c r="U287" s="5"/>
      <c r="V287" s="5"/>
      <c r="W287" s="23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23"/>
      <c r="M288" s="24"/>
      <c r="N288" s="5"/>
      <c r="O288" s="5"/>
      <c r="P288" s="5"/>
      <c r="Q288" s="5"/>
      <c r="R288" s="5"/>
      <c r="S288" s="5"/>
      <c r="T288" s="5"/>
      <c r="U288" s="5"/>
      <c r="V288" s="5"/>
      <c r="W288" s="23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23"/>
      <c r="M289" s="24"/>
      <c r="N289" s="5"/>
      <c r="O289" s="5"/>
      <c r="P289" s="5"/>
      <c r="Q289" s="5"/>
      <c r="R289" s="5"/>
      <c r="S289" s="5"/>
      <c r="T289" s="5"/>
      <c r="U289" s="5"/>
      <c r="V289" s="5"/>
      <c r="W289" s="23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23"/>
      <c r="M290" s="24"/>
      <c r="N290" s="5"/>
      <c r="O290" s="5"/>
      <c r="P290" s="5"/>
      <c r="Q290" s="5"/>
      <c r="R290" s="5"/>
      <c r="S290" s="5"/>
      <c r="T290" s="5"/>
      <c r="U290" s="5"/>
      <c r="V290" s="5"/>
      <c r="W290" s="23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23"/>
      <c r="M291" s="24"/>
      <c r="N291" s="5"/>
      <c r="O291" s="5"/>
      <c r="P291" s="5"/>
      <c r="Q291" s="5"/>
      <c r="R291" s="5"/>
      <c r="S291" s="5"/>
      <c r="T291" s="5"/>
      <c r="U291" s="5"/>
      <c r="V291" s="5"/>
      <c r="W291" s="23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23"/>
      <c r="M292" s="24"/>
      <c r="N292" s="5"/>
      <c r="O292" s="5"/>
      <c r="P292" s="5"/>
      <c r="Q292" s="5"/>
      <c r="R292" s="5"/>
      <c r="S292" s="5"/>
      <c r="T292" s="5"/>
      <c r="U292" s="5"/>
      <c r="V292" s="5"/>
      <c r="W292" s="23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23"/>
      <c r="M293" s="24"/>
      <c r="N293" s="5"/>
      <c r="O293" s="5"/>
      <c r="P293" s="5"/>
      <c r="Q293" s="5"/>
      <c r="R293" s="5"/>
      <c r="S293" s="5"/>
      <c r="T293" s="5"/>
      <c r="U293" s="5"/>
      <c r="V293" s="5"/>
      <c r="W293" s="23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23"/>
      <c r="M294" s="24"/>
      <c r="N294" s="5"/>
      <c r="O294" s="5"/>
      <c r="P294" s="5"/>
      <c r="Q294" s="5"/>
      <c r="R294" s="5"/>
      <c r="S294" s="5"/>
      <c r="T294" s="5"/>
      <c r="U294" s="5"/>
      <c r="V294" s="5"/>
      <c r="W294" s="23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23"/>
      <c r="M295" s="24"/>
      <c r="N295" s="5"/>
      <c r="O295" s="5"/>
      <c r="P295" s="5"/>
      <c r="Q295" s="5"/>
      <c r="R295" s="5"/>
      <c r="S295" s="5"/>
      <c r="T295" s="5"/>
      <c r="U295" s="5"/>
      <c r="V295" s="5"/>
      <c r="W295" s="23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23"/>
      <c r="M296" s="24"/>
      <c r="N296" s="5"/>
      <c r="O296" s="5"/>
      <c r="P296" s="5"/>
      <c r="Q296" s="5"/>
      <c r="R296" s="5"/>
      <c r="S296" s="5"/>
      <c r="T296" s="5"/>
      <c r="U296" s="5"/>
      <c r="V296" s="5"/>
      <c r="W296" s="23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23"/>
      <c r="M297" s="24"/>
      <c r="N297" s="5"/>
      <c r="O297" s="5"/>
      <c r="P297" s="5"/>
      <c r="Q297" s="5"/>
      <c r="R297" s="5"/>
      <c r="S297" s="5"/>
      <c r="T297" s="5"/>
      <c r="U297" s="5"/>
      <c r="V297" s="5"/>
      <c r="W297" s="23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23"/>
      <c r="M298" s="24"/>
      <c r="N298" s="5"/>
      <c r="O298" s="5"/>
      <c r="P298" s="5"/>
      <c r="Q298" s="5"/>
      <c r="R298" s="5"/>
      <c r="S298" s="5"/>
      <c r="T298" s="5"/>
      <c r="U298" s="5"/>
      <c r="V298" s="5"/>
      <c r="W298" s="23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23"/>
      <c r="M299" s="24"/>
      <c r="N299" s="5"/>
      <c r="O299" s="5"/>
      <c r="P299" s="5"/>
      <c r="Q299" s="5"/>
      <c r="R299" s="5"/>
      <c r="S299" s="5"/>
      <c r="T299" s="5"/>
      <c r="U299" s="5"/>
      <c r="V299" s="5"/>
      <c r="W299" s="23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23"/>
      <c r="M300" s="24"/>
      <c r="N300" s="5"/>
      <c r="O300" s="5"/>
      <c r="P300" s="5"/>
      <c r="Q300" s="5"/>
      <c r="R300" s="5"/>
      <c r="S300" s="5"/>
      <c r="T300" s="5"/>
      <c r="U300" s="5"/>
      <c r="V300" s="5"/>
      <c r="W300" s="23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23"/>
      <c r="M301" s="24"/>
      <c r="N301" s="5"/>
      <c r="O301" s="5"/>
      <c r="P301" s="5"/>
      <c r="Q301" s="5"/>
      <c r="R301" s="5"/>
      <c r="S301" s="5"/>
      <c r="T301" s="5"/>
      <c r="U301" s="5"/>
      <c r="V301" s="5"/>
      <c r="W301" s="23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23"/>
      <c r="M302" s="24"/>
      <c r="N302" s="5"/>
      <c r="O302" s="5"/>
      <c r="P302" s="5"/>
      <c r="Q302" s="5"/>
      <c r="R302" s="5"/>
      <c r="S302" s="5"/>
      <c r="T302" s="5"/>
      <c r="U302" s="5"/>
      <c r="V302" s="5"/>
      <c r="W302" s="23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23"/>
      <c r="M303" s="24"/>
      <c r="N303" s="5"/>
      <c r="O303" s="5"/>
      <c r="P303" s="5"/>
      <c r="Q303" s="5"/>
      <c r="R303" s="5"/>
      <c r="S303" s="5"/>
      <c r="T303" s="5"/>
      <c r="U303" s="5"/>
      <c r="V303" s="5"/>
      <c r="W303" s="23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23"/>
      <c r="M304" s="24"/>
      <c r="N304" s="5"/>
      <c r="O304" s="5"/>
      <c r="P304" s="5"/>
      <c r="Q304" s="5"/>
      <c r="R304" s="5"/>
      <c r="S304" s="5"/>
      <c r="T304" s="5"/>
      <c r="U304" s="5"/>
      <c r="V304" s="5"/>
      <c r="W304" s="23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23"/>
      <c r="M305" s="24"/>
      <c r="N305" s="5"/>
      <c r="O305" s="5"/>
      <c r="P305" s="5"/>
      <c r="Q305" s="5"/>
      <c r="R305" s="5"/>
      <c r="S305" s="5"/>
      <c r="T305" s="5"/>
      <c r="U305" s="5"/>
      <c r="V305" s="5"/>
      <c r="W305" s="23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23"/>
      <c r="M306" s="24"/>
      <c r="N306" s="5"/>
      <c r="O306" s="5"/>
      <c r="P306" s="5"/>
      <c r="Q306" s="5"/>
      <c r="R306" s="5"/>
      <c r="S306" s="5"/>
      <c r="T306" s="5"/>
      <c r="U306" s="5"/>
      <c r="V306" s="5"/>
      <c r="W306" s="23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23"/>
      <c r="M307" s="24"/>
      <c r="N307" s="5"/>
      <c r="O307" s="5"/>
      <c r="P307" s="5"/>
      <c r="Q307" s="5"/>
      <c r="R307" s="5"/>
      <c r="S307" s="5"/>
      <c r="T307" s="5"/>
      <c r="U307" s="5"/>
      <c r="V307" s="5"/>
      <c r="W307" s="23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23"/>
      <c r="M308" s="24"/>
      <c r="N308" s="5"/>
      <c r="O308" s="5"/>
      <c r="P308" s="5"/>
      <c r="Q308" s="5"/>
      <c r="R308" s="5"/>
      <c r="S308" s="5"/>
      <c r="T308" s="5"/>
      <c r="U308" s="5"/>
      <c r="V308" s="5"/>
      <c r="W308" s="23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23"/>
      <c r="M309" s="24"/>
      <c r="N309" s="5"/>
      <c r="O309" s="5"/>
      <c r="P309" s="5"/>
      <c r="Q309" s="5"/>
      <c r="R309" s="5"/>
      <c r="S309" s="5"/>
      <c r="T309" s="5"/>
      <c r="U309" s="5"/>
      <c r="V309" s="5"/>
      <c r="W309" s="23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23"/>
      <c r="M310" s="24"/>
      <c r="N310" s="5"/>
      <c r="O310" s="5"/>
      <c r="P310" s="5"/>
      <c r="Q310" s="5"/>
      <c r="R310" s="5"/>
      <c r="S310" s="5"/>
      <c r="T310" s="5"/>
      <c r="U310" s="5"/>
      <c r="V310" s="5"/>
      <c r="W310" s="23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23"/>
      <c r="M311" s="24"/>
      <c r="N311" s="5"/>
      <c r="O311" s="5"/>
      <c r="P311" s="5"/>
      <c r="Q311" s="5"/>
      <c r="R311" s="5"/>
      <c r="S311" s="5"/>
      <c r="T311" s="5"/>
      <c r="U311" s="5"/>
      <c r="V311" s="5"/>
      <c r="W311" s="23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23"/>
      <c r="M312" s="24"/>
      <c r="N312" s="5"/>
      <c r="O312" s="5"/>
      <c r="P312" s="5"/>
      <c r="Q312" s="5"/>
      <c r="R312" s="5"/>
      <c r="S312" s="5"/>
      <c r="T312" s="5"/>
      <c r="U312" s="5"/>
      <c r="V312" s="5"/>
      <c r="W312" s="23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23"/>
      <c r="M313" s="24"/>
      <c r="N313" s="5"/>
      <c r="O313" s="5"/>
      <c r="P313" s="5"/>
      <c r="Q313" s="5"/>
      <c r="R313" s="5"/>
      <c r="S313" s="5"/>
      <c r="T313" s="5"/>
      <c r="U313" s="5"/>
      <c r="V313" s="5"/>
      <c r="W313" s="23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23"/>
      <c r="M314" s="24"/>
      <c r="N314" s="5"/>
      <c r="O314" s="5"/>
      <c r="P314" s="5"/>
      <c r="Q314" s="5"/>
      <c r="R314" s="5"/>
      <c r="S314" s="5"/>
      <c r="T314" s="5"/>
      <c r="U314" s="5"/>
      <c r="V314" s="5"/>
      <c r="W314" s="23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23"/>
      <c r="M315" s="24"/>
      <c r="N315" s="5"/>
      <c r="O315" s="5"/>
      <c r="P315" s="5"/>
      <c r="Q315" s="5"/>
      <c r="R315" s="5"/>
      <c r="S315" s="5"/>
      <c r="T315" s="5"/>
      <c r="U315" s="5"/>
      <c r="V315" s="5"/>
      <c r="W315" s="23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23"/>
      <c r="M316" s="24"/>
      <c r="N316" s="5"/>
      <c r="O316" s="5"/>
      <c r="P316" s="5"/>
      <c r="Q316" s="5"/>
      <c r="R316" s="5"/>
      <c r="S316" s="5"/>
      <c r="T316" s="5"/>
      <c r="U316" s="5"/>
      <c r="V316" s="5"/>
      <c r="W316" s="23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23"/>
      <c r="M317" s="24"/>
      <c r="N317" s="5"/>
      <c r="O317" s="5"/>
      <c r="P317" s="5"/>
      <c r="Q317" s="5"/>
      <c r="R317" s="5"/>
      <c r="S317" s="5"/>
      <c r="T317" s="5"/>
      <c r="U317" s="5"/>
      <c r="V317" s="5"/>
      <c r="W317" s="23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23"/>
      <c r="M318" s="24"/>
      <c r="N318" s="5"/>
      <c r="O318" s="5"/>
      <c r="P318" s="5"/>
      <c r="Q318" s="5"/>
      <c r="R318" s="5"/>
      <c r="S318" s="5"/>
      <c r="T318" s="5"/>
      <c r="U318" s="5"/>
      <c r="V318" s="5"/>
      <c r="W318" s="23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23"/>
      <c r="M319" s="24"/>
      <c r="N319" s="5"/>
      <c r="O319" s="5"/>
      <c r="P319" s="5"/>
      <c r="Q319" s="5"/>
      <c r="R319" s="5"/>
      <c r="S319" s="5"/>
      <c r="T319" s="5"/>
      <c r="U319" s="5"/>
      <c r="V319" s="5"/>
      <c r="W319" s="23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23"/>
      <c r="M320" s="24"/>
      <c r="N320" s="5"/>
      <c r="O320" s="5"/>
      <c r="P320" s="5"/>
      <c r="Q320" s="5"/>
      <c r="R320" s="5"/>
      <c r="S320" s="5"/>
      <c r="T320" s="5"/>
      <c r="U320" s="5"/>
      <c r="V320" s="5"/>
      <c r="W320" s="23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23"/>
      <c r="M321" s="24"/>
      <c r="N321" s="5"/>
      <c r="O321" s="5"/>
      <c r="P321" s="5"/>
      <c r="Q321" s="5"/>
      <c r="R321" s="5"/>
      <c r="S321" s="5"/>
      <c r="T321" s="5"/>
      <c r="U321" s="5"/>
      <c r="V321" s="5"/>
      <c r="W321" s="23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23"/>
      <c r="M322" s="24"/>
      <c r="N322" s="5"/>
      <c r="O322" s="5"/>
      <c r="P322" s="5"/>
      <c r="Q322" s="5"/>
      <c r="R322" s="5"/>
      <c r="S322" s="5"/>
      <c r="T322" s="5"/>
      <c r="U322" s="5"/>
      <c r="V322" s="5"/>
      <c r="W322" s="23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23"/>
      <c r="M323" s="24"/>
      <c r="N323" s="5"/>
      <c r="O323" s="5"/>
      <c r="P323" s="5"/>
      <c r="Q323" s="5"/>
      <c r="R323" s="5"/>
      <c r="S323" s="5"/>
      <c r="T323" s="5"/>
      <c r="U323" s="5"/>
      <c r="V323" s="5"/>
      <c r="W323" s="23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23"/>
      <c r="M324" s="24"/>
      <c r="N324" s="5"/>
      <c r="O324" s="5"/>
      <c r="P324" s="5"/>
      <c r="Q324" s="5"/>
      <c r="R324" s="5"/>
      <c r="S324" s="5"/>
      <c r="T324" s="5"/>
      <c r="U324" s="5"/>
      <c r="V324" s="5"/>
      <c r="W324" s="23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23"/>
      <c r="M325" s="24"/>
      <c r="N325" s="5"/>
      <c r="O325" s="5"/>
      <c r="P325" s="5"/>
      <c r="Q325" s="5"/>
      <c r="R325" s="5"/>
      <c r="S325" s="5"/>
      <c r="T325" s="5"/>
      <c r="U325" s="5"/>
      <c r="V325" s="5"/>
      <c r="W325" s="23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23"/>
      <c r="M326" s="24"/>
      <c r="N326" s="5"/>
      <c r="O326" s="5"/>
      <c r="P326" s="5"/>
      <c r="Q326" s="5"/>
      <c r="R326" s="5"/>
      <c r="S326" s="5"/>
      <c r="T326" s="5"/>
      <c r="U326" s="5"/>
      <c r="V326" s="5"/>
      <c r="W326" s="23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23"/>
      <c r="M327" s="24"/>
      <c r="N327" s="5"/>
      <c r="O327" s="5"/>
      <c r="P327" s="5"/>
      <c r="Q327" s="5"/>
      <c r="R327" s="5"/>
      <c r="S327" s="5"/>
      <c r="T327" s="5"/>
      <c r="U327" s="5"/>
      <c r="V327" s="5"/>
      <c r="W327" s="23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23"/>
      <c r="M328" s="24"/>
      <c r="N328" s="5"/>
      <c r="O328" s="5"/>
      <c r="P328" s="5"/>
      <c r="Q328" s="5"/>
      <c r="R328" s="5"/>
      <c r="S328" s="5"/>
      <c r="T328" s="5"/>
      <c r="U328" s="5"/>
      <c r="V328" s="5"/>
      <c r="W328" s="23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23"/>
      <c r="M329" s="24"/>
      <c r="N329" s="5"/>
      <c r="O329" s="5"/>
      <c r="P329" s="5"/>
      <c r="Q329" s="5"/>
      <c r="R329" s="5"/>
      <c r="S329" s="5"/>
      <c r="T329" s="5"/>
      <c r="U329" s="5"/>
      <c r="V329" s="5"/>
      <c r="W329" s="23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23"/>
      <c r="M330" s="24"/>
      <c r="N330" s="5"/>
      <c r="O330" s="5"/>
      <c r="P330" s="5"/>
      <c r="Q330" s="5"/>
      <c r="R330" s="5"/>
      <c r="S330" s="5"/>
      <c r="T330" s="5"/>
      <c r="U330" s="5"/>
      <c r="V330" s="5"/>
      <c r="W330" s="23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23"/>
      <c r="M331" s="24"/>
      <c r="N331" s="5"/>
      <c r="O331" s="5"/>
      <c r="P331" s="5"/>
      <c r="Q331" s="5"/>
      <c r="R331" s="5"/>
      <c r="S331" s="5"/>
      <c r="T331" s="5"/>
      <c r="U331" s="5"/>
      <c r="V331" s="5"/>
      <c r="W331" s="23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23"/>
      <c r="M332" s="24"/>
      <c r="N332" s="5"/>
      <c r="O332" s="5"/>
      <c r="P332" s="5"/>
      <c r="Q332" s="5"/>
      <c r="R332" s="5"/>
      <c r="S332" s="5"/>
      <c r="T332" s="5"/>
      <c r="U332" s="5"/>
      <c r="V332" s="5"/>
      <c r="W332" s="23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23"/>
      <c r="M333" s="24"/>
      <c r="N333" s="5"/>
      <c r="O333" s="5"/>
      <c r="P333" s="5"/>
      <c r="Q333" s="5"/>
      <c r="R333" s="5"/>
      <c r="S333" s="5"/>
      <c r="T333" s="5"/>
      <c r="U333" s="5"/>
      <c r="V333" s="5"/>
      <c r="W333" s="23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23"/>
      <c r="M334" s="24"/>
      <c r="N334" s="5"/>
      <c r="O334" s="5"/>
      <c r="P334" s="5"/>
      <c r="Q334" s="5"/>
      <c r="R334" s="5"/>
      <c r="S334" s="5"/>
      <c r="T334" s="5"/>
      <c r="U334" s="5"/>
      <c r="V334" s="5"/>
      <c r="W334" s="23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23"/>
      <c r="M335" s="24"/>
      <c r="N335" s="5"/>
      <c r="O335" s="5"/>
      <c r="P335" s="5"/>
      <c r="Q335" s="5"/>
      <c r="R335" s="5"/>
      <c r="S335" s="5"/>
      <c r="T335" s="5"/>
      <c r="U335" s="5"/>
      <c r="V335" s="5"/>
      <c r="W335" s="23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23"/>
      <c r="M336" s="24"/>
      <c r="N336" s="5"/>
      <c r="O336" s="5"/>
      <c r="P336" s="5"/>
      <c r="Q336" s="5"/>
      <c r="R336" s="5"/>
      <c r="S336" s="5"/>
      <c r="T336" s="5"/>
      <c r="U336" s="5"/>
      <c r="V336" s="5"/>
      <c r="W336" s="23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23"/>
      <c r="M337" s="24"/>
      <c r="N337" s="5"/>
      <c r="O337" s="5"/>
      <c r="P337" s="5"/>
      <c r="Q337" s="5"/>
      <c r="R337" s="5"/>
      <c r="S337" s="5"/>
      <c r="T337" s="5"/>
      <c r="U337" s="5"/>
      <c r="V337" s="5"/>
      <c r="W337" s="23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23"/>
      <c r="M338" s="24"/>
      <c r="N338" s="5"/>
      <c r="O338" s="5"/>
      <c r="P338" s="5"/>
      <c r="Q338" s="5"/>
      <c r="R338" s="5"/>
      <c r="S338" s="5"/>
      <c r="T338" s="5"/>
      <c r="U338" s="5"/>
      <c r="V338" s="5"/>
      <c r="W338" s="23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23"/>
      <c r="M339" s="24"/>
      <c r="N339" s="5"/>
      <c r="O339" s="5"/>
      <c r="P339" s="5"/>
      <c r="Q339" s="5"/>
      <c r="R339" s="5"/>
      <c r="S339" s="5"/>
      <c r="T339" s="5"/>
      <c r="U339" s="5"/>
      <c r="V339" s="5"/>
      <c r="W339" s="23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23"/>
      <c r="M340" s="24"/>
      <c r="N340" s="5"/>
      <c r="O340" s="5"/>
      <c r="P340" s="5"/>
      <c r="Q340" s="5"/>
      <c r="R340" s="5"/>
      <c r="S340" s="5"/>
      <c r="T340" s="5"/>
      <c r="U340" s="5"/>
      <c r="V340" s="5"/>
      <c r="W340" s="23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23"/>
      <c r="M341" s="24"/>
      <c r="N341" s="5"/>
      <c r="O341" s="5"/>
      <c r="P341" s="5"/>
      <c r="Q341" s="5"/>
      <c r="R341" s="5"/>
      <c r="S341" s="5"/>
      <c r="T341" s="5"/>
      <c r="U341" s="5"/>
      <c r="V341" s="5"/>
      <c r="W341" s="23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23"/>
      <c r="M342" s="24"/>
      <c r="N342" s="5"/>
      <c r="O342" s="5"/>
      <c r="P342" s="5"/>
      <c r="Q342" s="5"/>
      <c r="R342" s="5"/>
      <c r="S342" s="5"/>
      <c r="T342" s="5"/>
      <c r="U342" s="5"/>
      <c r="V342" s="5"/>
      <c r="W342" s="23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23"/>
      <c r="M343" s="24"/>
      <c r="N343" s="5"/>
      <c r="O343" s="5"/>
      <c r="P343" s="5"/>
      <c r="Q343" s="5"/>
      <c r="R343" s="5"/>
      <c r="S343" s="5"/>
      <c r="T343" s="5"/>
      <c r="U343" s="5"/>
      <c r="V343" s="5"/>
      <c r="W343" s="23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23"/>
      <c r="M344" s="24"/>
      <c r="N344" s="5"/>
      <c r="O344" s="5"/>
      <c r="P344" s="5"/>
      <c r="Q344" s="5"/>
      <c r="R344" s="5"/>
      <c r="S344" s="5"/>
      <c r="T344" s="5"/>
      <c r="U344" s="5"/>
      <c r="V344" s="5"/>
      <c r="W344" s="23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23"/>
      <c r="M345" s="24"/>
      <c r="N345" s="5"/>
      <c r="O345" s="5"/>
      <c r="P345" s="5"/>
      <c r="Q345" s="5"/>
      <c r="R345" s="5"/>
      <c r="S345" s="5"/>
      <c r="T345" s="5"/>
      <c r="U345" s="5"/>
      <c r="V345" s="5"/>
      <c r="W345" s="23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23"/>
      <c r="M346" s="24"/>
      <c r="N346" s="5"/>
      <c r="O346" s="5"/>
      <c r="P346" s="5"/>
      <c r="Q346" s="5"/>
      <c r="R346" s="5"/>
      <c r="S346" s="5"/>
      <c r="T346" s="5"/>
      <c r="U346" s="5"/>
      <c r="V346" s="5"/>
      <c r="W346" s="23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23"/>
      <c r="M347" s="24"/>
      <c r="N347" s="5"/>
      <c r="O347" s="5"/>
      <c r="P347" s="5"/>
      <c r="Q347" s="5"/>
      <c r="R347" s="5"/>
      <c r="S347" s="5"/>
      <c r="T347" s="5"/>
      <c r="U347" s="5"/>
      <c r="V347" s="5"/>
      <c r="W347" s="23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23"/>
      <c r="M348" s="24"/>
      <c r="N348" s="5"/>
      <c r="O348" s="5"/>
      <c r="P348" s="5"/>
      <c r="Q348" s="5"/>
      <c r="R348" s="5"/>
      <c r="S348" s="5"/>
      <c r="T348" s="5"/>
      <c r="U348" s="5"/>
      <c r="V348" s="5"/>
      <c r="W348" s="23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23"/>
      <c r="M349" s="24"/>
      <c r="N349" s="5"/>
      <c r="O349" s="5"/>
      <c r="P349" s="5"/>
      <c r="Q349" s="5"/>
      <c r="R349" s="5"/>
      <c r="S349" s="5"/>
      <c r="T349" s="5"/>
      <c r="U349" s="5"/>
      <c r="V349" s="5"/>
      <c r="W349" s="23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23"/>
      <c r="M350" s="24"/>
      <c r="N350" s="5"/>
      <c r="O350" s="5"/>
      <c r="P350" s="5"/>
      <c r="Q350" s="5"/>
      <c r="R350" s="5"/>
      <c r="S350" s="5"/>
      <c r="T350" s="5"/>
      <c r="U350" s="5"/>
      <c r="V350" s="5"/>
      <c r="W350" s="23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23"/>
      <c r="M351" s="24"/>
      <c r="N351" s="5"/>
      <c r="O351" s="5"/>
      <c r="P351" s="5"/>
      <c r="Q351" s="5"/>
      <c r="R351" s="5"/>
      <c r="S351" s="5"/>
      <c r="T351" s="5"/>
      <c r="U351" s="5"/>
      <c r="V351" s="5"/>
      <c r="W351" s="23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23"/>
      <c r="M352" s="24"/>
      <c r="N352" s="5"/>
      <c r="O352" s="5"/>
      <c r="P352" s="5"/>
      <c r="Q352" s="5"/>
      <c r="R352" s="5"/>
      <c r="S352" s="5"/>
      <c r="T352" s="5"/>
      <c r="U352" s="5"/>
      <c r="V352" s="5"/>
      <c r="W352" s="23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23"/>
      <c r="M353" s="24"/>
      <c r="N353" s="5"/>
      <c r="O353" s="5"/>
      <c r="P353" s="5"/>
      <c r="Q353" s="5"/>
      <c r="R353" s="5"/>
      <c r="S353" s="5"/>
      <c r="T353" s="5"/>
      <c r="U353" s="5"/>
      <c r="V353" s="5"/>
      <c r="W353" s="23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23"/>
      <c r="M354" s="24"/>
      <c r="N354" s="5"/>
      <c r="O354" s="5"/>
      <c r="P354" s="5"/>
      <c r="Q354" s="5"/>
      <c r="R354" s="5"/>
      <c r="S354" s="5"/>
      <c r="T354" s="5"/>
      <c r="U354" s="5"/>
      <c r="V354" s="5"/>
      <c r="W354" s="23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23"/>
      <c r="M355" s="24"/>
      <c r="N355" s="5"/>
      <c r="O355" s="5"/>
      <c r="P355" s="5"/>
      <c r="Q355" s="5"/>
      <c r="R355" s="5"/>
      <c r="S355" s="5"/>
      <c r="T355" s="5"/>
      <c r="U355" s="5"/>
      <c r="V355" s="5"/>
      <c r="W355" s="23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23"/>
      <c r="M356" s="24"/>
      <c r="N356" s="5"/>
      <c r="O356" s="5"/>
      <c r="P356" s="5"/>
      <c r="Q356" s="5"/>
      <c r="R356" s="5"/>
      <c r="S356" s="5"/>
      <c r="T356" s="5"/>
      <c r="U356" s="5"/>
      <c r="V356" s="5"/>
      <c r="W356" s="23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23"/>
      <c r="M357" s="24"/>
      <c r="N357" s="5"/>
      <c r="O357" s="5"/>
      <c r="P357" s="5"/>
      <c r="Q357" s="5"/>
      <c r="R357" s="5"/>
      <c r="S357" s="5"/>
      <c r="T357" s="5"/>
      <c r="U357" s="5"/>
      <c r="V357" s="5"/>
      <c r="W357" s="23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23"/>
      <c r="M358" s="24"/>
      <c r="N358" s="5"/>
      <c r="O358" s="5"/>
      <c r="P358" s="5"/>
      <c r="Q358" s="5"/>
      <c r="R358" s="5"/>
      <c r="S358" s="5"/>
      <c r="T358" s="5"/>
      <c r="U358" s="5"/>
      <c r="V358" s="5"/>
      <c r="W358" s="23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23"/>
      <c r="M359" s="24"/>
      <c r="N359" s="5"/>
      <c r="O359" s="5"/>
      <c r="P359" s="5"/>
      <c r="Q359" s="5"/>
      <c r="R359" s="5"/>
      <c r="S359" s="5"/>
      <c r="T359" s="5"/>
      <c r="U359" s="5"/>
      <c r="V359" s="5"/>
      <c r="W359" s="23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23"/>
      <c r="M360" s="24"/>
      <c r="N360" s="5"/>
      <c r="O360" s="5"/>
      <c r="P360" s="5"/>
      <c r="Q360" s="5"/>
      <c r="R360" s="5"/>
      <c r="S360" s="5"/>
      <c r="T360" s="5"/>
      <c r="U360" s="5"/>
      <c r="V360" s="5"/>
      <c r="W360" s="23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23"/>
      <c r="M361" s="24"/>
      <c r="N361" s="5"/>
      <c r="O361" s="5"/>
      <c r="P361" s="5"/>
      <c r="Q361" s="5"/>
      <c r="R361" s="5"/>
      <c r="S361" s="5"/>
      <c r="T361" s="5"/>
      <c r="U361" s="5"/>
      <c r="V361" s="5"/>
      <c r="W361" s="23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23"/>
      <c r="M362" s="24"/>
      <c r="N362" s="5"/>
      <c r="O362" s="5"/>
      <c r="P362" s="5"/>
      <c r="Q362" s="5"/>
      <c r="R362" s="5"/>
      <c r="S362" s="5"/>
      <c r="T362" s="5"/>
      <c r="U362" s="5"/>
      <c r="V362" s="5"/>
      <c r="W362" s="23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23"/>
      <c r="M363" s="24"/>
      <c r="N363" s="5"/>
      <c r="O363" s="5"/>
      <c r="P363" s="5"/>
      <c r="Q363" s="5"/>
      <c r="R363" s="5"/>
      <c r="S363" s="5"/>
      <c r="T363" s="5"/>
      <c r="U363" s="5"/>
      <c r="V363" s="5"/>
      <c r="W363" s="23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23"/>
      <c r="M364" s="24"/>
      <c r="N364" s="5"/>
      <c r="O364" s="5"/>
      <c r="P364" s="5"/>
      <c r="Q364" s="5"/>
      <c r="R364" s="5"/>
      <c r="S364" s="5"/>
      <c r="T364" s="5"/>
      <c r="U364" s="5"/>
      <c r="V364" s="5"/>
      <c r="W364" s="23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23"/>
      <c r="M365" s="24"/>
      <c r="N365" s="5"/>
      <c r="O365" s="5"/>
      <c r="P365" s="5"/>
      <c r="Q365" s="5"/>
      <c r="R365" s="5"/>
      <c r="S365" s="5"/>
      <c r="T365" s="5"/>
      <c r="U365" s="5"/>
      <c r="V365" s="5"/>
      <c r="W365" s="23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23"/>
      <c r="M366" s="24"/>
      <c r="N366" s="5"/>
      <c r="O366" s="5"/>
      <c r="P366" s="5"/>
      <c r="Q366" s="5"/>
      <c r="R366" s="5"/>
      <c r="S366" s="5"/>
      <c r="T366" s="5"/>
      <c r="U366" s="5"/>
      <c r="V366" s="5"/>
      <c r="W366" s="23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23"/>
      <c r="M367" s="24"/>
      <c r="N367" s="5"/>
      <c r="O367" s="5"/>
      <c r="P367" s="5"/>
      <c r="Q367" s="5"/>
      <c r="R367" s="5"/>
      <c r="S367" s="5"/>
      <c r="T367" s="5"/>
      <c r="U367" s="5"/>
      <c r="V367" s="5"/>
      <c r="W367" s="23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23"/>
      <c r="M368" s="24"/>
      <c r="N368" s="5"/>
      <c r="O368" s="5"/>
      <c r="P368" s="5"/>
      <c r="Q368" s="5"/>
      <c r="R368" s="5"/>
      <c r="S368" s="5"/>
      <c r="T368" s="5"/>
      <c r="U368" s="5"/>
      <c r="V368" s="5"/>
      <c r="W368" s="23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23"/>
      <c r="M369" s="24"/>
      <c r="N369" s="5"/>
      <c r="O369" s="5"/>
      <c r="P369" s="5"/>
      <c r="Q369" s="5"/>
      <c r="R369" s="5"/>
      <c r="S369" s="5"/>
      <c r="T369" s="5"/>
      <c r="U369" s="5"/>
      <c r="V369" s="5"/>
      <c r="W369" s="23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23"/>
      <c r="M370" s="24"/>
      <c r="N370" s="5"/>
      <c r="O370" s="5"/>
      <c r="P370" s="5"/>
      <c r="Q370" s="5"/>
      <c r="R370" s="5"/>
      <c r="S370" s="5"/>
      <c r="T370" s="5"/>
      <c r="U370" s="5"/>
      <c r="V370" s="5"/>
      <c r="W370" s="23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23"/>
      <c r="M371" s="24"/>
      <c r="N371" s="5"/>
      <c r="O371" s="5"/>
      <c r="P371" s="5"/>
      <c r="Q371" s="5"/>
      <c r="R371" s="5"/>
      <c r="S371" s="5"/>
      <c r="T371" s="5"/>
      <c r="U371" s="5"/>
      <c r="V371" s="5"/>
      <c r="W371" s="23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23"/>
      <c r="M372" s="24"/>
      <c r="N372" s="5"/>
      <c r="O372" s="5"/>
      <c r="P372" s="5"/>
      <c r="Q372" s="5"/>
      <c r="R372" s="5"/>
      <c r="S372" s="5"/>
      <c r="T372" s="5"/>
      <c r="U372" s="5"/>
      <c r="V372" s="5"/>
      <c r="W372" s="23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23"/>
      <c r="M373" s="24"/>
      <c r="N373" s="5"/>
      <c r="O373" s="5"/>
      <c r="P373" s="5"/>
      <c r="Q373" s="5"/>
      <c r="R373" s="5"/>
      <c r="S373" s="5"/>
      <c r="T373" s="5"/>
      <c r="U373" s="5"/>
      <c r="V373" s="5"/>
      <c r="W373" s="23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23"/>
      <c r="M374" s="24"/>
      <c r="N374" s="5"/>
      <c r="O374" s="5"/>
      <c r="P374" s="5"/>
      <c r="Q374" s="5"/>
      <c r="R374" s="5"/>
      <c r="S374" s="5"/>
      <c r="T374" s="5"/>
      <c r="U374" s="5"/>
      <c r="V374" s="5"/>
      <c r="W374" s="23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23"/>
      <c r="M375" s="24"/>
      <c r="N375" s="5"/>
      <c r="O375" s="5"/>
      <c r="P375" s="5"/>
      <c r="Q375" s="5"/>
      <c r="R375" s="5"/>
      <c r="S375" s="5"/>
      <c r="T375" s="5"/>
      <c r="U375" s="5"/>
      <c r="V375" s="5"/>
      <c r="W375" s="23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23"/>
      <c r="M376" s="24"/>
      <c r="N376" s="5"/>
      <c r="O376" s="5"/>
      <c r="P376" s="5"/>
      <c r="Q376" s="5"/>
      <c r="R376" s="5"/>
      <c r="S376" s="5"/>
      <c r="T376" s="5"/>
      <c r="U376" s="5"/>
      <c r="V376" s="5"/>
      <c r="W376" s="23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23"/>
      <c r="M377" s="24"/>
      <c r="N377" s="5"/>
      <c r="O377" s="5"/>
      <c r="P377" s="5"/>
      <c r="Q377" s="5"/>
      <c r="R377" s="5"/>
      <c r="S377" s="5"/>
      <c r="T377" s="5"/>
      <c r="U377" s="5"/>
      <c r="V377" s="5"/>
      <c r="W377" s="23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23"/>
      <c r="M378" s="24"/>
      <c r="N378" s="5"/>
      <c r="O378" s="5"/>
      <c r="P378" s="5"/>
      <c r="Q378" s="5"/>
      <c r="R378" s="5"/>
      <c r="S378" s="5"/>
      <c r="T378" s="5"/>
      <c r="U378" s="5"/>
      <c r="V378" s="5"/>
      <c r="W378" s="23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23"/>
      <c r="M379" s="24"/>
      <c r="N379" s="5"/>
      <c r="O379" s="5"/>
      <c r="P379" s="5"/>
      <c r="Q379" s="5"/>
      <c r="R379" s="5"/>
      <c r="S379" s="5"/>
      <c r="T379" s="5"/>
      <c r="U379" s="5"/>
      <c r="V379" s="5"/>
      <c r="W379" s="23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23"/>
      <c r="M380" s="24"/>
      <c r="N380" s="5"/>
      <c r="O380" s="5"/>
      <c r="P380" s="5"/>
      <c r="Q380" s="5"/>
      <c r="R380" s="5"/>
      <c r="S380" s="5"/>
      <c r="T380" s="5"/>
      <c r="U380" s="5"/>
      <c r="V380" s="5"/>
      <c r="W380" s="23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23"/>
      <c r="M381" s="24"/>
      <c r="N381" s="5"/>
      <c r="O381" s="5"/>
      <c r="P381" s="5"/>
      <c r="Q381" s="5"/>
      <c r="R381" s="5"/>
      <c r="S381" s="5"/>
      <c r="T381" s="5"/>
      <c r="U381" s="5"/>
      <c r="V381" s="5"/>
      <c r="W381" s="23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23"/>
      <c r="M382" s="24"/>
      <c r="N382" s="5"/>
      <c r="O382" s="5"/>
      <c r="P382" s="5"/>
      <c r="Q382" s="5"/>
      <c r="R382" s="5"/>
      <c r="S382" s="5"/>
      <c r="T382" s="5"/>
      <c r="U382" s="5"/>
      <c r="V382" s="5"/>
      <c r="W382" s="23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23"/>
      <c r="M383" s="24"/>
      <c r="N383" s="5"/>
      <c r="O383" s="5"/>
      <c r="P383" s="5"/>
      <c r="Q383" s="5"/>
      <c r="R383" s="5"/>
      <c r="S383" s="5"/>
      <c r="T383" s="5"/>
      <c r="U383" s="5"/>
      <c r="V383" s="5"/>
      <c r="W383" s="23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23"/>
      <c r="M384" s="24"/>
      <c r="N384" s="5"/>
      <c r="O384" s="5"/>
      <c r="P384" s="5"/>
      <c r="Q384" s="5"/>
      <c r="R384" s="5"/>
      <c r="S384" s="5"/>
      <c r="T384" s="5"/>
      <c r="U384" s="5"/>
      <c r="V384" s="5"/>
      <c r="W384" s="23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23"/>
      <c r="M385" s="24"/>
      <c r="N385" s="5"/>
      <c r="O385" s="5"/>
      <c r="P385" s="5"/>
      <c r="Q385" s="5"/>
      <c r="R385" s="5"/>
      <c r="S385" s="5"/>
      <c r="T385" s="5"/>
      <c r="U385" s="5"/>
      <c r="V385" s="5"/>
      <c r="W385" s="23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23"/>
      <c r="M386" s="24"/>
      <c r="N386" s="5"/>
      <c r="O386" s="5"/>
      <c r="P386" s="5"/>
      <c r="Q386" s="5"/>
      <c r="R386" s="5"/>
      <c r="S386" s="5"/>
      <c r="T386" s="5"/>
      <c r="U386" s="5"/>
      <c r="V386" s="5"/>
      <c r="W386" s="23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23"/>
      <c r="M387" s="24"/>
      <c r="N387" s="5"/>
      <c r="O387" s="5"/>
      <c r="P387" s="5"/>
      <c r="Q387" s="5"/>
      <c r="R387" s="5"/>
      <c r="S387" s="5"/>
      <c r="T387" s="5"/>
      <c r="U387" s="5"/>
      <c r="V387" s="5"/>
      <c r="W387" s="23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23"/>
      <c r="M388" s="24"/>
      <c r="N388" s="5"/>
      <c r="O388" s="5"/>
      <c r="P388" s="5"/>
      <c r="Q388" s="5"/>
      <c r="R388" s="5"/>
      <c r="S388" s="5"/>
      <c r="T388" s="5"/>
      <c r="U388" s="5"/>
      <c r="V388" s="5"/>
      <c r="W388" s="23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23"/>
      <c r="M389" s="24"/>
      <c r="N389" s="5"/>
      <c r="O389" s="5"/>
      <c r="P389" s="5"/>
      <c r="Q389" s="5"/>
      <c r="R389" s="5"/>
      <c r="S389" s="5"/>
      <c r="T389" s="5"/>
      <c r="U389" s="5"/>
      <c r="V389" s="5"/>
      <c r="W389" s="23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23"/>
      <c r="M390" s="24"/>
      <c r="N390" s="5"/>
      <c r="O390" s="5"/>
      <c r="P390" s="5"/>
      <c r="Q390" s="5"/>
      <c r="R390" s="5"/>
      <c r="S390" s="5"/>
      <c r="T390" s="5"/>
      <c r="U390" s="5"/>
      <c r="V390" s="5"/>
      <c r="W390" s="23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23"/>
      <c r="M391" s="24"/>
      <c r="N391" s="5"/>
      <c r="O391" s="5"/>
      <c r="P391" s="5"/>
      <c r="Q391" s="5"/>
      <c r="R391" s="5"/>
      <c r="S391" s="5"/>
      <c r="T391" s="5"/>
      <c r="U391" s="5"/>
      <c r="V391" s="5"/>
      <c r="W391" s="23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23"/>
      <c r="M392" s="24"/>
      <c r="N392" s="5"/>
      <c r="O392" s="5"/>
      <c r="P392" s="5"/>
      <c r="Q392" s="5"/>
      <c r="R392" s="5"/>
      <c r="S392" s="5"/>
      <c r="T392" s="5"/>
      <c r="U392" s="5"/>
      <c r="V392" s="5"/>
      <c r="W392" s="23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23"/>
      <c r="M393" s="24"/>
      <c r="N393" s="5"/>
      <c r="O393" s="5"/>
      <c r="P393" s="5"/>
      <c r="Q393" s="5"/>
      <c r="R393" s="5"/>
      <c r="S393" s="5"/>
      <c r="T393" s="5"/>
      <c r="U393" s="5"/>
      <c r="V393" s="5"/>
      <c r="W393" s="23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23"/>
      <c r="M394" s="24"/>
      <c r="N394" s="5"/>
      <c r="O394" s="5"/>
      <c r="P394" s="5"/>
      <c r="Q394" s="5"/>
      <c r="R394" s="5"/>
      <c r="S394" s="5"/>
      <c r="T394" s="5"/>
      <c r="U394" s="5"/>
      <c r="V394" s="5"/>
      <c r="W394" s="23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23"/>
      <c r="M395" s="24"/>
      <c r="N395" s="5"/>
      <c r="O395" s="5"/>
      <c r="P395" s="5"/>
      <c r="Q395" s="5"/>
      <c r="R395" s="5"/>
      <c r="S395" s="5"/>
      <c r="T395" s="5"/>
      <c r="U395" s="5"/>
      <c r="V395" s="5"/>
      <c r="W395" s="23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23"/>
      <c r="M396" s="24"/>
      <c r="N396" s="5"/>
      <c r="O396" s="5"/>
      <c r="P396" s="5"/>
      <c r="Q396" s="5"/>
      <c r="R396" s="5"/>
      <c r="S396" s="5"/>
      <c r="T396" s="5"/>
      <c r="U396" s="5"/>
      <c r="V396" s="5"/>
      <c r="W396" s="23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23"/>
      <c r="M397" s="24"/>
      <c r="N397" s="5"/>
      <c r="O397" s="5"/>
      <c r="P397" s="5"/>
      <c r="Q397" s="5"/>
      <c r="R397" s="5"/>
      <c r="S397" s="5"/>
      <c r="T397" s="5"/>
      <c r="U397" s="5"/>
      <c r="V397" s="5"/>
      <c r="W397" s="23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23"/>
      <c r="M398" s="24"/>
      <c r="N398" s="5"/>
      <c r="O398" s="5"/>
      <c r="P398" s="5"/>
      <c r="Q398" s="5"/>
      <c r="R398" s="5"/>
      <c r="S398" s="5"/>
      <c r="T398" s="5"/>
      <c r="U398" s="5"/>
      <c r="V398" s="5"/>
      <c r="W398" s="23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23"/>
      <c r="M399" s="24"/>
      <c r="N399" s="5"/>
      <c r="O399" s="5"/>
      <c r="P399" s="5"/>
      <c r="Q399" s="5"/>
      <c r="R399" s="5"/>
      <c r="S399" s="5"/>
      <c r="T399" s="5"/>
      <c r="U399" s="5"/>
      <c r="V399" s="5"/>
      <c r="W399" s="23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23"/>
      <c r="M400" s="24"/>
      <c r="N400" s="5"/>
      <c r="O400" s="5"/>
      <c r="P400" s="5"/>
      <c r="Q400" s="5"/>
      <c r="R400" s="5"/>
      <c r="S400" s="5"/>
      <c r="T400" s="5"/>
      <c r="U400" s="5"/>
      <c r="V400" s="5"/>
      <c r="W400" s="23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23"/>
      <c r="M401" s="24"/>
      <c r="N401" s="5"/>
      <c r="O401" s="5"/>
      <c r="P401" s="5"/>
      <c r="Q401" s="5"/>
      <c r="R401" s="5"/>
      <c r="S401" s="5"/>
      <c r="T401" s="5"/>
      <c r="U401" s="5"/>
      <c r="V401" s="5"/>
      <c r="W401" s="23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23"/>
      <c r="M402" s="24"/>
      <c r="N402" s="5"/>
      <c r="O402" s="5"/>
      <c r="P402" s="5"/>
      <c r="Q402" s="5"/>
      <c r="R402" s="5"/>
      <c r="S402" s="5"/>
      <c r="T402" s="5"/>
      <c r="U402" s="5"/>
      <c r="V402" s="5"/>
      <c r="W402" s="23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23"/>
      <c r="M403" s="24"/>
      <c r="N403" s="5"/>
      <c r="O403" s="5"/>
      <c r="P403" s="5"/>
      <c r="Q403" s="5"/>
      <c r="R403" s="5"/>
      <c r="S403" s="5"/>
      <c r="T403" s="5"/>
      <c r="U403" s="5"/>
      <c r="V403" s="5"/>
      <c r="W403" s="23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23"/>
      <c r="M404" s="24"/>
      <c r="N404" s="5"/>
      <c r="O404" s="5"/>
      <c r="P404" s="5"/>
      <c r="Q404" s="5"/>
      <c r="R404" s="5"/>
      <c r="S404" s="5"/>
      <c r="T404" s="5"/>
      <c r="U404" s="5"/>
      <c r="V404" s="5"/>
      <c r="W404" s="23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23"/>
      <c r="M405" s="24"/>
      <c r="N405" s="5"/>
      <c r="O405" s="5"/>
      <c r="P405" s="5"/>
      <c r="Q405" s="5"/>
      <c r="R405" s="5"/>
      <c r="S405" s="5"/>
      <c r="T405" s="5"/>
      <c r="U405" s="5"/>
      <c r="V405" s="5"/>
      <c r="W405" s="23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23"/>
      <c r="M406" s="24"/>
      <c r="N406" s="5"/>
      <c r="O406" s="5"/>
      <c r="P406" s="5"/>
      <c r="Q406" s="5"/>
      <c r="R406" s="5"/>
      <c r="S406" s="5"/>
      <c r="T406" s="5"/>
      <c r="U406" s="5"/>
      <c r="V406" s="5"/>
      <c r="W406" s="23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23"/>
      <c r="M407" s="24"/>
      <c r="N407" s="5"/>
      <c r="O407" s="5"/>
      <c r="P407" s="5"/>
      <c r="Q407" s="5"/>
      <c r="R407" s="5"/>
      <c r="S407" s="5"/>
      <c r="T407" s="5"/>
      <c r="U407" s="5"/>
      <c r="V407" s="5"/>
      <c r="W407" s="23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23"/>
      <c r="M408" s="24"/>
      <c r="N408" s="5"/>
      <c r="O408" s="5"/>
      <c r="P408" s="5"/>
      <c r="Q408" s="5"/>
      <c r="R408" s="5"/>
      <c r="S408" s="5"/>
      <c r="T408" s="5"/>
      <c r="U408" s="5"/>
      <c r="V408" s="5"/>
      <c r="W408" s="23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23"/>
      <c r="M409" s="24"/>
      <c r="N409" s="5"/>
      <c r="O409" s="5"/>
      <c r="P409" s="5"/>
      <c r="Q409" s="5"/>
      <c r="R409" s="5"/>
      <c r="S409" s="5"/>
      <c r="T409" s="5"/>
      <c r="U409" s="5"/>
      <c r="V409" s="5"/>
      <c r="W409" s="23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23"/>
      <c r="M410" s="24"/>
      <c r="N410" s="5"/>
      <c r="O410" s="5"/>
      <c r="P410" s="5"/>
      <c r="Q410" s="5"/>
      <c r="R410" s="5"/>
      <c r="S410" s="5"/>
      <c r="T410" s="5"/>
      <c r="U410" s="5"/>
      <c r="V410" s="5"/>
      <c r="W410" s="23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23"/>
      <c r="M411" s="24"/>
      <c r="N411" s="5"/>
      <c r="O411" s="5"/>
      <c r="P411" s="5"/>
      <c r="Q411" s="5"/>
      <c r="R411" s="5"/>
      <c r="S411" s="5"/>
      <c r="T411" s="5"/>
      <c r="U411" s="5"/>
      <c r="V411" s="5"/>
      <c r="W411" s="23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23"/>
      <c r="M412" s="24"/>
      <c r="N412" s="5"/>
      <c r="O412" s="5"/>
      <c r="P412" s="5"/>
      <c r="Q412" s="5"/>
      <c r="R412" s="5"/>
      <c r="S412" s="5"/>
      <c r="T412" s="5"/>
      <c r="U412" s="5"/>
      <c r="V412" s="5"/>
      <c r="W412" s="23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23"/>
      <c r="M413" s="24"/>
      <c r="N413" s="5"/>
      <c r="O413" s="5"/>
      <c r="P413" s="5"/>
      <c r="Q413" s="5"/>
      <c r="R413" s="5"/>
      <c r="S413" s="5"/>
      <c r="T413" s="5"/>
      <c r="U413" s="5"/>
      <c r="V413" s="5"/>
      <c r="W413" s="23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23"/>
      <c r="M414" s="24"/>
      <c r="N414" s="5"/>
      <c r="O414" s="5"/>
      <c r="P414" s="5"/>
      <c r="Q414" s="5"/>
      <c r="R414" s="5"/>
      <c r="S414" s="5"/>
      <c r="T414" s="5"/>
      <c r="U414" s="5"/>
      <c r="V414" s="5"/>
      <c r="W414" s="23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23"/>
      <c r="M415" s="24"/>
      <c r="N415" s="5"/>
      <c r="O415" s="5"/>
      <c r="P415" s="5"/>
      <c r="Q415" s="5"/>
      <c r="R415" s="5"/>
      <c r="S415" s="5"/>
      <c r="T415" s="5"/>
      <c r="U415" s="5"/>
      <c r="V415" s="5"/>
      <c r="W415" s="23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23"/>
      <c r="M416" s="24"/>
      <c r="N416" s="5"/>
      <c r="O416" s="5"/>
      <c r="P416" s="5"/>
      <c r="Q416" s="5"/>
      <c r="R416" s="5"/>
      <c r="S416" s="5"/>
      <c r="T416" s="5"/>
      <c r="U416" s="5"/>
      <c r="V416" s="5"/>
      <c r="W416" s="23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23"/>
      <c r="M417" s="24"/>
      <c r="N417" s="5"/>
      <c r="O417" s="5"/>
      <c r="P417" s="5"/>
      <c r="Q417" s="5"/>
      <c r="R417" s="5"/>
      <c r="S417" s="5"/>
      <c r="T417" s="5"/>
      <c r="U417" s="5"/>
      <c r="V417" s="5"/>
      <c r="W417" s="23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23"/>
      <c r="M418" s="24"/>
      <c r="N418" s="5"/>
      <c r="O418" s="5"/>
      <c r="P418" s="5"/>
      <c r="Q418" s="5"/>
      <c r="R418" s="5"/>
      <c r="S418" s="5"/>
      <c r="T418" s="5"/>
      <c r="U418" s="5"/>
      <c r="V418" s="5"/>
      <c r="W418" s="23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23"/>
      <c r="M419" s="24"/>
      <c r="N419" s="5"/>
      <c r="O419" s="5"/>
      <c r="P419" s="5"/>
      <c r="Q419" s="5"/>
      <c r="R419" s="5"/>
      <c r="S419" s="5"/>
      <c r="T419" s="5"/>
      <c r="U419" s="5"/>
      <c r="V419" s="5"/>
      <c r="W419" s="23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23"/>
      <c r="M420" s="24"/>
      <c r="N420" s="5"/>
      <c r="O420" s="5"/>
      <c r="P420" s="5"/>
      <c r="Q420" s="5"/>
      <c r="R420" s="5"/>
      <c r="S420" s="5"/>
      <c r="T420" s="5"/>
      <c r="U420" s="5"/>
      <c r="V420" s="5"/>
      <c r="W420" s="23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23"/>
      <c r="M421" s="24"/>
      <c r="N421" s="5"/>
      <c r="O421" s="5"/>
      <c r="P421" s="5"/>
      <c r="Q421" s="5"/>
      <c r="R421" s="5"/>
      <c r="S421" s="5"/>
      <c r="T421" s="5"/>
      <c r="U421" s="5"/>
      <c r="V421" s="5"/>
      <c r="W421" s="23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23"/>
      <c r="M422" s="24"/>
      <c r="N422" s="5"/>
      <c r="O422" s="5"/>
      <c r="P422" s="5"/>
      <c r="Q422" s="5"/>
      <c r="R422" s="5"/>
      <c r="S422" s="5"/>
      <c r="T422" s="5"/>
      <c r="U422" s="5"/>
      <c r="V422" s="5"/>
      <c r="W422" s="23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23"/>
      <c r="M423" s="24"/>
      <c r="N423" s="5"/>
      <c r="O423" s="5"/>
      <c r="P423" s="5"/>
      <c r="Q423" s="5"/>
      <c r="R423" s="5"/>
      <c r="S423" s="5"/>
      <c r="T423" s="5"/>
      <c r="U423" s="5"/>
      <c r="V423" s="5"/>
      <c r="W423" s="23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23"/>
      <c r="M424" s="24"/>
      <c r="N424" s="5"/>
      <c r="O424" s="5"/>
      <c r="P424" s="5"/>
      <c r="Q424" s="5"/>
      <c r="R424" s="5"/>
      <c r="S424" s="5"/>
      <c r="T424" s="5"/>
      <c r="U424" s="5"/>
      <c r="V424" s="5"/>
      <c r="W424" s="23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23"/>
      <c r="M425" s="24"/>
      <c r="N425" s="5"/>
      <c r="O425" s="5"/>
      <c r="P425" s="5"/>
      <c r="Q425" s="5"/>
      <c r="R425" s="5"/>
      <c r="S425" s="5"/>
      <c r="T425" s="5"/>
      <c r="U425" s="5"/>
      <c r="V425" s="5"/>
      <c r="W425" s="23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23"/>
      <c r="M426" s="24"/>
      <c r="N426" s="5"/>
      <c r="O426" s="5"/>
      <c r="P426" s="5"/>
      <c r="Q426" s="5"/>
      <c r="R426" s="5"/>
      <c r="S426" s="5"/>
      <c r="T426" s="5"/>
      <c r="U426" s="5"/>
      <c r="V426" s="5"/>
      <c r="W426" s="23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23"/>
      <c r="M427" s="24"/>
      <c r="N427" s="5"/>
      <c r="O427" s="5"/>
      <c r="P427" s="5"/>
      <c r="Q427" s="5"/>
      <c r="R427" s="5"/>
      <c r="S427" s="5"/>
      <c r="T427" s="5"/>
      <c r="U427" s="5"/>
      <c r="V427" s="5"/>
      <c r="W427" s="23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23"/>
      <c r="M428" s="24"/>
      <c r="N428" s="5"/>
      <c r="O428" s="5"/>
      <c r="P428" s="5"/>
      <c r="Q428" s="5"/>
      <c r="R428" s="5"/>
      <c r="S428" s="5"/>
      <c r="T428" s="5"/>
      <c r="U428" s="5"/>
      <c r="V428" s="5"/>
      <c r="W428" s="23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23"/>
      <c r="M429" s="24"/>
      <c r="N429" s="5"/>
      <c r="O429" s="5"/>
      <c r="P429" s="5"/>
      <c r="Q429" s="5"/>
      <c r="R429" s="5"/>
      <c r="S429" s="5"/>
      <c r="T429" s="5"/>
      <c r="U429" s="5"/>
      <c r="V429" s="5"/>
      <c r="W429" s="23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23"/>
      <c r="M430" s="24"/>
      <c r="N430" s="5"/>
      <c r="O430" s="5"/>
      <c r="P430" s="5"/>
      <c r="Q430" s="5"/>
      <c r="R430" s="5"/>
      <c r="S430" s="5"/>
      <c r="T430" s="5"/>
      <c r="U430" s="5"/>
      <c r="V430" s="5"/>
      <c r="W430" s="23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23"/>
      <c r="M431" s="24"/>
      <c r="N431" s="5"/>
      <c r="O431" s="5"/>
      <c r="P431" s="5"/>
      <c r="Q431" s="5"/>
      <c r="R431" s="5"/>
      <c r="S431" s="5"/>
      <c r="T431" s="5"/>
      <c r="U431" s="5"/>
      <c r="V431" s="5"/>
      <c r="W431" s="23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23"/>
      <c r="M432" s="24"/>
      <c r="N432" s="5"/>
      <c r="O432" s="5"/>
      <c r="P432" s="5"/>
      <c r="Q432" s="5"/>
      <c r="R432" s="5"/>
      <c r="S432" s="5"/>
      <c r="T432" s="5"/>
      <c r="U432" s="5"/>
      <c r="V432" s="5"/>
      <c r="W432" s="23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23"/>
      <c r="M433" s="24"/>
      <c r="N433" s="5"/>
      <c r="O433" s="5"/>
      <c r="P433" s="5"/>
      <c r="Q433" s="5"/>
      <c r="R433" s="5"/>
      <c r="S433" s="5"/>
      <c r="T433" s="5"/>
      <c r="U433" s="5"/>
      <c r="V433" s="5"/>
      <c r="W433" s="23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23"/>
      <c r="M434" s="24"/>
      <c r="N434" s="5"/>
      <c r="O434" s="5"/>
      <c r="P434" s="5"/>
      <c r="Q434" s="5"/>
      <c r="R434" s="5"/>
      <c r="S434" s="5"/>
      <c r="T434" s="5"/>
      <c r="U434" s="5"/>
      <c r="V434" s="5"/>
      <c r="W434" s="23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23"/>
      <c r="M435" s="24"/>
      <c r="N435" s="5"/>
      <c r="O435" s="5"/>
      <c r="P435" s="5"/>
      <c r="Q435" s="5"/>
      <c r="R435" s="5"/>
      <c r="S435" s="5"/>
      <c r="T435" s="5"/>
      <c r="U435" s="5"/>
      <c r="V435" s="5"/>
      <c r="W435" s="23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23"/>
      <c r="M436" s="24"/>
      <c r="N436" s="5"/>
      <c r="O436" s="5"/>
      <c r="P436" s="5"/>
      <c r="Q436" s="5"/>
      <c r="R436" s="5"/>
      <c r="S436" s="5"/>
      <c r="T436" s="5"/>
      <c r="U436" s="5"/>
      <c r="V436" s="5"/>
      <c r="W436" s="23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23"/>
      <c r="M437" s="24"/>
      <c r="N437" s="5"/>
      <c r="O437" s="5"/>
      <c r="P437" s="5"/>
      <c r="Q437" s="5"/>
      <c r="R437" s="5"/>
      <c r="S437" s="5"/>
      <c r="T437" s="5"/>
      <c r="U437" s="5"/>
      <c r="V437" s="5"/>
      <c r="W437" s="23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23"/>
      <c r="M438" s="24"/>
      <c r="N438" s="5"/>
      <c r="O438" s="5"/>
      <c r="P438" s="5"/>
      <c r="Q438" s="5"/>
      <c r="R438" s="5"/>
      <c r="S438" s="5"/>
      <c r="T438" s="5"/>
      <c r="U438" s="5"/>
      <c r="V438" s="5"/>
      <c r="W438" s="23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23"/>
      <c r="M439" s="24"/>
      <c r="N439" s="5"/>
      <c r="O439" s="5"/>
      <c r="P439" s="5"/>
      <c r="Q439" s="5"/>
      <c r="R439" s="5"/>
      <c r="S439" s="5"/>
      <c r="T439" s="5"/>
      <c r="U439" s="5"/>
      <c r="V439" s="5"/>
      <c r="W439" s="23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23"/>
      <c r="M440" s="24"/>
      <c r="N440" s="5"/>
      <c r="O440" s="5"/>
      <c r="P440" s="5"/>
      <c r="Q440" s="5"/>
      <c r="R440" s="5"/>
      <c r="S440" s="5"/>
      <c r="T440" s="5"/>
      <c r="U440" s="5"/>
      <c r="V440" s="5"/>
      <c r="W440" s="23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23"/>
      <c r="M441" s="24"/>
      <c r="N441" s="5"/>
      <c r="O441" s="5"/>
      <c r="P441" s="5"/>
      <c r="Q441" s="5"/>
      <c r="R441" s="5"/>
      <c r="S441" s="5"/>
      <c r="T441" s="5"/>
      <c r="U441" s="5"/>
      <c r="V441" s="5"/>
      <c r="W441" s="23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23"/>
      <c r="M442" s="24"/>
      <c r="N442" s="5"/>
      <c r="O442" s="5"/>
      <c r="P442" s="5"/>
      <c r="Q442" s="5"/>
      <c r="R442" s="5"/>
      <c r="S442" s="5"/>
      <c r="T442" s="5"/>
      <c r="U442" s="5"/>
      <c r="V442" s="5"/>
      <c r="W442" s="23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23"/>
      <c r="M443" s="24"/>
      <c r="N443" s="5"/>
      <c r="O443" s="5"/>
      <c r="P443" s="5"/>
      <c r="Q443" s="5"/>
      <c r="R443" s="5"/>
      <c r="S443" s="5"/>
      <c r="T443" s="5"/>
      <c r="U443" s="5"/>
      <c r="V443" s="5"/>
      <c r="W443" s="23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23"/>
      <c r="M444" s="24"/>
      <c r="N444" s="5"/>
      <c r="O444" s="5"/>
      <c r="P444" s="5"/>
      <c r="Q444" s="5"/>
      <c r="R444" s="5"/>
      <c r="S444" s="5"/>
      <c r="T444" s="5"/>
      <c r="U444" s="5"/>
      <c r="V444" s="5"/>
      <c r="W444" s="23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23"/>
      <c r="M445" s="24"/>
      <c r="N445" s="5"/>
      <c r="O445" s="5"/>
      <c r="P445" s="5"/>
      <c r="Q445" s="5"/>
      <c r="R445" s="5"/>
      <c r="S445" s="5"/>
      <c r="T445" s="5"/>
      <c r="U445" s="5"/>
      <c r="V445" s="5"/>
      <c r="W445" s="23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23"/>
      <c r="M446" s="24"/>
      <c r="N446" s="5"/>
      <c r="O446" s="5"/>
      <c r="P446" s="5"/>
      <c r="Q446" s="5"/>
      <c r="R446" s="5"/>
      <c r="S446" s="5"/>
      <c r="T446" s="5"/>
      <c r="U446" s="5"/>
      <c r="V446" s="5"/>
      <c r="W446" s="23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23"/>
      <c r="M447" s="24"/>
      <c r="N447" s="5"/>
      <c r="O447" s="5"/>
      <c r="P447" s="5"/>
      <c r="Q447" s="5"/>
      <c r="R447" s="5"/>
      <c r="S447" s="5"/>
      <c r="T447" s="5"/>
      <c r="U447" s="5"/>
      <c r="V447" s="5"/>
      <c r="W447" s="23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23"/>
      <c r="M448" s="24"/>
      <c r="N448" s="5"/>
      <c r="O448" s="5"/>
      <c r="P448" s="5"/>
      <c r="Q448" s="5"/>
      <c r="R448" s="5"/>
      <c r="S448" s="5"/>
      <c r="T448" s="5"/>
      <c r="U448" s="5"/>
      <c r="V448" s="5"/>
      <c r="W448" s="23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23"/>
      <c r="M449" s="24"/>
      <c r="N449" s="5"/>
      <c r="O449" s="5"/>
      <c r="P449" s="5"/>
      <c r="Q449" s="5"/>
      <c r="R449" s="5"/>
      <c r="S449" s="5"/>
      <c r="T449" s="5"/>
      <c r="U449" s="5"/>
      <c r="V449" s="5"/>
      <c r="W449" s="23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23"/>
      <c r="M450" s="24"/>
      <c r="N450" s="5"/>
      <c r="O450" s="5"/>
      <c r="P450" s="5"/>
      <c r="Q450" s="5"/>
      <c r="R450" s="5"/>
      <c r="S450" s="5"/>
      <c r="T450" s="5"/>
      <c r="U450" s="5"/>
      <c r="V450" s="5"/>
      <c r="W450" s="23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23"/>
      <c r="M451" s="24"/>
      <c r="N451" s="5"/>
      <c r="O451" s="5"/>
      <c r="P451" s="5"/>
      <c r="Q451" s="5"/>
      <c r="R451" s="5"/>
      <c r="S451" s="5"/>
      <c r="T451" s="5"/>
      <c r="U451" s="5"/>
      <c r="V451" s="5"/>
      <c r="W451" s="23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23"/>
      <c r="M452" s="24"/>
      <c r="N452" s="5"/>
      <c r="O452" s="5"/>
      <c r="P452" s="5"/>
      <c r="Q452" s="5"/>
      <c r="R452" s="5"/>
      <c r="S452" s="5"/>
      <c r="T452" s="5"/>
      <c r="U452" s="5"/>
      <c r="V452" s="5"/>
      <c r="W452" s="23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23"/>
      <c r="M453" s="24"/>
      <c r="N453" s="5"/>
      <c r="O453" s="5"/>
      <c r="P453" s="5"/>
      <c r="Q453" s="5"/>
      <c r="R453" s="5"/>
      <c r="S453" s="5"/>
      <c r="T453" s="5"/>
      <c r="U453" s="5"/>
      <c r="V453" s="5"/>
      <c r="W453" s="23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23"/>
      <c r="M454" s="24"/>
      <c r="N454" s="5"/>
      <c r="O454" s="5"/>
      <c r="P454" s="5"/>
      <c r="Q454" s="5"/>
      <c r="R454" s="5"/>
      <c r="S454" s="5"/>
      <c r="T454" s="5"/>
      <c r="U454" s="5"/>
      <c r="V454" s="5"/>
      <c r="W454" s="23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23"/>
      <c r="M455" s="24"/>
      <c r="N455" s="5"/>
      <c r="O455" s="5"/>
      <c r="P455" s="5"/>
      <c r="Q455" s="5"/>
      <c r="R455" s="5"/>
      <c r="S455" s="5"/>
      <c r="T455" s="5"/>
      <c r="U455" s="5"/>
      <c r="V455" s="5"/>
      <c r="W455" s="23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23"/>
      <c r="M456" s="24"/>
      <c r="N456" s="5"/>
      <c r="O456" s="5"/>
      <c r="P456" s="5"/>
      <c r="Q456" s="5"/>
      <c r="R456" s="5"/>
      <c r="S456" s="5"/>
      <c r="T456" s="5"/>
      <c r="U456" s="5"/>
      <c r="V456" s="5"/>
      <c r="W456" s="23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23"/>
      <c r="M457" s="24"/>
      <c r="N457" s="5"/>
      <c r="O457" s="5"/>
      <c r="P457" s="5"/>
      <c r="Q457" s="5"/>
      <c r="R457" s="5"/>
      <c r="S457" s="5"/>
      <c r="T457" s="5"/>
      <c r="U457" s="5"/>
      <c r="V457" s="5"/>
      <c r="W457" s="23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23"/>
      <c r="M458" s="24"/>
      <c r="N458" s="5"/>
      <c r="O458" s="5"/>
      <c r="P458" s="5"/>
      <c r="Q458" s="5"/>
      <c r="R458" s="5"/>
      <c r="S458" s="5"/>
      <c r="T458" s="5"/>
      <c r="U458" s="5"/>
      <c r="V458" s="5"/>
      <c r="W458" s="23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23"/>
      <c r="M459" s="24"/>
      <c r="N459" s="5"/>
      <c r="O459" s="5"/>
      <c r="P459" s="5"/>
      <c r="Q459" s="5"/>
      <c r="R459" s="5"/>
      <c r="S459" s="5"/>
      <c r="T459" s="5"/>
      <c r="U459" s="5"/>
      <c r="V459" s="5"/>
      <c r="W459" s="23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23"/>
      <c r="M460" s="24"/>
      <c r="N460" s="5"/>
      <c r="O460" s="5"/>
      <c r="P460" s="5"/>
      <c r="Q460" s="5"/>
      <c r="R460" s="5"/>
      <c r="S460" s="5"/>
      <c r="T460" s="5"/>
      <c r="U460" s="5"/>
      <c r="V460" s="5"/>
      <c r="W460" s="23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23"/>
      <c r="M461" s="24"/>
      <c r="N461" s="5"/>
      <c r="O461" s="5"/>
      <c r="P461" s="5"/>
      <c r="Q461" s="5"/>
      <c r="R461" s="5"/>
      <c r="S461" s="5"/>
      <c r="T461" s="5"/>
      <c r="U461" s="5"/>
      <c r="V461" s="5"/>
      <c r="W461" s="23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23"/>
      <c r="M462" s="24"/>
      <c r="N462" s="5"/>
      <c r="O462" s="5"/>
      <c r="P462" s="5"/>
      <c r="Q462" s="5"/>
      <c r="R462" s="5"/>
      <c r="S462" s="5"/>
      <c r="T462" s="5"/>
      <c r="U462" s="5"/>
      <c r="V462" s="5"/>
      <c r="W462" s="23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23"/>
      <c r="M463" s="24"/>
      <c r="N463" s="5"/>
      <c r="O463" s="5"/>
      <c r="P463" s="5"/>
      <c r="Q463" s="5"/>
      <c r="R463" s="5"/>
      <c r="S463" s="5"/>
      <c r="T463" s="5"/>
      <c r="U463" s="5"/>
      <c r="V463" s="5"/>
      <c r="W463" s="23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23"/>
      <c r="M464" s="24"/>
      <c r="N464" s="5"/>
      <c r="O464" s="5"/>
      <c r="P464" s="5"/>
      <c r="Q464" s="5"/>
      <c r="R464" s="5"/>
      <c r="S464" s="5"/>
      <c r="T464" s="5"/>
      <c r="U464" s="5"/>
      <c r="V464" s="5"/>
      <c r="W464" s="23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23"/>
      <c r="M465" s="24"/>
      <c r="N465" s="5"/>
      <c r="O465" s="5"/>
      <c r="P465" s="5"/>
      <c r="Q465" s="5"/>
      <c r="R465" s="5"/>
      <c r="S465" s="5"/>
      <c r="T465" s="5"/>
      <c r="U465" s="5"/>
      <c r="V465" s="5"/>
      <c r="W465" s="23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23"/>
      <c r="M466" s="24"/>
      <c r="N466" s="5"/>
      <c r="O466" s="5"/>
      <c r="P466" s="5"/>
      <c r="Q466" s="5"/>
      <c r="R466" s="5"/>
      <c r="S466" s="5"/>
      <c r="T466" s="5"/>
      <c r="U466" s="5"/>
      <c r="V466" s="5"/>
      <c r="W466" s="23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23"/>
      <c r="M467" s="24"/>
      <c r="N467" s="5"/>
      <c r="O467" s="5"/>
      <c r="P467" s="5"/>
      <c r="Q467" s="5"/>
      <c r="R467" s="5"/>
      <c r="S467" s="5"/>
      <c r="T467" s="5"/>
      <c r="U467" s="5"/>
      <c r="V467" s="5"/>
      <c r="W467" s="23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23"/>
      <c r="M468" s="24"/>
      <c r="N468" s="5"/>
      <c r="O468" s="5"/>
      <c r="P468" s="5"/>
      <c r="Q468" s="5"/>
      <c r="R468" s="5"/>
      <c r="S468" s="5"/>
      <c r="T468" s="5"/>
      <c r="U468" s="5"/>
      <c r="V468" s="5"/>
      <c r="W468" s="23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23"/>
      <c r="M469" s="24"/>
      <c r="N469" s="5"/>
      <c r="O469" s="5"/>
      <c r="P469" s="5"/>
      <c r="Q469" s="5"/>
      <c r="R469" s="5"/>
      <c r="S469" s="5"/>
      <c r="T469" s="5"/>
      <c r="U469" s="5"/>
      <c r="V469" s="5"/>
      <c r="W469" s="23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23"/>
      <c r="M470" s="24"/>
      <c r="N470" s="5"/>
      <c r="O470" s="5"/>
      <c r="P470" s="5"/>
      <c r="Q470" s="5"/>
      <c r="R470" s="5"/>
      <c r="S470" s="5"/>
      <c r="T470" s="5"/>
      <c r="U470" s="5"/>
      <c r="V470" s="5"/>
      <c r="W470" s="23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23"/>
      <c r="M471" s="24"/>
      <c r="N471" s="5"/>
      <c r="O471" s="5"/>
      <c r="P471" s="5"/>
      <c r="Q471" s="5"/>
      <c r="R471" s="5"/>
      <c r="S471" s="5"/>
      <c r="T471" s="5"/>
      <c r="U471" s="5"/>
      <c r="V471" s="5"/>
      <c r="W471" s="23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23"/>
      <c r="M472" s="24"/>
      <c r="N472" s="5"/>
      <c r="O472" s="5"/>
      <c r="P472" s="5"/>
      <c r="Q472" s="5"/>
      <c r="R472" s="5"/>
      <c r="S472" s="5"/>
      <c r="T472" s="5"/>
      <c r="U472" s="5"/>
      <c r="V472" s="5"/>
      <c r="W472" s="23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23"/>
      <c r="M473" s="24"/>
      <c r="N473" s="5"/>
      <c r="O473" s="5"/>
      <c r="P473" s="5"/>
      <c r="Q473" s="5"/>
      <c r="R473" s="5"/>
      <c r="S473" s="5"/>
      <c r="T473" s="5"/>
      <c r="U473" s="5"/>
      <c r="V473" s="5"/>
      <c r="W473" s="23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23"/>
      <c r="M474" s="24"/>
      <c r="N474" s="5"/>
      <c r="O474" s="5"/>
      <c r="P474" s="5"/>
      <c r="Q474" s="5"/>
      <c r="R474" s="5"/>
      <c r="S474" s="5"/>
      <c r="T474" s="5"/>
      <c r="U474" s="5"/>
      <c r="V474" s="5"/>
      <c r="W474" s="23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23"/>
      <c r="M475" s="24"/>
      <c r="N475" s="5"/>
      <c r="O475" s="5"/>
      <c r="P475" s="5"/>
      <c r="Q475" s="5"/>
      <c r="R475" s="5"/>
      <c r="S475" s="5"/>
      <c r="T475" s="5"/>
      <c r="U475" s="5"/>
      <c r="V475" s="5"/>
      <c r="W475" s="23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23"/>
      <c r="M476" s="24"/>
      <c r="N476" s="5"/>
      <c r="O476" s="5"/>
      <c r="P476" s="5"/>
      <c r="Q476" s="5"/>
      <c r="R476" s="5"/>
      <c r="S476" s="5"/>
      <c r="T476" s="5"/>
      <c r="U476" s="5"/>
      <c r="V476" s="5"/>
      <c r="W476" s="23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23"/>
      <c r="M477" s="24"/>
      <c r="N477" s="5"/>
      <c r="O477" s="5"/>
      <c r="P477" s="5"/>
      <c r="Q477" s="5"/>
      <c r="R477" s="5"/>
      <c r="S477" s="5"/>
      <c r="T477" s="5"/>
      <c r="U477" s="5"/>
      <c r="V477" s="5"/>
      <c r="W477" s="23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23"/>
      <c r="M478" s="24"/>
      <c r="N478" s="5"/>
      <c r="O478" s="5"/>
      <c r="P478" s="5"/>
      <c r="Q478" s="5"/>
      <c r="R478" s="5"/>
      <c r="S478" s="5"/>
      <c r="T478" s="5"/>
      <c r="U478" s="5"/>
      <c r="V478" s="5"/>
      <c r="W478" s="23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23"/>
      <c r="M479" s="24"/>
      <c r="N479" s="5"/>
      <c r="O479" s="5"/>
      <c r="P479" s="5"/>
      <c r="Q479" s="5"/>
      <c r="R479" s="5"/>
      <c r="S479" s="5"/>
      <c r="T479" s="5"/>
      <c r="U479" s="5"/>
      <c r="V479" s="5"/>
      <c r="W479" s="23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23"/>
      <c r="M480" s="24"/>
      <c r="N480" s="5"/>
      <c r="O480" s="5"/>
      <c r="P480" s="5"/>
      <c r="Q480" s="5"/>
      <c r="R480" s="5"/>
      <c r="S480" s="5"/>
      <c r="T480" s="5"/>
      <c r="U480" s="5"/>
      <c r="V480" s="5"/>
      <c r="W480" s="23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23"/>
      <c r="M481" s="24"/>
      <c r="N481" s="5"/>
      <c r="O481" s="5"/>
      <c r="P481" s="5"/>
      <c r="Q481" s="5"/>
      <c r="R481" s="5"/>
      <c r="S481" s="5"/>
      <c r="T481" s="5"/>
      <c r="U481" s="5"/>
      <c r="V481" s="5"/>
      <c r="W481" s="23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23"/>
      <c r="M482" s="24"/>
      <c r="N482" s="5"/>
      <c r="O482" s="5"/>
      <c r="P482" s="5"/>
      <c r="Q482" s="5"/>
      <c r="R482" s="5"/>
      <c r="S482" s="5"/>
      <c r="T482" s="5"/>
      <c r="U482" s="5"/>
      <c r="V482" s="5"/>
      <c r="W482" s="23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23"/>
      <c r="M483" s="24"/>
      <c r="N483" s="5"/>
      <c r="O483" s="5"/>
      <c r="P483" s="5"/>
      <c r="Q483" s="5"/>
      <c r="R483" s="5"/>
      <c r="S483" s="5"/>
      <c r="T483" s="5"/>
      <c r="U483" s="5"/>
      <c r="V483" s="5"/>
      <c r="W483" s="23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23"/>
      <c r="M484" s="24"/>
      <c r="N484" s="5"/>
      <c r="O484" s="5"/>
      <c r="P484" s="5"/>
      <c r="Q484" s="5"/>
      <c r="R484" s="5"/>
      <c r="S484" s="5"/>
      <c r="T484" s="5"/>
      <c r="U484" s="5"/>
      <c r="V484" s="5"/>
      <c r="W484" s="23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23"/>
      <c r="M485" s="24"/>
      <c r="N485" s="5"/>
      <c r="O485" s="5"/>
      <c r="P485" s="5"/>
      <c r="Q485" s="5"/>
      <c r="R485" s="5"/>
      <c r="S485" s="5"/>
      <c r="T485" s="5"/>
      <c r="U485" s="5"/>
      <c r="V485" s="5"/>
      <c r="W485" s="23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23"/>
      <c r="M486" s="24"/>
      <c r="N486" s="5"/>
      <c r="O486" s="5"/>
      <c r="P486" s="5"/>
      <c r="Q486" s="5"/>
      <c r="R486" s="5"/>
      <c r="S486" s="5"/>
      <c r="T486" s="5"/>
      <c r="U486" s="5"/>
      <c r="V486" s="5"/>
      <c r="W486" s="23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23"/>
      <c r="M487" s="24"/>
      <c r="N487" s="5"/>
      <c r="O487" s="5"/>
      <c r="P487" s="5"/>
      <c r="Q487" s="5"/>
      <c r="R487" s="5"/>
      <c r="S487" s="5"/>
      <c r="T487" s="5"/>
      <c r="U487" s="5"/>
      <c r="V487" s="5"/>
      <c r="W487" s="23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23"/>
      <c r="M488" s="24"/>
      <c r="N488" s="5"/>
      <c r="O488" s="5"/>
      <c r="P488" s="5"/>
      <c r="Q488" s="5"/>
      <c r="R488" s="5"/>
      <c r="S488" s="5"/>
      <c r="T488" s="5"/>
      <c r="U488" s="5"/>
      <c r="V488" s="5"/>
      <c r="W488" s="23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23"/>
      <c r="M489" s="24"/>
      <c r="N489" s="5"/>
      <c r="O489" s="5"/>
      <c r="P489" s="5"/>
      <c r="Q489" s="5"/>
      <c r="R489" s="5"/>
      <c r="S489" s="5"/>
      <c r="T489" s="5"/>
      <c r="U489" s="5"/>
      <c r="V489" s="5"/>
      <c r="W489" s="23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23"/>
      <c r="M490" s="24"/>
      <c r="N490" s="5"/>
      <c r="O490" s="5"/>
      <c r="P490" s="5"/>
      <c r="Q490" s="5"/>
      <c r="R490" s="5"/>
      <c r="S490" s="5"/>
      <c r="T490" s="5"/>
      <c r="U490" s="5"/>
      <c r="V490" s="5"/>
      <c r="W490" s="23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23"/>
      <c r="M491" s="24"/>
      <c r="N491" s="5"/>
      <c r="O491" s="5"/>
      <c r="P491" s="5"/>
      <c r="Q491" s="5"/>
      <c r="R491" s="5"/>
      <c r="S491" s="5"/>
      <c r="T491" s="5"/>
      <c r="U491" s="5"/>
      <c r="V491" s="5"/>
      <c r="W491" s="23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23"/>
      <c r="M492" s="24"/>
      <c r="N492" s="5"/>
      <c r="O492" s="5"/>
      <c r="P492" s="5"/>
      <c r="Q492" s="5"/>
      <c r="R492" s="5"/>
      <c r="S492" s="5"/>
      <c r="T492" s="5"/>
      <c r="U492" s="5"/>
      <c r="V492" s="5"/>
      <c r="W492" s="23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23"/>
      <c r="M493" s="24"/>
      <c r="N493" s="5"/>
      <c r="O493" s="5"/>
      <c r="P493" s="5"/>
      <c r="Q493" s="5"/>
      <c r="R493" s="5"/>
      <c r="S493" s="5"/>
      <c r="T493" s="5"/>
      <c r="U493" s="5"/>
      <c r="V493" s="5"/>
      <c r="W493" s="23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23"/>
      <c r="M494" s="24"/>
      <c r="N494" s="5"/>
      <c r="O494" s="5"/>
      <c r="P494" s="5"/>
      <c r="Q494" s="5"/>
      <c r="R494" s="5"/>
      <c r="S494" s="5"/>
      <c r="T494" s="5"/>
      <c r="U494" s="5"/>
      <c r="V494" s="5"/>
      <c r="W494" s="23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23"/>
      <c r="M495" s="24"/>
      <c r="N495" s="5"/>
      <c r="O495" s="5"/>
      <c r="P495" s="5"/>
      <c r="Q495" s="5"/>
      <c r="R495" s="5"/>
      <c r="S495" s="5"/>
      <c r="T495" s="5"/>
      <c r="U495" s="5"/>
      <c r="V495" s="5"/>
      <c r="W495" s="23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23"/>
      <c r="M496" s="24"/>
      <c r="N496" s="5"/>
      <c r="O496" s="5"/>
      <c r="P496" s="5"/>
      <c r="Q496" s="5"/>
      <c r="R496" s="5"/>
      <c r="S496" s="5"/>
      <c r="T496" s="5"/>
      <c r="U496" s="5"/>
      <c r="V496" s="5"/>
      <c r="W496" s="23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23"/>
      <c r="M497" s="24"/>
      <c r="N497" s="5"/>
      <c r="O497" s="5"/>
      <c r="P497" s="5"/>
      <c r="Q497" s="5"/>
      <c r="R497" s="5"/>
      <c r="S497" s="5"/>
      <c r="T497" s="5"/>
      <c r="U497" s="5"/>
      <c r="V497" s="5"/>
      <c r="W497" s="23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23"/>
      <c r="M498" s="24"/>
      <c r="N498" s="5"/>
      <c r="O498" s="5"/>
      <c r="P498" s="5"/>
      <c r="Q498" s="5"/>
      <c r="R498" s="5"/>
      <c r="S498" s="5"/>
      <c r="T498" s="5"/>
      <c r="U498" s="5"/>
      <c r="V498" s="5"/>
      <c r="W498" s="23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23"/>
      <c r="M499" s="24"/>
      <c r="N499" s="5"/>
      <c r="O499" s="5"/>
      <c r="P499" s="5"/>
      <c r="Q499" s="5"/>
      <c r="R499" s="5"/>
      <c r="S499" s="5"/>
      <c r="T499" s="5"/>
      <c r="U499" s="5"/>
      <c r="V499" s="5"/>
      <c r="W499" s="23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23"/>
      <c r="M500" s="24"/>
      <c r="N500" s="5"/>
      <c r="O500" s="5"/>
      <c r="P500" s="5"/>
      <c r="Q500" s="5"/>
      <c r="R500" s="5"/>
      <c r="S500" s="5"/>
      <c r="T500" s="5"/>
      <c r="U500" s="5"/>
      <c r="V500" s="5"/>
      <c r="W500" s="23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23"/>
      <c r="M501" s="24"/>
      <c r="N501" s="5"/>
      <c r="O501" s="5"/>
      <c r="P501" s="5"/>
      <c r="Q501" s="5"/>
      <c r="R501" s="5"/>
      <c r="S501" s="5"/>
      <c r="T501" s="5"/>
      <c r="U501" s="5"/>
      <c r="V501" s="5"/>
      <c r="W501" s="23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23"/>
      <c r="M502" s="24"/>
      <c r="N502" s="5"/>
      <c r="O502" s="5"/>
      <c r="P502" s="5"/>
      <c r="Q502" s="5"/>
      <c r="R502" s="5"/>
      <c r="S502" s="5"/>
      <c r="T502" s="5"/>
      <c r="U502" s="5"/>
      <c r="V502" s="5"/>
      <c r="W502" s="23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23"/>
      <c r="M503" s="24"/>
      <c r="N503" s="5"/>
      <c r="O503" s="5"/>
      <c r="P503" s="5"/>
      <c r="Q503" s="5"/>
      <c r="R503" s="5"/>
      <c r="S503" s="5"/>
      <c r="T503" s="5"/>
      <c r="U503" s="5"/>
      <c r="V503" s="5"/>
      <c r="W503" s="23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23"/>
      <c r="M504" s="24"/>
      <c r="N504" s="5"/>
      <c r="O504" s="5"/>
      <c r="P504" s="5"/>
      <c r="Q504" s="5"/>
      <c r="R504" s="5"/>
      <c r="S504" s="5"/>
      <c r="T504" s="5"/>
      <c r="U504" s="5"/>
      <c r="V504" s="5"/>
      <c r="W504" s="23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23"/>
      <c r="M505" s="24"/>
      <c r="N505" s="5"/>
      <c r="O505" s="5"/>
      <c r="P505" s="5"/>
      <c r="Q505" s="5"/>
      <c r="R505" s="5"/>
      <c r="S505" s="5"/>
      <c r="T505" s="5"/>
      <c r="U505" s="5"/>
      <c r="V505" s="5"/>
      <c r="W505" s="23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23"/>
      <c r="M506" s="24"/>
      <c r="N506" s="5"/>
      <c r="O506" s="5"/>
      <c r="P506" s="5"/>
      <c r="Q506" s="5"/>
      <c r="R506" s="5"/>
      <c r="S506" s="5"/>
      <c r="T506" s="5"/>
      <c r="U506" s="5"/>
      <c r="V506" s="5"/>
      <c r="W506" s="23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23"/>
      <c r="M507" s="24"/>
      <c r="N507" s="5"/>
      <c r="O507" s="5"/>
      <c r="P507" s="5"/>
      <c r="Q507" s="5"/>
      <c r="R507" s="5"/>
      <c r="S507" s="5"/>
      <c r="T507" s="5"/>
      <c r="U507" s="5"/>
      <c r="V507" s="5"/>
      <c r="W507" s="23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23"/>
      <c r="M508" s="24"/>
      <c r="N508" s="5"/>
      <c r="O508" s="5"/>
      <c r="P508" s="5"/>
      <c r="Q508" s="5"/>
      <c r="R508" s="5"/>
      <c r="S508" s="5"/>
      <c r="T508" s="5"/>
      <c r="U508" s="5"/>
      <c r="V508" s="5"/>
      <c r="W508" s="23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23"/>
      <c r="M509" s="24"/>
      <c r="N509" s="5"/>
      <c r="O509" s="5"/>
      <c r="P509" s="5"/>
      <c r="Q509" s="5"/>
      <c r="R509" s="5"/>
      <c r="S509" s="5"/>
      <c r="T509" s="5"/>
      <c r="U509" s="5"/>
      <c r="V509" s="5"/>
      <c r="W509" s="23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23"/>
      <c r="M510" s="24"/>
      <c r="N510" s="5"/>
      <c r="O510" s="5"/>
      <c r="P510" s="5"/>
      <c r="Q510" s="5"/>
      <c r="R510" s="5"/>
      <c r="S510" s="5"/>
      <c r="T510" s="5"/>
      <c r="U510" s="5"/>
      <c r="V510" s="5"/>
      <c r="W510" s="23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23"/>
      <c r="M511" s="24"/>
      <c r="N511" s="5"/>
      <c r="O511" s="5"/>
      <c r="P511" s="5"/>
      <c r="Q511" s="5"/>
      <c r="R511" s="5"/>
      <c r="S511" s="5"/>
      <c r="T511" s="5"/>
      <c r="U511" s="5"/>
      <c r="V511" s="5"/>
      <c r="W511" s="23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23"/>
      <c r="M512" s="24"/>
      <c r="N512" s="5"/>
      <c r="O512" s="5"/>
      <c r="P512" s="5"/>
      <c r="Q512" s="5"/>
      <c r="R512" s="5"/>
      <c r="S512" s="5"/>
      <c r="T512" s="5"/>
      <c r="U512" s="5"/>
      <c r="V512" s="5"/>
      <c r="W512" s="23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23"/>
      <c r="M513" s="24"/>
      <c r="N513" s="5"/>
      <c r="O513" s="5"/>
      <c r="P513" s="5"/>
      <c r="Q513" s="5"/>
      <c r="R513" s="5"/>
      <c r="S513" s="5"/>
      <c r="T513" s="5"/>
      <c r="U513" s="5"/>
      <c r="V513" s="5"/>
      <c r="W513" s="23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23"/>
      <c r="M514" s="24"/>
      <c r="N514" s="5"/>
      <c r="O514" s="5"/>
      <c r="P514" s="5"/>
      <c r="Q514" s="5"/>
      <c r="R514" s="5"/>
      <c r="S514" s="5"/>
      <c r="T514" s="5"/>
      <c r="U514" s="5"/>
      <c r="V514" s="5"/>
      <c r="W514" s="23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23"/>
      <c r="M515" s="24"/>
      <c r="N515" s="5"/>
      <c r="O515" s="5"/>
      <c r="P515" s="5"/>
      <c r="Q515" s="5"/>
      <c r="R515" s="5"/>
      <c r="S515" s="5"/>
      <c r="T515" s="5"/>
      <c r="U515" s="5"/>
      <c r="V515" s="5"/>
      <c r="W515" s="23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23"/>
      <c r="M516" s="24"/>
      <c r="N516" s="5"/>
      <c r="O516" s="5"/>
      <c r="P516" s="5"/>
      <c r="Q516" s="5"/>
      <c r="R516" s="5"/>
      <c r="S516" s="5"/>
      <c r="T516" s="5"/>
      <c r="U516" s="5"/>
      <c r="V516" s="5"/>
      <c r="W516" s="23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23"/>
      <c r="M517" s="24"/>
      <c r="N517" s="5"/>
      <c r="O517" s="5"/>
      <c r="P517" s="5"/>
      <c r="Q517" s="5"/>
      <c r="R517" s="5"/>
      <c r="S517" s="5"/>
      <c r="T517" s="5"/>
      <c r="U517" s="5"/>
      <c r="V517" s="5"/>
      <c r="W517" s="23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23"/>
      <c r="M518" s="24"/>
      <c r="N518" s="5"/>
      <c r="O518" s="5"/>
      <c r="P518" s="5"/>
      <c r="Q518" s="5"/>
      <c r="R518" s="5"/>
      <c r="S518" s="5"/>
      <c r="T518" s="5"/>
      <c r="U518" s="5"/>
      <c r="V518" s="5"/>
      <c r="W518" s="23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23"/>
      <c r="M519" s="24"/>
      <c r="N519" s="5"/>
      <c r="O519" s="5"/>
      <c r="P519" s="5"/>
      <c r="Q519" s="5"/>
      <c r="R519" s="5"/>
      <c r="S519" s="5"/>
      <c r="T519" s="5"/>
      <c r="U519" s="5"/>
      <c r="V519" s="5"/>
      <c r="W519" s="23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23"/>
      <c r="M520" s="24"/>
      <c r="N520" s="5"/>
      <c r="O520" s="5"/>
      <c r="P520" s="5"/>
      <c r="Q520" s="5"/>
      <c r="R520" s="5"/>
      <c r="S520" s="5"/>
      <c r="T520" s="5"/>
      <c r="U520" s="5"/>
      <c r="V520" s="5"/>
      <c r="W520" s="23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23"/>
      <c r="M521" s="24"/>
      <c r="N521" s="5"/>
      <c r="O521" s="5"/>
      <c r="P521" s="5"/>
      <c r="Q521" s="5"/>
      <c r="R521" s="5"/>
      <c r="S521" s="5"/>
      <c r="T521" s="5"/>
      <c r="U521" s="5"/>
      <c r="V521" s="5"/>
      <c r="W521" s="23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23"/>
      <c r="M522" s="24"/>
      <c r="N522" s="5"/>
      <c r="O522" s="5"/>
      <c r="P522" s="5"/>
      <c r="Q522" s="5"/>
      <c r="R522" s="5"/>
      <c r="S522" s="5"/>
      <c r="T522" s="5"/>
      <c r="U522" s="5"/>
      <c r="V522" s="5"/>
      <c r="W522" s="23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23"/>
      <c r="M523" s="24"/>
      <c r="N523" s="5"/>
      <c r="O523" s="5"/>
      <c r="P523" s="5"/>
      <c r="Q523" s="5"/>
      <c r="R523" s="5"/>
      <c r="S523" s="5"/>
      <c r="T523" s="5"/>
      <c r="U523" s="5"/>
      <c r="V523" s="5"/>
      <c r="W523" s="23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23"/>
      <c r="M524" s="24"/>
      <c r="N524" s="5"/>
      <c r="O524" s="5"/>
      <c r="P524" s="5"/>
      <c r="Q524" s="5"/>
      <c r="R524" s="5"/>
      <c r="S524" s="5"/>
      <c r="T524" s="5"/>
      <c r="U524" s="5"/>
      <c r="V524" s="5"/>
      <c r="W524" s="23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23"/>
      <c r="M525" s="24"/>
      <c r="N525" s="5"/>
      <c r="O525" s="5"/>
      <c r="P525" s="5"/>
      <c r="Q525" s="5"/>
      <c r="R525" s="5"/>
      <c r="S525" s="5"/>
      <c r="T525" s="5"/>
      <c r="U525" s="5"/>
      <c r="V525" s="5"/>
      <c r="W525" s="23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23"/>
      <c r="M526" s="24"/>
      <c r="N526" s="5"/>
      <c r="O526" s="5"/>
      <c r="P526" s="5"/>
      <c r="Q526" s="5"/>
      <c r="R526" s="5"/>
      <c r="S526" s="5"/>
      <c r="T526" s="5"/>
      <c r="U526" s="5"/>
      <c r="V526" s="5"/>
      <c r="W526" s="23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23"/>
      <c r="M527" s="24"/>
      <c r="N527" s="5"/>
      <c r="O527" s="5"/>
      <c r="P527" s="5"/>
      <c r="Q527" s="5"/>
      <c r="R527" s="5"/>
      <c r="S527" s="5"/>
      <c r="T527" s="5"/>
      <c r="U527" s="5"/>
      <c r="V527" s="5"/>
      <c r="W527" s="23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23"/>
      <c r="M528" s="24"/>
      <c r="N528" s="5"/>
      <c r="O528" s="5"/>
      <c r="P528" s="5"/>
      <c r="Q528" s="5"/>
      <c r="R528" s="5"/>
      <c r="S528" s="5"/>
      <c r="T528" s="5"/>
      <c r="U528" s="5"/>
      <c r="V528" s="5"/>
      <c r="W528" s="23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23"/>
      <c r="M529" s="24"/>
      <c r="N529" s="5"/>
      <c r="O529" s="5"/>
      <c r="P529" s="5"/>
      <c r="Q529" s="5"/>
      <c r="R529" s="5"/>
      <c r="S529" s="5"/>
      <c r="T529" s="5"/>
      <c r="U529" s="5"/>
      <c r="V529" s="5"/>
      <c r="W529" s="23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23"/>
      <c r="M530" s="24"/>
      <c r="N530" s="5"/>
      <c r="O530" s="5"/>
      <c r="P530" s="5"/>
      <c r="Q530" s="5"/>
      <c r="R530" s="5"/>
      <c r="S530" s="5"/>
      <c r="T530" s="5"/>
      <c r="U530" s="5"/>
      <c r="V530" s="5"/>
      <c r="W530" s="23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23"/>
      <c r="M531" s="24"/>
      <c r="N531" s="5"/>
      <c r="O531" s="5"/>
      <c r="P531" s="5"/>
      <c r="Q531" s="5"/>
      <c r="R531" s="5"/>
      <c r="S531" s="5"/>
      <c r="T531" s="5"/>
      <c r="U531" s="5"/>
      <c r="V531" s="5"/>
      <c r="W531" s="23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23"/>
      <c r="M532" s="24"/>
      <c r="N532" s="5"/>
      <c r="O532" s="5"/>
      <c r="P532" s="5"/>
      <c r="Q532" s="5"/>
      <c r="R532" s="5"/>
      <c r="S532" s="5"/>
      <c r="T532" s="5"/>
      <c r="U532" s="5"/>
      <c r="V532" s="5"/>
      <c r="W532" s="23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23"/>
      <c r="M533" s="24"/>
      <c r="N533" s="5"/>
      <c r="O533" s="5"/>
      <c r="P533" s="5"/>
      <c r="Q533" s="5"/>
      <c r="R533" s="5"/>
      <c r="S533" s="5"/>
      <c r="T533" s="5"/>
      <c r="U533" s="5"/>
      <c r="V533" s="5"/>
      <c r="W533" s="23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23"/>
      <c r="M534" s="24"/>
      <c r="N534" s="5"/>
      <c r="O534" s="5"/>
      <c r="P534" s="5"/>
      <c r="Q534" s="5"/>
      <c r="R534" s="5"/>
      <c r="S534" s="5"/>
      <c r="T534" s="5"/>
      <c r="U534" s="5"/>
      <c r="V534" s="5"/>
      <c r="W534" s="23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23"/>
      <c r="M535" s="24"/>
      <c r="N535" s="5"/>
      <c r="O535" s="5"/>
      <c r="P535" s="5"/>
      <c r="Q535" s="5"/>
      <c r="R535" s="5"/>
      <c r="S535" s="5"/>
      <c r="T535" s="5"/>
      <c r="U535" s="5"/>
      <c r="V535" s="5"/>
      <c r="W535" s="23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23"/>
      <c r="M536" s="24"/>
      <c r="N536" s="5"/>
      <c r="O536" s="5"/>
      <c r="P536" s="5"/>
      <c r="Q536" s="5"/>
      <c r="R536" s="5"/>
      <c r="S536" s="5"/>
      <c r="T536" s="5"/>
      <c r="U536" s="5"/>
      <c r="V536" s="5"/>
      <c r="W536" s="23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23"/>
      <c r="M537" s="24"/>
      <c r="N537" s="5"/>
      <c r="O537" s="5"/>
      <c r="P537" s="5"/>
      <c r="Q537" s="5"/>
      <c r="R537" s="5"/>
      <c r="S537" s="5"/>
      <c r="T537" s="5"/>
      <c r="U537" s="5"/>
      <c r="V537" s="5"/>
      <c r="W537" s="23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23"/>
      <c r="M538" s="24"/>
      <c r="N538" s="5"/>
      <c r="O538" s="5"/>
      <c r="P538" s="5"/>
      <c r="Q538" s="5"/>
      <c r="R538" s="5"/>
      <c r="S538" s="5"/>
      <c r="T538" s="5"/>
      <c r="U538" s="5"/>
      <c r="V538" s="5"/>
      <c r="W538" s="23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23"/>
      <c r="M539" s="24"/>
      <c r="N539" s="5"/>
      <c r="O539" s="5"/>
      <c r="P539" s="5"/>
      <c r="Q539" s="5"/>
      <c r="R539" s="5"/>
      <c r="S539" s="5"/>
      <c r="T539" s="5"/>
      <c r="U539" s="5"/>
      <c r="V539" s="5"/>
      <c r="W539" s="23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23"/>
      <c r="M540" s="24"/>
      <c r="N540" s="5"/>
      <c r="O540" s="5"/>
      <c r="P540" s="5"/>
      <c r="Q540" s="5"/>
      <c r="R540" s="5"/>
      <c r="S540" s="5"/>
      <c r="T540" s="5"/>
      <c r="U540" s="5"/>
      <c r="V540" s="5"/>
      <c r="W540" s="23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23"/>
      <c r="M541" s="24"/>
      <c r="N541" s="5"/>
      <c r="O541" s="5"/>
      <c r="P541" s="5"/>
      <c r="Q541" s="5"/>
      <c r="R541" s="5"/>
      <c r="S541" s="5"/>
      <c r="T541" s="5"/>
      <c r="U541" s="5"/>
      <c r="V541" s="5"/>
      <c r="W541" s="23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23"/>
      <c r="M542" s="24"/>
      <c r="N542" s="5"/>
      <c r="O542" s="5"/>
      <c r="P542" s="5"/>
      <c r="Q542" s="5"/>
      <c r="R542" s="5"/>
      <c r="S542" s="5"/>
      <c r="T542" s="5"/>
      <c r="U542" s="5"/>
      <c r="V542" s="5"/>
      <c r="W542" s="23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23"/>
      <c r="M543" s="24"/>
      <c r="N543" s="5"/>
      <c r="O543" s="5"/>
      <c r="P543" s="5"/>
      <c r="Q543" s="5"/>
      <c r="R543" s="5"/>
      <c r="S543" s="5"/>
      <c r="T543" s="5"/>
      <c r="U543" s="5"/>
      <c r="V543" s="5"/>
      <c r="W543" s="23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23"/>
      <c r="M544" s="24"/>
      <c r="N544" s="5"/>
      <c r="O544" s="5"/>
      <c r="P544" s="5"/>
      <c r="Q544" s="5"/>
      <c r="R544" s="5"/>
      <c r="S544" s="5"/>
      <c r="T544" s="5"/>
      <c r="U544" s="5"/>
      <c r="V544" s="5"/>
      <c r="W544" s="23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23"/>
      <c r="M545" s="24"/>
      <c r="N545" s="5"/>
      <c r="O545" s="5"/>
      <c r="P545" s="5"/>
      <c r="Q545" s="5"/>
      <c r="R545" s="5"/>
      <c r="S545" s="5"/>
      <c r="T545" s="5"/>
      <c r="U545" s="5"/>
      <c r="V545" s="5"/>
      <c r="W545" s="23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23"/>
      <c r="M546" s="24"/>
      <c r="N546" s="5"/>
      <c r="O546" s="5"/>
      <c r="P546" s="5"/>
      <c r="Q546" s="5"/>
      <c r="R546" s="5"/>
      <c r="S546" s="5"/>
      <c r="T546" s="5"/>
      <c r="U546" s="5"/>
      <c r="V546" s="5"/>
      <c r="W546" s="23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23"/>
      <c r="M547" s="24"/>
      <c r="N547" s="5"/>
      <c r="O547" s="5"/>
      <c r="P547" s="5"/>
      <c r="Q547" s="5"/>
      <c r="R547" s="5"/>
      <c r="S547" s="5"/>
      <c r="T547" s="5"/>
      <c r="U547" s="5"/>
      <c r="V547" s="5"/>
      <c r="W547" s="23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23"/>
      <c r="M548" s="24"/>
      <c r="N548" s="5"/>
      <c r="O548" s="5"/>
      <c r="P548" s="5"/>
      <c r="Q548" s="5"/>
      <c r="R548" s="5"/>
      <c r="S548" s="5"/>
      <c r="T548" s="5"/>
      <c r="U548" s="5"/>
      <c r="V548" s="5"/>
      <c r="W548" s="23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23"/>
      <c r="M549" s="24"/>
      <c r="N549" s="5"/>
      <c r="O549" s="5"/>
      <c r="P549" s="5"/>
      <c r="Q549" s="5"/>
      <c r="R549" s="5"/>
      <c r="S549" s="5"/>
      <c r="T549" s="5"/>
      <c r="U549" s="5"/>
      <c r="V549" s="5"/>
      <c r="W549" s="23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23"/>
      <c r="M550" s="24"/>
      <c r="N550" s="5"/>
      <c r="O550" s="5"/>
      <c r="P550" s="5"/>
      <c r="Q550" s="5"/>
      <c r="R550" s="5"/>
      <c r="S550" s="5"/>
      <c r="T550" s="5"/>
      <c r="U550" s="5"/>
      <c r="V550" s="5"/>
      <c r="W550" s="23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23"/>
      <c r="M551" s="24"/>
      <c r="N551" s="5"/>
      <c r="O551" s="5"/>
      <c r="P551" s="5"/>
      <c r="Q551" s="5"/>
      <c r="R551" s="5"/>
      <c r="S551" s="5"/>
      <c r="T551" s="5"/>
      <c r="U551" s="5"/>
      <c r="V551" s="5"/>
      <c r="W551" s="23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23"/>
      <c r="M552" s="24"/>
      <c r="N552" s="5"/>
      <c r="O552" s="5"/>
      <c r="P552" s="5"/>
      <c r="Q552" s="5"/>
      <c r="R552" s="5"/>
      <c r="S552" s="5"/>
      <c r="T552" s="5"/>
      <c r="U552" s="5"/>
      <c r="V552" s="5"/>
      <c r="W552" s="23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23"/>
      <c r="M553" s="24"/>
      <c r="N553" s="5"/>
      <c r="O553" s="5"/>
      <c r="P553" s="5"/>
      <c r="Q553" s="5"/>
      <c r="R553" s="5"/>
      <c r="S553" s="5"/>
      <c r="T553" s="5"/>
      <c r="U553" s="5"/>
      <c r="V553" s="5"/>
      <c r="W553" s="23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23"/>
      <c r="M554" s="24"/>
      <c r="N554" s="5"/>
      <c r="O554" s="5"/>
      <c r="P554" s="5"/>
      <c r="Q554" s="5"/>
      <c r="R554" s="5"/>
      <c r="S554" s="5"/>
      <c r="T554" s="5"/>
      <c r="U554" s="5"/>
      <c r="V554" s="5"/>
      <c r="W554" s="23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23"/>
      <c r="M555" s="24"/>
      <c r="N555" s="5"/>
      <c r="O555" s="5"/>
      <c r="P555" s="5"/>
      <c r="Q555" s="5"/>
      <c r="R555" s="5"/>
      <c r="S555" s="5"/>
      <c r="T555" s="5"/>
      <c r="U555" s="5"/>
      <c r="V555" s="5"/>
      <c r="W555" s="23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23"/>
      <c r="M556" s="24"/>
      <c r="N556" s="5"/>
      <c r="O556" s="5"/>
      <c r="P556" s="5"/>
      <c r="Q556" s="5"/>
      <c r="R556" s="5"/>
      <c r="S556" s="5"/>
      <c r="T556" s="5"/>
      <c r="U556" s="5"/>
      <c r="V556" s="5"/>
      <c r="W556" s="23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23"/>
      <c r="M557" s="24"/>
      <c r="N557" s="5"/>
      <c r="O557" s="5"/>
      <c r="P557" s="5"/>
      <c r="Q557" s="5"/>
      <c r="R557" s="5"/>
      <c r="S557" s="5"/>
      <c r="T557" s="5"/>
      <c r="U557" s="5"/>
      <c r="V557" s="5"/>
      <c r="W557" s="23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23"/>
      <c r="M558" s="24"/>
      <c r="N558" s="5"/>
      <c r="O558" s="5"/>
      <c r="P558" s="5"/>
      <c r="Q558" s="5"/>
      <c r="R558" s="5"/>
      <c r="S558" s="5"/>
      <c r="T558" s="5"/>
      <c r="U558" s="5"/>
      <c r="V558" s="5"/>
      <c r="W558" s="23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23"/>
      <c r="M559" s="24"/>
      <c r="N559" s="5"/>
      <c r="O559" s="5"/>
      <c r="P559" s="5"/>
      <c r="Q559" s="5"/>
      <c r="R559" s="5"/>
      <c r="S559" s="5"/>
      <c r="T559" s="5"/>
      <c r="U559" s="5"/>
      <c r="V559" s="5"/>
      <c r="W559" s="23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23"/>
      <c r="M560" s="24"/>
      <c r="N560" s="5"/>
      <c r="O560" s="5"/>
      <c r="P560" s="5"/>
      <c r="Q560" s="5"/>
      <c r="R560" s="5"/>
      <c r="S560" s="5"/>
      <c r="T560" s="5"/>
      <c r="U560" s="5"/>
      <c r="V560" s="5"/>
      <c r="W560" s="23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23"/>
      <c r="M561" s="24"/>
      <c r="N561" s="5"/>
      <c r="O561" s="5"/>
      <c r="P561" s="5"/>
      <c r="Q561" s="5"/>
      <c r="R561" s="5"/>
      <c r="S561" s="5"/>
      <c r="T561" s="5"/>
      <c r="U561" s="5"/>
      <c r="V561" s="5"/>
      <c r="W561" s="23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23"/>
      <c r="M562" s="24"/>
      <c r="N562" s="5"/>
      <c r="O562" s="5"/>
      <c r="P562" s="5"/>
      <c r="Q562" s="5"/>
      <c r="R562" s="5"/>
      <c r="S562" s="5"/>
      <c r="T562" s="5"/>
      <c r="U562" s="5"/>
      <c r="V562" s="5"/>
      <c r="W562" s="23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23"/>
      <c r="M563" s="24"/>
      <c r="N563" s="5"/>
      <c r="O563" s="5"/>
      <c r="P563" s="5"/>
      <c r="Q563" s="5"/>
      <c r="R563" s="5"/>
      <c r="S563" s="5"/>
      <c r="T563" s="5"/>
      <c r="U563" s="5"/>
      <c r="V563" s="5"/>
      <c r="W563" s="23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23"/>
      <c r="M564" s="24"/>
      <c r="N564" s="5"/>
      <c r="O564" s="5"/>
      <c r="P564" s="5"/>
      <c r="Q564" s="5"/>
      <c r="R564" s="5"/>
      <c r="S564" s="5"/>
      <c r="T564" s="5"/>
      <c r="U564" s="5"/>
      <c r="V564" s="5"/>
      <c r="W564" s="23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23"/>
      <c r="M565" s="24"/>
      <c r="N565" s="5"/>
      <c r="O565" s="5"/>
      <c r="P565" s="5"/>
      <c r="Q565" s="5"/>
      <c r="R565" s="5"/>
      <c r="S565" s="5"/>
      <c r="T565" s="5"/>
      <c r="U565" s="5"/>
      <c r="V565" s="5"/>
      <c r="W565" s="23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23"/>
      <c r="M566" s="24"/>
      <c r="N566" s="5"/>
      <c r="O566" s="5"/>
      <c r="P566" s="5"/>
      <c r="Q566" s="5"/>
      <c r="R566" s="5"/>
      <c r="S566" s="5"/>
      <c r="T566" s="5"/>
      <c r="U566" s="5"/>
      <c r="V566" s="5"/>
      <c r="W566" s="23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23"/>
      <c r="M567" s="24"/>
      <c r="N567" s="5"/>
      <c r="O567" s="5"/>
      <c r="P567" s="5"/>
      <c r="Q567" s="5"/>
      <c r="R567" s="5"/>
      <c r="S567" s="5"/>
      <c r="T567" s="5"/>
      <c r="U567" s="5"/>
      <c r="V567" s="5"/>
      <c r="W567" s="23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23"/>
      <c r="M568" s="24"/>
      <c r="N568" s="5"/>
      <c r="O568" s="5"/>
      <c r="P568" s="5"/>
      <c r="Q568" s="5"/>
      <c r="R568" s="5"/>
      <c r="S568" s="5"/>
      <c r="T568" s="5"/>
      <c r="U568" s="5"/>
      <c r="V568" s="5"/>
      <c r="W568" s="23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23"/>
      <c r="M569" s="24"/>
      <c r="N569" s="5"/>
      <c r="O569" s="5"/>
      <c r="P569" s="5"/>
      <c r="Q569" s="5"/>
      <c r="R569" s="5"/>
      <c r="S569" s="5"/>
      <c r="T569" s="5"/>
      <c r="U569" s="5"/>
      <c r="V569" s="5"/>
      <c r="W569" s="23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23"/>
      <c r="M570" s="24"/>
      <c r="N570" s="5"/>
      <c r="O570" s="5"/>
      <c r="P570" s="5"/>
      <c r="Q570" s="5"/>
      <c r="R570" s="5"/>
      <c r="S570" s="5"/>
      <c r="T570" s="5"/>
      <c r="U570" s="5"/>
      <c r="V570" s="5"/>
      <c r="W570" s="23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23"/>
      <c r="M571" s="24"/>
      <c r="N571" s="5"/>
      <c r="O571" s="5"/>
      <c r="P571" s="5"/>
      <c r="Q571" s="5"/>
      <c r="R571" s="5"/>
      <c r="S571" s="5"/>
      <c r="T571" s="5"/>
      <c r="U571" s="5"/>
      <c r="V571" s="5"/>
      <c r="W571" s="23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23"/>
      <c r="M572" s="24"/>
      <c r="N572" s="5"/>
      <c r="O572" s="5"/>
      <c r="P572" s="5"/>
      <c r="Q572" s="5"/>
      <c r="R572" s="5"/>
      <c r="S572" s="5"/>
      <c r="T572" s="5"/>
      <c r="U572" s="5"/>
      <c r="V572" s="5"/>
      <c r="W572" s="23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23"/>
      <c r="M573" s="24"/>
      <c r="N573" s="5"/>
      <c r="O573" s="5"/>
      <c r="P573" s="5"/>
      <c r="Q573" s="5"/>
      <c r="R573" s="5"/>
      <c r="S573" s="5"/>
      <c r="T573" s="5"/>
      <c r="U573" s="5"/>
      <c r="V573" s="5"/>
      <c r="W573" s="23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23"/>
      <c r="M574" s="24"/>
      <c r="N574" s="5"/>
      <c r="O574" s="5"/>
      <c r="P574" s="5"/>
      <c r="Q574" s="5"/>
      <c r="R574" s="5"/>
      <c r="S574" s="5"/>
      <c r="T574" s="5"/>
      <c r="U574" s="5"/>
      <c r="V574" s="5"/>
      <c r="W574" s="23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23"/>
      <c r="M575" s="24"/>
      <c r="N575" s="5"/>
      <c r="O575" s="5"/>
      <c r="P575" s="5"/>
      <c r="Q575" s="5"/>
      <c r="R575" s="5"/>
      <c r="S575" s="5"/>
      <c r="T575" s="5"/>
      <c r="U575" s="5"/>
      <c r="V575" s="5"/>
      <c r="W575" s="23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23"/>
      <c r="M576" s="24"/>
      <c r="N576" s="5"/>
      <c r="O576" s="5"/>
      <c r="P576" s="5"/>
      <c r="Q576" s="5"/>
      <c r="R576" s="5"/>
      <c r="S576" s="5"/>
      <c r="T576" s="5"/>
      <c r="U576" s="5"/>
      <c r="V576" s="5"/>
      <c r="W576" s="23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23"/>
      <c r="M577" s="24"/>
      <c r="N577" s="5"/>
      <c r="O577" s="5"/>
      <c r="P577" s="5"/>
      <c r="Q577" s="5"/>
      <c r="R577" s="5"/>
      <c r="S577" s="5"/>
      <c r="T577" s="5"/>
      <c r="U577" s="5"/>
      <c r="V577" s="5"/>
      <c r="W577" s="23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23"/>
      <c r="M578" s="24"/>
      <c r="N578" s="5"/>
      <c r="O578" s="5"/>
      <c r="P578" s="5"/>
      <c r="Q578" s="5"/>
      <c r="R578" s="5"/>
      <c r="S578" s="5"/>
      <c r="T578" s="5"/>
      <c r="U578" s="5"/>
      <c r="V578" s="5"/>
      <c r="W578" s="23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23"/>
      <c r="M579" s="24"/>
      <c r="N579" s="5"/>
      <c r="O579" s="5"/>
      <c r="P579" s="5"/>
      <c r="Q579" s="5"/>
      <c r="R579" s="5"/>
      <c r="S579" s="5"/>
      <c r="T579" s="5"/>
      <c r="U579" s="5"/>
      <c r="V579" s="5"/>
      <c r="W579" s="23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23"/>
      <c r="M580" s="24"/>
      <c r="N580" s="5"/>
      <c r="O580" s="5"/>
      <c r="P580" s="5"/>
      <c r="Q580" s="5"/>
      <c r="R580" s="5"/>
      <c r="S580" s="5"/>
      <c r="T580" s="5"/>
      <c r="U580" s="5"/>
      <c r="V580" s="5"/>
      <c r="W580" s="23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23"/>
      <c r="M581" s="24"/>
      <c r="N581" s="5"/>
      <c r="O581" s="5"/>
      <c r="P581" s="5"/>
      <c r="Q581" s="5"/>
      <c r="R581" s="5"/>
      <c r="S581" s="5"/>
      <c r="T581" s="5"/>
      <c r="U581" s="5"/>
      <c r="V581" s="5"/>
      <c r="W581" s="23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23"/>
      <c r="M582" s="24"/>
      <c r="N582" s="5"/>
      <c r="O582" s="5"/>
      <c r="P582" s="5"/>
      <c r="Q582" s="5"/>
      <c r="R582" s="5"/>
      <c r="S582" s="5"/>
      <c r="T582" s="5"/>
      <c r="U582" s="5"/>
      <c r="V582" s="5"/>
      <c r="W582" s="23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23"/>
      <c r="M583" s="24"/>
      <c r="N583" s="5"/>
      <c r="O583" s="5"/>
      <c r="P583" s="5"/>
      <c r="Q583" s="5"/>
      <c r="R583" s="5"/>
      <c r="S583" s="5"/>
      <c r="T583" s="5"/>
      <c r="U583" s="5"/>
      <c r="V583" s="5"/>
      <c r="W583" s="23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23"/>
      <c r="M584" s="24"/>
      <c r="N584" s="5"/>
      <c r="O584" s="5"/>
      <c r="P584" s="5"/>
      <c r="Q584" s="5"/>
      <c r="R584" s="5"/>
      <c r="S584" s="5"/>
      <c r="T584" s="5"/>
      <c r="U584" s="5"/>
      <c r="V584" s="5"/>
      <c r="W584" s="23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23"/>
      <c r="M585" s="24"/>
      <c r="N585" s="5"/>
      <c r="O585" s="5"/>
      <c r="P585" s="5"/>
      <c r="Q585" s="5"/>
      <c r="R585" s="5"/>
      <c r="S585" s="5"/>
      <c r="T585" s="5"/>
      <c r="U585" s="5"/>
      <c r="V585" s="5"/>
      <c r="W585" s="23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23"/>
      <c r="M586" s="24"/>
      <c r="N586" s="5"/>
      <c r="O586" s="5"/>
      <c r="P586" s="5"/>
      <c r="Q586" s="5"/>
      <c r="R586" s="5"/>
      <c r="S586" s="5"/>
      <c r="T586" s="5"/>
      <c r="U586" s="5"/>
      <c r="V586" s="5"/>
      <c r="W586" s="23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23"/>
      <c r="M587" s="24"/>
      <c r="N587" s="5"/>
      <c r="O587" s="5"/>
      <c r="P587" s="5"/>
      <c r="Q587" s="5"/>
      <c r="R587" s="5"/>
      <c r="S587" s="5"/>
      <c r="T587" s="5"/>
      <c r="U587" s="5"/>
      <c r="V587" s="5"/>
      <c r="W587" s="23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23"/>
      <c r="M588" s="24"/>
      <c r="N588" s="5"/>
      <c r="O588" s="5"/>
      <c r="P588" s="5"/>
      <c r="Q588" s="5"/>
      <c r="R588" s="5"/>
      <c r="S588" s="5"/>
      <c r="T588" s="5"/>
      <c r="U588" s="5"/>
      <c r="V588" s="5"/>
      <c r="W588" s="23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23"/>
      <c r="M589" s="24"/>
      <c r="N589" s="5"/>
      <c r="O589" s="5"/>
      <c r="P589" s="5"/>
      <c r="Q589" s="5"/>
      <c r="R589" s="5"/>
      <c r="S589" s="5"/>
      <c r="T589" s="5"/>
      <c r="U589" s="5"/>
      <c r="V589" s="5"/>
      <c r="W589" s="23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23"/>
      <c r="M590" s="24"/>
      <c r="N590" s="5"/>
      <c r="O590" s="5"/>
      <c r="P590" s="5"/>
      <c r="Q590" s="5"/>
      <c r="R590" s="5"/>
      <c r="S590" s="5"/>
      <c r="T590" s="5"/>
      <c r="U590" s="5"/>
      <c r="V590" s="5"/>
      <c r="W590" s="23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23"/>
      <c r="M591" s="24"/>
      <c r="N591" s="5"/>
      <c r="O591" s="5"/>
      <c r="P591" s="5"/>
      <c r="Q591" s="5"/>
      <c r="R591" s="5"/>
      <c r="S591" s="5"/>
      <c r="T591" s="5"/>
      <c r="U591" s="5"/>
      <c r="V591" s="5"/>
      <c r="W591" s="23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23"/>
      <c r="M592" s="24"/>
      <c r="N592" s="5"/>
      <c r="O592" s="5"/>
      <c r="P592" s="5"/>
      <c r="Q592" s="5"/>
      <c r="R592" s="5"/>
      <c r="S592" s="5"/>
      <c r="T592" s="5"/>
      <c r="U592" s="5"/>
      <c r="V592" s="5"/>
      <c r="W592" s="23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23"/>
      <c r="M593" s="24"/>
      <c r="N593" s="5"/>
      <c r="O593" s="5"/>
      <c r="P593" s="5"/>
      <c r="Q593" s="5"/>
      <c r="R593" s="5"/>
      <c r="S593" s="5"/>
      <c r="T593" s="5"/>
      <c r="U593" s="5"/>
      <c r="V593" s="5"/>
      <c r="W593" s="23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23"/>
      <c r="M594" s="24"/>
      <c r="N594" s="5"/>
      <c r="O594" s="5"/>
      <c r="P594" s="5"/>
      <c r="Q594" s="5"/>
      <c r="R594" s="5"/>
      <c r="S594" s="5"/>
      <c r="T594" s="5"/>
      <c r="U594" s="5"/>
      <c r="V594" s="5"/>
      <c r="W594" s="23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23"/>
      <c r="M595" s="24"/>
      <c r="N595" s="5"/>
      <c r="O595" s="5"/>
      <c r="P595" s="5"/>
      <c r="Q595" s="5"/>
      <c r="R595" s="5"/>
      <c r="S595" s="5"/>
      <c r="T595" s="5"/>
      <c r="U595" s="5"/>
      <c r="V595" s="5"/>
      <c r="W595" s="23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23"/>
      <c r="M596" s="24"/>
      <c r="N596" s="5"/>
      <c r="O596" s="5"/>
      <c r="P596" s="5"/>
      <c r="Q596" s="5"/>
      <c r="R596" s="5"/>
      <c r="S596" s="5"/>
      <c r="T596" s="5"/>
      <c r="U596" s="5"/>
      <c r="V596" s="5"/>
      <c r="W596" s="23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23"/>
      <c r="M597" s="24"/>
      <c r="N597" s="5"/>
      <c r="O597" s="5"/>
      <c r="P597" s="5"/>
      <c r="Q597" s="5"/>
      <c r="R597" s="5"/>
      <c r="S597" s="5"/>
      <c r="T597" s="5"/>
      <c r="U597" s="5"/>
      <c r="V597" s="5"/>
      <c r="W597" s="23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23"/>
      <c r="M598" s="24"/>
      <c r="N598" s="5"/>
      <c r="O598" s="5"/>
      <c r="P598" s="5"/>
      <c r="Q598" s="5"/>
      <c r="R598" s="5"/>
      <c r="S598" s="5"/>
      <c r="T598" s="5"/>
      <c r="U598" s="5"/>
      <c r="V598" s="5"/>
      <c r="W598" s="23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23"/>
      <c r="M599" s="24"/>
      <c r="N599" s="5"/>
      <c r="O599" s="5"/>
      <c r="P599" s="5"/>
      <c r="Q599" s="5"/>
      <c r="R599" s="5"/>
      <c r="S599" s="5"/>
      <c r="T599" s="5"/>
      <c r="U599" s="5"/>
      <c r="V599" s="5"/>
      <c r="W599" s="23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23"/>
      <c r="M600" s="24"/>
      <c r="N600" s="5"/>
      <c r="O600" s="5"/>
      <c r="P600" s="5"/>
      <c r="Q600" s="5"/>
      <c r="R600" s="5"/>
      <c r="S600" s="5"/>
      <c r="T600" s="5"/>
      <c r="U600" s="5"/>
      <c r="V600" s="5"/>
      <c r="W600" s="23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23"/>
      <c r="M601" s="24"/>
      <c r="N601" s="5"/>
      <c r="O601" s="5"/>
      <c r="P601" s="5"/>
      <c r="Q601" s="5"/>
      <c r="R601" s="5"/>
      <c r="S601" s="5"/>
      <c r="T601" s="5"/>
      <c r="U601" s="5"/>
      <c r="V601" s="5"/>
      <c r="W601" s="23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23"/>
      <c r="M602" s="24"/>
      <c r="N602" s="5"/>
      <c r="O602" s="5"/>
      <c r="P602" s="5"/>
      <c r="Q602" s="5"/>
      <c r="R602" s="5"/>
      <c r="S602" s="5"/>
      <c r="T602" s="5"/>
      <c r="U602" s="5"/>
      <c r="V602" s="5"/>
      <c r="W602" s="23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23"/>
      <c r="M603" s="24"/>
      <c r="N603" s="5"/>
      <c r="O603" s="5"/>
      <c r="P603" s="5"/>
      <c r="Q603" s="5"/>
      <c r="R603" s="5"/>
      <c r="S603" s="5"/>
      <c r="T603" s="5"/>
      <c r="U603" s="5"/>
      <c r="V603" s="5"/>
      <c r="W603" s="23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23"/>
      <c r="M604" s="24"/>
      <c r="N604" s="5"/>
      <c r="O604" s="5"/>
      <c r="P604" s="5"/>
      <c r="Q604" s="5"/>
      <c r="R604" s="5"/>
      <c r="S604" s="5"/>
      <c r="T604" s="5"/>
      <c r="U604" s="5"/>
      <c r="V604" s="5"/>
      <c r="W604" s="23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23"/>
      <c r="M605" s="24"/>
      <c r="N605" s="5"/>
      <c r="O605" s="5"/>
      <c r="P605" s="5"/>
      <c r="Q605" s="5"/>
      <c r="R605" s="5"/>
      <c r="S605" s="5"/>
      <c r="T605" s="5"/>
      <c r="U605" s="5"/>
      <c r="V605" s="5"/>
      <c r="W605" s="23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23"/>
      <c r="M606" s="24"/>
      <c r="N606" s="5"/>
      <c r="O606" s="5"/>
      <c r="P606" s="5"/>
      <c r="Q606" s="5"/>
      <c r="R606" s="5"/>
      <c r="S606" s="5"/>
      <c r="T606" s="5"/>
      <c r="U606" s="5"/>
      <c r="V606" s="5"/>
      <c r="W606" s="23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23"/>
      <c r="M607" s="24"/>
      <c r="N607" s="5"/>
      <c r="O607" s="5"/>
      <c r="P607" s="5"/>
      <c r="Q607" s="5"/>
      <c r="R607" s="5"/>
      <c r="S607" s="5"/>
      <c r="T607" s="5"/>
      <c r="U607" s="5"/>
      <c r="V607" s="5"/>
      <c r="W607" s="23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23"/>
      <c r="M608" s="24"/>
      <c r="N608" s="5"/>
      <c r="O608" s="5"/>
      <c r="P608" s="5"/>
      <c r="Q608" s="5"/>
      <c r="R608" s="5"/>
      <c r="S608" s="5"/>
      <c r="T608" s="5"/>
      <c r="U608" s="5"/>
      <c r="V608" s="5"/>
      <c r="W608" s="23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23"/>
      <c r="M609" s="24"/>
      <c r="N609" s="5"/>
      <c r="O609" s="5"/>
      <c r="P609" s="5"/>
      <c r="Q609" s="5"/>
      <c r="R609" s="5"/>
      <c r="S609" s="5"/>
      <c r="T609" s="5"/>
      <c r="U609" s="5"/>
      <c r="V609" s="5"/>
      <c r="W609" s="23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23"/>
      <c r="M610" s="24"/>
      <c r="N610" s="5"/>
      <c r="O610" s="5"/>
      <c r="P610" s="5"/>
      <c r="Q610" s="5"/>
      <c r="R610" s="5"/>
      <c r="S610" s="5"/>
      <c r="T610" s="5"/>
      <c r="U610" s="5"/>
      <c r="V610" s="5"/>
      <c r="W610" s="23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23"/>
      <c r="M611" s="24"/>
      <c r="N611" s="5"/>
      <c r="O611" s="5"/>
      <c r="P611" s="5"/>
      <c r="Q611" s="5"/>
      <c r="R611" s="5"/>
      <c r="S611" s="5"/>
      <c r="T611" s="5"/>
      <c r="U611" s="5"/>
      <c r="V611" s="5"/>
      <c r="W611" s="23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23"/>
      <c r="M612" s="24"/>
      <c r="N612" s="5"/>
      <c r="O612" s="5"/>
      <c r="P612" s="5"/>
      <c r="Q612" s="5"/>
      <c r="R612" s="5"/>
      <c r="S612" s="5"/>
      <c r="T612" s="5"/>
      <c r="U612" s="5"/>
      <c r="V612" s="5"/>
      <c r="W612" s="23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23"/>
      <c r="M613" s="24"/>
      <c r="N613" s="5"/>
      <c r="O613" s="5"/>
      <c r="P613" s="5"/>
      <c r="Q613" s="5"/>
      <c r="R613" s="5"/>
      <c r="S613" s="5"/>
      <c r="T613" s="5"/>
      <c r="U613" s="5"/>
      <c r="V613" s="5"/>
      <c r="W613" s="23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23"/>
      <c r="M614" s="24"/>
      <c r="N614" s="5"/>
      <c r="O614" s="5"/>
      <c r="P614" s="5"/>
      <c r="Q614" s="5"/>
      <c r="R614" s="5"/>
      <c r="S614" s="5"/>
      <c r="T614" s="5"/>
      <c r="U614" s="5"/>
      <c r="V614" s="5"/>
      <c r="W614" s="23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23"/>
      <c r="M615" s="24"/>
      <c r="N615" s="5"/>
      <c r="O615" s="5"/>
      <c r="P615" s="5"/>
      <c r="Q615" s="5"/>
      <c r="R615" s="5"/>
      <c r="S615" s="5"/>
      <c r="T615" s="5"/>
      <c r="U615" s="5"/>
      <c r="V615" s="5"/>
      <c r="W615" s="23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23"/>
      <c r="M616" s="24"/>
      <c r="N616" s="5"/>
      <c r="O616" s="5"/>
      <c r="P616" s="5"/>
      <c r="Q616" s="5"/>
      <c r="R616" s="5"/>
      <c r="S616" s="5"/>
      <c r="T616" s="5"/>
      <c r="U616" s="5"/>
      <c r="V616" s="5"/>
      <c r="W616" s="23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23"/>
      <c r="M617" s="24"/>
      <c r="N617" s="5"/>
      <c r="O617" s="5"/>
      <c r="P617" s="5"/>
      <c r="Q617" s="5"/>
      <c r="R617" s="5"/>
      <c r="S617" s="5"/>
      <c r="T617" s="5"/>
      <c r="U617" s="5"/>
      <c r="V617" s="5"/>
      <c r="W617" s="23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23"/>
      <c r="M618" s="24"/>
      <c r="N618" s="5"/>
      <c r="O618" s="5"/>
      <c r="P618" s="5"/>
      <c r="Q618" s="5"/>
      <c r="R618" s="5"/>
      <c r="S618" s="5"/>
      <c r="T618" s="5"/>
      <c r="U618" s="5"/>
      <c r="V618" s="5"/>
      <c r="W618" s="23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23"/>
      <c r="M619" s="24"/>
      <c r="N619" s="5"/>
      <c r="O619" s="5"/>
      <c r="P619" s="5"/>
      <c r="Q619" s="5"/>
      <c r="R619" s="5"/>
      <c r="S619" s="5"/>
      <c r="T619" s="5"/>
      <c r="U619" s="5"/>
      <c r="V619" s="5"/>
      <c r="W619" s="23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23"/>
      <c r="M620" s="24"/>
      <c r="N620" s="5"/>
      <c r="O620" s="5"/>
      <c r="P620" s="5"/>
      <c r="Q620" s="5"/>
      <c r="R620" s="5"/>
      <c r="S620" s="5"/>
      <c r="T620" s="5"/>
      <c r="U620" s="5"/>
      <c r="V620" s="5"/>
      <c r="W620" s="23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23"/>
      <c r="M621" s="24"/>
      <c r="N621" s="5"/>
      <c r="O621" s="5"/>
      <c r="P621" s="5"/>
      <c r="Q621" s="5"/>
      <c r="R621" s="5"/>
      <c r="S621" s="5"/>
      <c r="T621" s="5"/>
      <c r="U621" s="5"/>
      <c r="V621" s="5"/>
      <c r="W621" s="23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23"/>
      <c r="M622" s="24"/>
      <c r="N622" s="5"/>
      <c r="O622" s="5"/>
      <c r="P622" s="5"/>
      <c r="Q622" s="5"/>
      <c r="R622" s="5"/>
      <c r="S622" s="5"/>
      <c r="T622" s="5"/>
      <c r="U622" s="5"/>
      <c r="V622" s="5"/>
      <c r="W622" s="23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23"/>
      <c r="M623" s="24"/>
      <c r="N623" s="5"/>
      <c r="O623" s="5"/>
      <c r="P623" s="5"/>
      <c r="Q623" s="5"/>
      <c r="R623" s="5"/>
      <c r="S623" s="5"/>
      <c r="T623" s="5"/>
      <c r="U623" s="5"/>
      <c r="V623" s="5"/>
      <c r="W623" s="23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23"/>
      <c r="M624" s="24"/>
      <c r="N624" s="5"/>
      <c r="O624" s="5"/>
      <c r="P624" s="5"/>
      <c r="Q624" s="5"/>
      <c r="R624" s="5"/>
      <c r="S624" s="5"/>
      <c r="T624" s="5"/>
      <c r="U624" s="5"/>
      <c r="V624" s="5"/>
      <c r="W624" s="23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23"/>
      <c r="M625" s="24"/>
      <c r="N625" s="5"/>
      <c r="O625" s="5"/>
      <c r="P625" s="5"/>
      <c r="Q625" s="5"/>
      <c r="R625" s="5"/>
      <c r="S625" s="5"/>
      <c r="T625" s="5"/>
      <c r="U625" s="5"/>
      <c r="V625" s="5"/>
      <c r="W625" s="23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23"/>
      <c r="M626" s="24"/>
      <c r="N626" s="5"/>
      <c r="O626" s="5"/>
      <c r="P626" s="5"/>
      <c r="Q626" s="5"/>
      <c r="R626" s="5"/>
      <c r="S626" s="5"/>
      <c r="T626" s="5"/>
      <c r="U626" s="5"/>
      <c r="V626" s="5"/>
      <c r="W626" s="23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23"/>
      <c r="M627" s="24"/>
      <c r="N627" s="5"/>
      <c r="O627" s="5"/>
      <c r="P627" s="5"/>
      <c r="Q627" s="5"/>
      <c r="R627" s="5"/>
      <c r="S627" s="5"/>
      <c r="T627" s="5"/>
      <c r="U627" s="5"/>
      <c r="V627" s="5"/>
      <c r="W627" s="23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23"/>
      <c r="M628" s="24"/>
      <c r="N628" s="5"/>
      <c r="O628" s="5"/>
      <c r="P628" s="5"/>
      <c r="Q628" s="5"/>
      <c r="R628" s="5"/>
      <c r="S628" s="5"/>
      <c r="T628" s="5"/>
      <c r="U628" s="5"/>
      <c r="V628" s="5"/>
      <c r="W628" s="23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23"/>
      <c r="M629" s="24"/>
      <c r="N629" s="5"/>
      <c r="O629" s="5"/>
      <c r="P629" s="5"/>
      <c r="Q629" s="5"/>
      <c r="R629" s="5"/>
      <c r="S629" s="5"/>
      <c r="T629" s="5"/>
      <c r="U629" s="5"/>
      <c r="V629" s="5"/>
      <c r="W629" s="23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23"/>
      <c r="M630" s="24"/>
      <c r="N630" s="5"/>
      <c r="O630" s="5"/>
      <c r="P630" s="5"/>
      <c r="Q630" s="5"/>
      <c r="R630" s="5"/>
      <c r="S630" s="5"/>
      <c r="T630" s="5"/>
      <c r="U630" s="5"/>
      <c r="V630" s="5"/>
      <c r="W630" s="23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23"/>
      <c r="M631" s="24"/>
      <c r="N631" s="5"/>
      <c r="O631" s="5"/>
      <c r="P631" s="5"/>
      <c r="Q631" s="5"/>
      <c r="R631" s="5"/>
      <c r="S631" s="5"/>
      <c r="T631" s="5"/>
      <c r="U631" s="5"/>
      <c r="V631" s="5"/>
      <c r="W631" s="23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23"/>
      <c r="M632" s="24"/>
      <c r="N632" s="5"/>
      <c r="O632" s="5"/>
      <c r="P632" s="5"/>
      <c r="Q632" s="5"/>
      <c r="R632" s="5"/>
      <c r="S632" s="5"/>
      <c r="T632" s="5"/>
      <c r="U632" s="5"/>
      <c r="V632" s="5"/>
      <c r="W632" s="23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23"/>
      <c r="M633" s="24"/>
      <c r="N633" s="5"/>
      <c r="O633" s="5"/>
      <c r="P633" s="5"/>
      <c r="Q633" s="5"/>
      <c r="R633" s="5"/>
      <c r="S633" s="5"/>
      <c r="T633" s="5"/>
      <c r="U633" s="5"/>
      <c r="V633" s="5"/>
      <c r="W633" s="23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23"/>
      <c r="M634" s="24"/>
      <c r="N634" s="5"/>
      <c r="O634" s="5"/>
      <c r="P634" s="5"/>
      <c r="Q634" s="5"/>
      <c r="R634" s="5"/>
      <c r="S634" s="5"/>
      <c r="T634" s="5"/>
      <c r="U634" s="5"/>
      <c r="V634" s="5"/>
      <c r="W634" s="23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23"/>
      <c r="M635" s="24"/>
      <c r="N635" s="5"/>
      <c r="O635" s="5"/>
      <c r="P635" s="5"/>
      <c r="Q635" s="5"/>
      <c r="R635" s="5"/>
      <c r="S635" s="5"/>
      <c r="T635" s="5"/>
      <c r="U635" s="5"/>
      <c r="V635" s="5"/>
      <c r="W635" s="23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23"/>
      <c r="M636" s="24"/>
      <c r="N636" s="5"/>
      <c r="O636" s="5"/>
      <c r="P636" s="5"/>
      <c r="Q636" s="5"/>
      <c r="R636" s="5"/>
      <c r="S636" s="5"/>
      <c r="T636" s="5"/>
      <c r="U636" s="5"/>
      <c r="V636" s="5"/>
      <c r="W636" s="23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23"/>
      <c r="M637" s="24"/>
      <c r="N637" s="5"/>
      <c r="O637" s="5"/>
      <c r="P637" s="5"/>
      <c r="Q637" s="5"/>
      <c r="R637" s="5"/>
      <c r="S637" s="5"/>
      <c r="T637" s="5"/>
      <c r="U637" s="5"/>
      <c r="V637" s="5"/>
      <c r="W637" s="23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23"/>
      <c r="M638" s="24"/>
      <c r="N638" s="5"/>
      <c r="O638" s="5"/>
      <c r="P638" s="5"/>
      <c r="Q638" s="5"/>
      <c r="R638" s="5"/>
      <c r="S638" s="5"/>
      <c r="T638" s="5"/>
      <c r="U638" s="5"/>
      <c r="V638" s="5"/>
      <c r="W638" s="23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23"/>
      <c r="M639" s="24"/>
      <c r="N639" s="5"/>
      <c r="O639" s="5"/>
      <c r="P639" s="5"/>
      <c r="Q639" s="5"/>
      <c r="R639" s="5"/>
      <c r="S639" s="5"/>
      <c r="T639" s="5"/>
      <c r="U639" s="5"/>
      <c r="V639" s="5"/>
      <c r="W639" s="23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23"/>
      <c r="M640" s="24"/>
      <c r="N640" s="5"/>
      <c r="O640" s="5"/>
      <c r="P640" s="5"/>
      <c r="Q640" s="5"/>
      <c r="R640" s="5"/>
      <c r="S640" s="5"/>
      <c r="T640" s="5"/>
      <c r="U640" s="5"/>
      <c r="V640" s="5"/>
      <c r="W640" s="23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23"/>
      <c r="M641" s="24"/>
      <c r="N641" s="5"/>
      <c r="O641" s="5"/>
      <c r="P641" s="5"/>
      <c r="Q641" s="5"/>
      <c r="R641" s="5"/>
      <c r="S641" s="5"/>
      <c r="T641" s="5"/>
      <c r="U641" s="5"/>
      <c r="V641" s="5"/>
      <c r="W641" s="23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23"/>
      <c r="M642" s="24"/>
      <c r="N642" s="5"/>
      <c r="O642" s="5"/>
      <c r="P642" s="5"/>
      <c r="Q642" s="5"/>
      <c r="R642" s="5"/>
      <c r="S642" s="5"/>
      <c r="T642" s="5"/>
      <c r="U642" s="5"/>
      <c r="V642" s="5"/>
      <c r="W642" s="23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23"/>
      <c r="M643" s="24"/>
      <c r="N643" s="5"/>
      <c r="O643" s="5"/>
      <c r="P643" s="5"/>
      <c r="Q643" s="5"/>
      <c r="R643" s="5"/>
      <c r="S643" s="5"/>
      <c r="T643" s="5"/>
      <c r="U643" s="5"/>
      <c r="V643" s="5"/>
      <c r="W643" s="23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23"/>
      <c r="M644" s="24"/>
      <c r="N644" s="5"/>
      <c r="O644" s="5"/>
      <c r="P644" s="5"/>
      <c r="Q644" s="5"/>
      <c r="R644" s="5"/>
      <c r="S644" s="5"/>
      <c r="T644" s="5"/>
      <c r="U644" s="5"/>
      <c r="V644" s="5"/>
      <c r="W644" s="23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23"/>
      <c r="M645" s="24"/>
      <c r="N645" s="5"/>
      <c r="O645" s="5"/>
      <c r="P645" s="5"/>
      <c r="Q645" s="5"/>
      <c r="R645" s="5"/>
      <c r="S645" s="5"/>
      <c r="T645" s="5"/>
      <c r="U645" s="5"/>
      <c r="V645" s="5"/>
      <c r="W645" s="23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23"/>
      <c r="M646" s="24"/>
      <c r="N646" s="5"/>
      <c r="O646" s="5"/>
      <c r="P646" s="5"/>
      <c r="Q646" s="5"/>
      <c r="R646" s="5"/>
      <c r="S646" s="5"/>
      <c r="T646" s="5"/>
      <c r="U646" s="5"/>
      <c r="V646" s="5"/>
      <c r="W646" s="23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23"/>
      <c r="M647" s="24"/>
      <c r="N647" s="5"/>
      <c r="O647" s="5"/>
      <c r="P647" s="5"/>
      <c r="Q647" s="5"/>
      <c r="R647" s="5"/>
      <c r="S647" s="5"/>
      <c r="T647" s="5"/>
      <c r="U647" s="5"/>
      <c r="V647" s="5"/>
      <c r="W647" s="23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23"/>
      <c r="M648" s="24"/>
      <c r="N648" s="5"/>
      <c r="O648" s="5"/>
      <c r="P648" s="5"/>
      <c r="Q648" s="5"/>
      <c r="R648" s="5"/>
      <c r="S648" s="5"/>
      <c r="T648" s="5"/>
      <c r="U648" s="5"/>
      <c r="V648" s="5"/>
      <c r="W648" s="23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23"/>
      <c r="M649" s="24"/>
      <c r="N649" s="5"/>
      <c r="O649" s="5"/>
      <c r="P649" s="5"/>
      <c r="Q649" s="5"/>
      <c r="R649" s="5"/>
      <c r="S649" s="5"/>
      <c r="T649" s="5"/>
      <c r="U649" s="5"/>
      <c r="V649" s="5"/>
      <c r="W649" s="23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23"/>
      <c r="M650" s="24"/>
      <c r="N650" s="5"/>
      <c r="O650" s="5"/>
      <c r="P650" s="5"/>
      <c r="Q650" s="5"/>
      <c r="R650" s="5"/>
      <c r="S650" s="5"/>
      <c r="T650" s="5"/>
      <c r="U650" s="5"/>
      <c r="V650" s="5"/>
      <c r="W650" s="23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23"/>
      <c r="M651" s="24"/>
      <c r="N651" s="5"/>
      <c r="O651" s="5"/>
      <c r="P651" s="5"/>
      <c r="Q651" s="5"/>
      <c r="R651" s="5"/>
      <c r="S651" s="5"/>
      <c r="T651" s="5"/>
      <c r="U651" s="5"/>
      <c r="V651" s="5"/>
      <c r="W651" s="23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23"/>
      <c r="M652" s="24"/>
      <c r="N652" s="5"/>
      <c r="O652" s="5"/>
      <c r="P652" s="5"/>
      <c r="Q652" s="5"/>
      <c r="R652" s="5"/>
      <c r="S652" s="5"/>
      <c r="T652" s="5"/>
      <c r="U652" s="5"/>
      <c r="V652" s="5"/>
      <c r="W652" s="23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23"/>
      <c r="M653" s="24"/>
      <c r="N653" s="5"/>
      <c r="O653" s="5"/>
      <c r="P653" s="5"/>
      <c r="Q653" s="5"/>
      <c r="R653" s="5"/>
      <c r="S653" s="5"/>
      <c r="T653" s="5"/>
      <c r="U653" s="5"/>
      <c r="V653" s="5"/>
      <c r="W653" s="23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23"/>
      <c r="M654" s="24"/>
      <c r="N654" s="5"/>
      <c r="O654" s="5"/>
      <c r="P654" s="5"/>
      <c r="Q654" s="5"/>
      <c r="R654" s="5"/>
      <c r="S654" s="5"/>
      <c r="T654" s="5"/>
      <c r="U654" s="5"/>
      <c r="V654" s="5"/>
      <c r="W654" s="23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23"/>
      <c r="M655" s="24"/>
      <c r="N655" s="5"/>
      <c r="O655" s="5"/>
      <c r="P655" s="5"/>
      <c r="Q655" s="5"/>
      <c r="R655" s="5"/>
      <c r="S655" s="5"/>
      <c r="T655" s="5"/>
      <c r="U655" s="5"/>
      <c r="V655" s="5"/>
      <c r="W655" s="23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23"/>
      <c r="M656" s="24"/>
      <c r="N656" s="5"/>
      <c r="O656" s="5"/>
      <c r="P656" s="5"/>
      <c r="Q656" s="5"/>
      <c r="R656" s="5"/>
      <c r="S656" s="5"/>
      <c r="T656" s="5"/>
      <c r="U656" s="5"/>
      <c r="V656" s="5"/>
      <c r="W656" s="23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23"/>
      <c r="M657" s="24"/>
      <c r="N657" s="5"/>
      <c r="O657" s="5"/>
      <c r="P657" s="5"/>
      <c r="Q657" s="5"/>
      <c r="R657" s="5"/>
      <c r="S657" s="5"/>
      <c r="T657" s="5"/>
      <c r="U657" s="5"/>
      <c r="V657" s="5"/>
      <c r="W657" s="23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23"/>
      <c r="M658" s="24"/>
      <c r="N658" s="5"/>
      <c r="O658" s="5"/>
      <c r="P658" s="5"/>
      <c r="Q658" s="5"/>
      <c r="R658" s="5"/>
      <c r="S658" s="5"/>
      <c r="T658" s="5"/>
      <c r="U658" s="5"/>
      <c r="V658" s="5"/>
      <c r="W658" s="23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23"/>
      <c r="M659" s="24"/>
      <c r="N659" s="5"/>
      <c r="O659" s="5"/>
      <c r="P659" s="5"/>
      <c r="Q659" s="5"/>
      <c r="R659" s="5"/>
      <c r="S659" s="5"/>
      <c r="T659" s="5"/>
      <c r="U659" s="5"/>
      <c r="V659" s="5"/>
      <c r="W659" s="23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23"/>
      <c r="M660" s="24"/>
      <c r="N660" s="5"/>
      <c r="O660" s="5"/>
      <c r="P660" s="5"/>
      <c r="Q660" s="5"/>
      <c r="R660" s="5"/>
      <c r="S660" s="5"/>
      <c r="T660" s="5"/>
      <c r="U660" s="5"/>
      <c r="V660" s="5"/>
      <c r="W660" s="23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23"/>
      <c r="M661" s="24"/>
      <c r="N661" s="5"/>
      <c r="O661" s="5"/>
      <c r="P661" s="5"/>
      <c r="Q661" s="5"/>
      <c r="R661" s="5"/>
      <c r="S661" s="5"/>
      <c r="T661" s="5"/>
      <c r="U661" s="5"/>
      <c r="V661" s="5"/>
      <c r="W661" s="23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23"/>
      <c r="M662" s="24"/>
      <c r="N662" s="5"/>
      <c r="O662" s="5"/>
      <c r="P662" s="5"/>
      <c r="Q662" s="5"/>
      <c r="R662" s="5"/>
      <c r="S662" s="5"/>
      <c r="T662" s="5"/>
      <c r="U662" s="5"/>
      <c r="V662" s="5"/>
      <c r="W662" s="23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23"/>
      <c r="M663" s="24"/>
      <c r="N663" s="5"/>
      <c r="O663" s="5"/>
      <c r="P663" s="5"/>
      <c r="Q663" s="5"/>
      <c r="R663" s="5"/>
      <c r="S663" s="5"/>
      <c r="T663" s="5"/>
      <c r="U663" s="5"/>
      <c r="V663" s="5"/>
      <c r="W663" s="23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23"/>
      <c r="M664" s="24"/>
      <c r="N664" s="5"/>
      <c r="O664" s="5"/>
      <c r="P664" s="5"/>
      <c r="Q664" s="5"/>
      <c r="R664" s="5"/>
      <c r="S664" s="5"/>
      <c r="T664" s="5"/>
      <c r="U664" s="5"/>
      <c r="V664" s="5"/>
      <c r="W664" s="23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23"/>
      <c r="M665" s="24"/>
      <c r="N665" s="5"/>
      <c r="O665" s="5"/>
      <c r="P665" s="5"/>
      <c r="Q665" s="5"/>
      <c r="R665" s="5"/>
      <c r="S665" s="5"/>
      <c r="T665" s="5"/>
      <c r="U665" s="5"/>
      <c r="V665" s="5"/>
      <c r="W665" s="23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23"/>
      <c r="M666" s="24"/>
      <c r="N666" s="5"/>
      <c r="O666" s="5"/>
      <c r="P666" s="5"/>
      <c r="Q666" s="5"/>
      <c r="R666" s="5"/>
      <c r="S666" s="5"/>
      <c r="T666" s="5"/>
      <c r="U666" s="5"/>
      <c r="V666" s="5"/>
      <c r="W666" s="23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23"/>
      <c r="M667" s="24"/>
      <c r="N667" s="5"/>
      <c r="O667" s="5"/>
      <c r="P667" s="5"/>
      <c r="Q667" s="5"/>
      <c r="R667" s="5"/>
      <c r="S667" s="5"/>
      <c r="T667" s="5"/>
      <c r="U667" s="5"/>
      <c r="V667" s="5"/>
      <c r="W667" s="23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23"/>
      <c r="M668" s="24"/>
      <c r="N668" s="5"/>
      <c r="O668" s="5"/>
      <c r="P668" s="5"/>
      <c r="Q668" s="5"/>
      <c r="R668" s="5"/>
      <c r="S668" s="5"/>
      <c r="T668" s="5"/>
      <c r="U668" s="5"/>
      <c r="V668" s="5"/>
      <c r="W668" s="23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23"/>
      <c r="M669" s="24"/>
      <c r="N669" s="5"/>
      <c r="O669" s="5"/>
      <c r="P669" s="5"/>
      <c r="Q669" s="5"/>
      <c r="R669" s="5"/>
      <c r="S669" s="5"/>
      <c r="T669" s="5"/>
      <c r="U669" s="5"/>
      <c r="V669" s="5"/>
      <c r="W669" s="23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23"/>
      <c r="M670" s="24"/>
      <c r="N670" s="5"/>
      <c r="O670" s="5"/>
      <c r="P670" s="5"/>
      <c r="Q670" s="5"/>
      <c r="R670" s="5"/>
      <c r="S670" s="5"/>
      <c r="T670" s="5"/>
      <c r="U670" s="5"/>
      <c r="V670" s="5"/>
      <c r="W670" s="23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23"/>
      <c r="M671" s="24"/>
      <c r="N671" s="5"/>
      <c r="O671" s="5"/>
      <c r="P671" s="5"/>
      <c r="Q671" s="5"/>
      <c r="R671" s="5"/>
      <c r="S671" s="5"/>
      <c r="T671" s="5"/>
      <c r="U671" s="5"/>
      <c r="V671" s="5"/>
      <c r="W671" s="23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23"/>
      <c r="M672" s="24"/>
      <c r="N672" s="5"/>
      <c r="O672" s="5"/>
      <c r="P672" s="5"/>
      <c r="Q672" s="5"/>
      <c r="R672" s="5"/>
      <c r="S672" s="5"/>
      <c r="T672" s="5"/>
      <c r="U672" s="5"/>
      <c r="V672" s="5"/>
      <c r="W672" s="23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23"/>
      <c r="M673" s="24"/>
      <c r="N673" s="5"/>
      <c r="O673" s="5"/>
      <c r="P673" s="5"/>
      <c r="Q673" s="5"/>
      <c r="R673" s="5"/>
      <c r="S673" s="5"/>
      <c r="T673" s="5"/>
      <c r="U673" s="5"/>
      <c r="V673" s="5"/>
      <c r="W673" s="23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23"/>
      <c r="M674" s="24"/>
      <c r="N674" s="5"/>
      <c r="O674" s="5"/>
      <c r="P674" s="5"/>
      <c r="Q674" s="5"/>
      <c r="R674" s="5"/>
      <c r="S674" s="5"/>
      <c r="T674" s="5"/>
      <c r="U674" s="5"/>
      <c r="V674" s="5"/>
      <c r="W674" s="23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23"/>
      <c r="M675" s="24"/>
      <c r="N675" s="5"/>
      <c r="O675" s="5"/>
      <c r="P675" s="5"/>
      <c r="Q675" s="5"/>
      <c r="R675" s="5"/>
      <c r="S675" s="5"/>
      <c r="T675" s="5"/>
      <c r="U675" s="5"/>
      <c r="V675" s="5"/>
      <c r="W675" s="23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23"/>
      <c r="M676" s="24"/>
      <c r="N676" s="5"/>
      <c r="O676" s="5"/>
      <c r="P676" s="5"/>
      <c r="Q676" s="5"/>
      <c r="R676" s="5"/>
      <c r="S676" s="5"/>
      <c r="T676" s="5"/>
      <c r="U676" s="5"/>
      <c r="V676" s="5"/>
      <c r="W676" s="23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23"/>
      <c r="M677" s="24"/>
      <c r="N677" s="5"/>
      <c r="O677" s="5"/>
      <c r="P677" s="5"/>
      <c r="Q677" s="5"/>
      <c r="R677" s="5"/>
      <c r="S677" s="5"/>
      <c r="T677" s="5"/>
      <c r="U677" s="5"/>
      <c r="V677" s="5"/>
      <c r="W677" s="23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23"/>
      <c r="M678" s="24"/>
      <c r="N678" s="5"/>
      <c r="O678" s="5"/>
      <c r="P678" s="5"/>
      <c r="Q678" s="5"/>
      <c r="R678" s="5"/>
      <c r="S678" s="5"/>
      <c r="T678" s="5"/>
      <c r="U678" s="5"/>
      <c r="V678" s="5"/>
      <c r="W678" s="23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23"/>
      <c r="M679" s="24"/>
      <c r="N679" s="5"/>
      <c r="O679" s="5"/>
      <c r="P679" s="5"/>
      <c r="Q679" s="5"/>
      <c r="R679" s="5"/>
      <c r="S679" s="5"/>
      <c r="T679" s="5"/>
      <c r="U679" s="5"/>
      <c r="V679" s="5"/>
      <c r="W679" s="23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23"/>
      <c r="M680" s="24"/>
      <c r="N680" s="5"/>
      <c r="O680" s="5"/>
      <c r="P680" s="5"/>
      <c r="Q680" s="5"/>
      <c r="R680" s="5"/>
      <c r="S680" s="5"/>
      <c r="T680" s="5"/>
      <c r="U680" s="5"/>
      <c r="V680" s="5"/>
      <c r="W680" s="23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23"/>
      <c r="M681" s="24"/>
      <c r="N681" s="5"/>
      <c r="O681" s="5"/>
      <c r="P681" s="5"/>
      <c r="Q681" s="5"/>
      <c r="R681" s="5"/>
      <c r="S681" s="5"/>
      <c r="T681" s="5"/>
      <c r="U681" s="5"/>
      <c r="V681" s="5"/>
      <c r="W681" s="23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23"/>
      <c r="M682" s="24"/>
      <c r="N682" s="5"/>
      <c r="O682" s="5"/>
      <c r="P682" s="5"/>
      <c r="Q682" s="5"/>
      <c r="R682" s="5"/>
      <c r="S682" s="5"/>
      <c r="T682" s="5"/>
      <c r="U682" s="5"/>
      <c r="V682" s="5"/>
      <c r="W682" s="23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23"/>
      <c r="M683" s="24"/>
      <c r="N683" s="5"/>
      <c r="O683" s="5"/>
      <c r="P683" s="5"/>
      <c r="Q683" s="5"/>
      <c r="R683" s="5"/>
      <c r="S683" s="5"/>
      <c r="T683" s="5"/>
      <c r="U683" s="5"/>
      <c r="V683" s="5"/>
      <c r="W683" s="23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23"/>
      <c r="M684" s="24"/>
      <c r="N684" s="5"/>
      <c r="O684" s="5"/>
      <c r="P684" s="5"/>
      <c r="Q684" s="5"/>
      <c r="R684" s="5"/>
      <c r="S684" s="5"/>
      <c r="T684" s="5"/>
      <c r="U684" s="5"/>
      <c r="V684" s="5"/>
      <c r="W684" s="23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23"/>
      <c r="M685" s="24"/>
      <c r="N685" s="5"/>
      <c r="O685" s="5"/>
      <c r="P685" s="5"/>
      <c r="Q685" s="5"/>
      <c r="R685" s="5"/>
      <c r="S685" s="5"/>
      <c r="T685" s="5"/>
      <c r="U685" s="5"/>
      <c r="V685" s="5"/>
      <c r="W685" s="23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23"/>
      <c r="M686" s="24"/>
      <c r="N686" s="5"/>
      <c r="O686" s="5"/>
      <c r="P686" s="5"/>
      <c r="Q686" s="5"/>
      <c r="R686" s="5"/>
      <c r="S686" s="5"/>
      <c r="T686" s="5"/>
      <c r="U686" s="5"/>
      <c r="V686" s="5"/>
      <c r="W686" s="23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23"/>
      <c r="M687" s="24"/>
      <c r="N687" s="5"/>
      <c r="O687" s="5"/>
      <c r="P687" s="5"/>
      <c r="Q687" s="5"/>
      <c r="R687" s="5"/>
      <c r="S687" s="5"/>
      <c r="T687" s="5"/>
      <c r="U687" s="5"/>
      <c r="V687" s="5"/>
      <c r="W687" s="23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23"/>
      <c r="M688" s="24"/>
      <c r="N688" s="5"/>
      <c r="O688" s="5"/>
      <c r="P688" s="5"/>
      <c r="Q688" s="5"/>
      <c r="R688" s="5"/>
      <c r="S688" s="5"/>
      <c r="T688" s="5"/>
      <c r="U688" s="5"/>
      <c r="V688" s="5"/>
      <c r="W688" s="23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23"/>
      <c r="M689" s="24"/>
      <c r="N689" s="5"/>
      <c r="O689" s="5"/>
      <c r="P689" s="5"/>
      <c r="Q689" s="5"/>
      <c r="R689" s="5"/>
      <c r="S689" s="5"/>
      <c r="T689" s="5"/>
      <c r="U689" s="5"/>
      <c r="V689" s="5"/>
      <c r="W689" s="23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23"/>
      <c r="M690" s="24"/>
      <c r="N690" s="5"/>
      <c r="O690" s="5"/>
      <c r="P690" s="5"/>
      <c r="Q690" s="5"/>
      <c r="R690" s="5"/>
      <c r="S690" s="5"/>
      <c r="T690" s="5"/>
      <c r="U690" s="5"/>
      <c r="V690" s="5"/>
      <c r="W690" s="23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23"/>
      <c r="M691" s="24"/>
      <c r="N691" s="5"/>
      <c r="O691" s="5"/>
      <c r="P691" s="5"/>
      <c r="Q691" s="5"/>
      <c r="R691" s="5"/>
      <c r="S691" s="5"/>
      <c r="T691" s="5"/>
      <c r="U691" s="5"/>
      <c r="V691" s="5"/>
      <c r="W691" s="23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23"/>
      <c r="M692" s="24"/>
      <c r="N692" s="5"/>
      <c r="O692" s="5"/>
      <c r="P692" s="5"/>
      <c r="Q692" s="5"/>
      <c r="R692" s="5"/>
      <c r="S692" s="5"/>
      <c r="T692" s="5"/>
      <c r="U692" s="5"/>
      <c r="V692" s="5"/>
      <c r="W692" s="23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23"/>
      <c r="M693" s="24"/>
      <c r="N693" s="5"/>
      <c r="O693" s="5"/>
      <c r="P693" s="5"/>
      <c r="Q693" s="5"/>
      <c r="R693" s="5"/>
      <c r="S693" s="5"/>
      <c r="T693" s="5"/>
      <c r="U693" s="5"/>
      <c r="V693" s="5"/>
      <c r="W693" s="23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23"/>
      <c r="M694" s="24"/>
      <c r="N694" s="5"/>
      <c r="O694" s="5"/>
      <c r="P694" s="5"/>
      <c r="Q694" s="5"/>
      <c r="R694" s="5"/>
      <c r="S694" s="5"/>
      <c r="T694" s="5"/>
      <c r="U694" s="5"/>
      <c r="V694" s="5"/>
      <c r="W694" s="23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23"/>
      <c r="M695" s="24"/>
      <c r="N695" s="5"/>
      <c r="O695" s="5"/>
      <c r="P695" s="5"/>
      <c r="Q695" s="5"/>
      <c r="R695" s="5"/>
      <c r="S695" s="5"/>
      <c r="T695" s="5"/>
      <c r="U695" s="5"/>
      <c r="V695" s="5"/>
      <c r="W695" s="23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23"/>
      <c r="M696" s="24"/>
      <c r="N696" s="5"/>
      <c r="O696" s="5"/>
      <c r="P696" s="5"/>
      <c r="Q696" s="5"/>
      <c r="R696" s="5"/>
      <c r="S696" s="5"/>
      <c r="T696" s="5"/>
      <c r="U696" s="5"/>
      <c r="V696" s="5"/>
      <c r="W696" s="23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23"/>
      <c r="M697" s="24"/>
      <c r="N697" s="5"/>
      <c r="O697" s="5"/>
      <c r="P697" s="5"/>
      <c r="Q697" s="5"/>
      <c r="R697" s="5"/>
      <c r="S697" s="5"/>
      <c r="T697" s="5"/>
      <c r="U697" s="5"/>
      <c r="V697" s="5"/>
      <c r="W697" s="23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23"/>
      <c r="M698" s="24"/>
      <c r="N698" s="5"/>
      <c r="O698" s="5"/>
      <c r="P698" s="5"/>
      <c r="Q698" s="5"/>
      <c r="R698" s="5"/>
      <c r="S698" s="5"/>
      <c r="T698" s="5"/>
      <c r="U698" s="5"/>
      <c r="V698" s="5"/>
      <c r="W698" s="23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23"/>
      <c r="M699" s="24"/>
      <c r="N699" s="5"/>
      <c r="O699" s="5"/>
      <c r="P699" s="5"/>
      <c r="Q699" s="5"/>
      <c r="R699" s="5"/>
      <c r="S699" s="5"/>
      <c r="T699" s="5"/>
      <c r="U699" s="5"/>
      <c r="V699" s="5"/>
      <c r="W699" s="23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23"/>
      <c r="M700" s="24"/>
      <c r="N700" s="5"/>
      <c r="O700" s="5"/>
      <c r="P700" s="5"/>
      <c r="Q700" s="5"/>
      <c r="R700" s="5"/>
      <c r="S700" s="5"/>
      <c r="T700" s="5"/>
      <c r="U700" s="5"/>
      <c r="V700" s="5"/>
      <c r="W700" s="23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23"/>
      <c r="M701" s="24"/>
      <c r="N701" s="5"/>
      <c r="O701" s="5"/>
      <c r="P701" s="5"/>
      <c r="Q701" s="5"/>
      <c r="R701" s="5"/>
      <c r="S701" s="5"/>
      <c r="T701" s="5"/>
      <c r="U701" s="5"/>
      <c r="V701" s="5"/>
      <c r="W701" s="23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23"/>
      <c r="M702" s="24"/>
      <c r="N702" s="5"/>
      <c r="O702" s="5"/>
      <c r="P702" s="5"/>
      <c r="Q702" s="5"/>
      <c r="R702" s="5"/>
      <c r="S702" s="5"/>
      <c r="T702" s="5"/>
      <c r="U702" s="5"/>
      <c r="V702" s="5"/>
      <c r="W702" s="23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23"/>
      <c r="M703" s="24"/>
      <c r="N703" s="5"/>
      <c r="O703" s="5"/>
      <c r="P703" s="5"/>
      <c r="Q703" s="5"/>
      <c r="R703" s="5"/>
      <c r="S703" s="5"/>
      <c r="T703" s="5"/>
      <c r="U703" s="5"/>
      <c r="V703" s="5"/>
      <c r="W703" s="23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23"/>
      <c r="M704" s="24"/>
      <c r="N704" s="5"/>
      <c r="O704" s="5"/>
      <c r="P704" s="5"/>
      <c r="Q704" s="5"/>
      <c r="R704" s="5"/>
      <c r="S704" s="5"/>
      <c r="T704" s="5"/>
      <c r="U704" s="5"/>
      <c r="V704" s="5"/>
      <c r="W704" s="23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23"/>
      <c r="M705" s="24"/>
      <c r="N705" s="5"/>
      <c r="O705" s="5"/>
      <c r="P705" s="5"/>
      <c r="Q705" s="5"/>
      <c r="R705" s="5"/>
      <c r="S705" s="5"/>
      <c r="T705" s="5"/>
      <c r="U705" s="5"/>
      <c r="V705" s="5"/>
      <c r="W705" s="23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23"/>
      <c r="M706" s="24"/>
      <c r="N706" s="5"/>
      <c r="O706" s="5"/>
      <c r="P706" s="5"/>
      <c r="Q706" s="5"/>
      <c r="R706" s="5"/>
      <c r="S706" s="5"/>
      <c r="T706" s="5"/>
      <c r="U706" s="5"/>
      <c r="V706" s="5"/>
      <c r="W706" s="23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23"/>
      <c r="M707" s="24"/>
      <c r="N707" s="5"/>
      <c r="O707" s="5"/>
      <c r="P707" s="5"/>
      <c r="Q707" s="5"/>
      <c r="R707" s="5"/>
      <c r="S707" s="5"/>
      <c r="T707" s="5"/>
      <c r="U707" s="5"/>
      <c r="V707" s="5"/>
      <c r="W707" s="23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23"/>
      <c r="M708" s="24"/>
      <c r="N708" s="5"/>
      <c r="O708" s="5"/>
      <c r="P708" s="5"/>
      <c r="Q708" s="5"/>
      <c r="R708" s="5"/>
      <c r="S708" s="5"/>
      <c r="T708" s="5"/>
      <c r="U708" s="5"/>
      <c r="V708" s="5"/>
      <c r="W708" s="23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23"/>
      <c r="M709" s="24"/>
      <c r="N709" s="5"/>
      <c r="O709" s="5"/>
      <c r="P709" s="5"/>
      <c r="Q709" s="5"/>
      <c r="R709" s="5"/>
      <c r="S709" s="5"/>
      <c r="T709" s="5"/>
      <c r="U709" s="5"/>
      <c r="V709" s="5"/>
      <c r="W709" s="23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23"/>
      <c r="M710" s="24"/>
      <c r="N710" s="5"/>
      <c r="O710" s="5"/>
      <c r="P710" s="5"/>
      <c r="Q710" s="5"/>
      <c r="R710" s="5"/>
      <c r="S710" s="5"/>
      <c r="T710" s="5"/>
      <c r="U710" s="5"/>
      <c r="V710" s="5"/>
      <c r="W710" s="23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23"/>
      <c r="M711" s="24"/>
      <c r="N711" s="5"/>
      <c r="O711" s="5"/>
      <c r="P711" s="5"/>
      <c r="Q711" s="5"/>
      <c r="R711" s="5"/>
      <c r="S711" s="5"/>
      <c r="T711" s="5"/>
      <c r="U711" s="5"/>
      <c r="V711" s="5"/>
      <c r="W711" s="23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23"/>
      <c r="M712" s="24"/>
      <c r="N712" s="5"/>
      <c r="O712" s="5"/>
      <c r="P712" s="5"/>
      <c r="Q712" s="5"/>
      <c r="R712" s="5"/>
      <c r="S712" s="5"/>
      <c r="T712" s="5"/>
      <c r="U712" s="5"/>
      <c r="V712" s="5"/>
      <c r="W712" s="23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23"/>
      <c r="M713" s="24"/>
      <c r="N713" s="5"/>
      <c r="O713" s="5"/>
      <c r="P713" s="5"/>
      <c r="Q713" s="5"/>
      <c r="R713" s="5"/>
      <c r="S713" s="5"/>
      <c r="T713" s="5"/>
      <c r="U713" s="5"/>
      <c r="V713" s="5"/>
      <c r="W713" s="23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23"/>
      <c r="M714" s="24"/>
      <c r="N714" s="5"/>
      <c r="O714" s="5"/>
      <c r="P714" s="5"/>
      <c r="Q714" s="5"/>
      <c r="R714" s="5"/>
      <c r="S714" s="5"/>
      <c r="T714" s="5"/>
      <c r="U714" s="5"/>
      <c r="V714" s="5"/>
      <c r="W714" s="23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23"/>
      <c r="M715" s="24"/>
      <c r="N715" s="5"/>
      <c r="O715" s="5"/>
      <c r="P715" s="5"/>
      <c r="Q715" s="5"/>
      <c r="R715" s="5"/>
      <c r="S715" s="5"/>
      <c r="T715" s="5"/>
      <c r="U715" s="5"/>
      <c r="V715" s="5"/>
      <c r="W715" s="23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23"/>
      <c r="M716" s="24"/>
      <c r="N716" s="5"/>
      <c r="O716" s="5"/>
      <c r="P716" s="5"/>
      <c r="Q716" s="5"/>
      <c r="R716" s="5"/>
      <c r="S716" s="5"/>
      <c r="T716" s="5"/>
      <c r="U716" s="5"/>
      <c r="V716" s="5"/>
      <c r="W716" s="23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23"/>
      <c r="M717" s="24"/>
      <c r="N717" s="5"/>
      <c r="O717" s="5"/>
      <c r="P717" s="5"/>
      <c r="Q717" s="5"/>
      <c r="R717" s="5"/>
      <c r="S717" s="5"/>
      <c r="T717" s="5"/>
      <c r="U717" s="5"/>
      <c r="V717" s="5"/>
      <c r="W717" s="23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23"/>
      <c r="M718" s="24"/>
      <c r="N718" s="5"/>
      <c r="O718" s="5"/>
      <c r="P718" s="5"/>
      <c r="Q718" s="5"/>
      <c r="R718" s="5"/>
      <c r="S718" s="5"/>
      <c r="T718" s="5"/>
      <c r="U718" s="5"/>
      <c r="V718" s="5"/>
      <c r="W718" s="23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23"/>
      <c r="M719" s="24"/>
      <c r="N719" s="5"/>
      <c r="O719" s="5"/>
      <c r="P719" s="5"/>
      <c r="Q719" s="5"/>
      <c r="R719" s="5"/>
      <c r="S719" s="5"/>
      <c r="T719" s="5"/>
      <c r="U719" s="5"/>
      <c r="V719" s="5"/>
      <c r="W719" s="23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23"/>
      <c r="M720" s="24"/>
      <c r="N720" s="5"/>
      <c r="O720" s="5"/>
      <c r="P720" s="5"/>
      <c r="Q720" s="5"/>
      <c r="R720" s="5"/>
      <c r="S720" s="5"/>
      <c r="T720" s="5"/>
      <c r="U720" s="5"/>
      <c r="V720" s="5"/>
      <c r="W720" s="23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23"/>
      <c r="M721" s="24"/>
      <c r="N721" s="5"/>
      <c r="O721" s="5"/>
      <c r="P721" s="5"/>
      <c r="Q721" s="5"/>
      <c r="R721" s="5"/>
      <c r="S721" s="5"/>
      <c r="T721" s="5"/>
      <c r="U721" s="5"/>
      <c r="V721" s="5"/>
      <c r="W721" s="23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23"/>
      <c r="M722" s="24"/>
      <c r="N722" s="5"/>
      <c r="O722" s="5"/>
      <c r="P722" s="5"/>
      <c r="Q722" s="5"/>
      <c r="R722" s="5"/>
      <c r="S722" s="5"/>
      <c r="T722" s="5"/>
      <c r="U722" s="5"/>
      <c r="V722" s="5"/>
      <c r="W722" s="23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23"/>
      <c r="M723" s="24"/>
      <c r="N723" s="5"/>
      <c r="O723" s="5"/>
      <c r="P723" s="5"/>
      <c r="Q723" s="5"/>
      <c r="R723" s="5"/>
      <c r="S723" s="5"/>
      <c r="T723" s="5"/>
      <c r="U723" s="5"/>
      <c r="V723" s="5"/>
      <c r="W723" s="23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23"/>
      <c r="M724" s="24"/>
      <c r="N724" s="5"/>
      <c r="O724" s="5"/>
      <c r="P724" s="5"/>
      <c r="Q724" s="5"/>
      <c r="R724" s="5"/>
      <c r="S724" s="5"/>
      <c r="T724" s="5"/>
      <c r="U724" s="5"/>
      <c r="V724" s="5"/>
      <c r="W724" s="23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23"/>
      <c r="M725" s="24"/>
      <c r="N725" s="5"/>
      <c r="O725" s="5"/>
      <c r="P725" s="5"/>
      <c r="Q725" s="5"/>
      <c r="R725" s="5"/>
      <c r="S725" s="5"/>
      <c r="T725" s="5"/>
      <c r="U725" s="5"/>
      <c r="V725" s="5"/>
      <c r="W725" s="23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23"/>
      <c r="M726" s="24"/>
      <c r="N726" s="5"/>
      <c r="O726" s="5"/>
      <c r="P726" s="5"/>
      <c r="Q726" s="5"/>
      <c r="R726" s="5"/>
      <c r="S726" s="5"/>
      <c r="T726" s="5"/>
      <c r="U726" s="5"/>
      <c r="V726" s="5"/>
      <c r="W726" s="23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23"/>
      <c r="M727" s="24"/>
      <c r="N727" s="5"/>
      <c r="O727" s="5"/>
      <c r="P727" s="5"/>
      <c r="Q727" s="5"/>
      <c r="R727" s="5"/>
      <c r="S727" s="5"/>
      <c r="T727" s="5"/>
      <c r="U727" s="5"/>
      <c r="V727" s="5"/>
      <c r="W727" s="23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23"/>
      <c r="M728" s="24"/>
      <c r="N728" s="5"/>
      <c r="O728" s="5"/>
      <c r="P728" s="5"/>
      <c r="Q728" s="5"/>
      <c r="R728" s="5"/>
      <c r="S728" s="5"/>
      <c r="T728" s="5"/>
      <c r="U728" s="5"/>
      <c r="V728" s="5"/>
      <c r="W728" s="23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23"/>
      <c r="M729" s="24"/>
      <c r="N729" s="5"/>
      <c r="O729" s="5"/>
      <c r="P729" s="5"/>
      <c r="Q729" s="5"/>
      <c r="R729" s="5"/>
      <c r="S729" s="5"/>
      <c r="T729" s="5"/>
      <c r="U729" s="5"/>
      <c r="V729" s="5"/>
      <c r="W729" s="23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23"/>
      <c r="M730" s="24"/>
      <c r="N730" s="5"/>
      <c r="O730" s="5"/>
      <c r="P730" s="5"/>
      <c r="Q730" s="5"/>
      <c r="R730" s="5"/>
      <c r="S730" s="5"/>
      <c r="T730" s="5"/>
      <c r="U730" s="5"/>
      <c r="V730" s="5"/>
      <c r="W730" s="23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23"/>
      <c r="M731" s="24"/>
      <c r="N731" s="5"/>
      <c r="O731" s="5"/>
      <c r="P731" s="5"/>
      <c r="Q731" s="5"/>
      <c r="R731" s="5"/>
      <c r="S731" s="5"/>
      <c r="T731" s="5"/>
      <c r="U731" s="5"/>
      <c r="V731" s="5"/>
      <c r="W731" s="23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23"/>
      <c r="M732" s="24"/>
      <c r="N732" s="5"/>
      <c r="O732" s="5"/>
      <c r="P732" s="5"/>
      <c r="Q732" s="5"/>
      <c r="R732" s="5"/>
      <c r="S732" s="5"/>
      <c r="T732" s="5"/>
      <c r="U732" s="5"/>
      <c r="V732" s="5"/>
      <c r="W732" s="23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23"/>
      <c r="M733" s="24"/>
      <c r="N733" s="5"/>
      <c r="O733" s="5"/>
      <c r="P733" s="5"/>
      <c r="Q733" s="5"/>
      <c r="R733" s="5"/>
      <c r="S733" s="5"/>
      <c r="T733" s="5"/>
      <c r="U733" s="5"/>
      <c r="V733" s="5"/>
      <c r="W733" s="23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23"/>
      <c r="M734" s="24"/>
      <c r="N734" s="5"/>
      <c r="O734" s="5"/>
      <c r="P734" s="5"/>
      <c r="Q734" s="5"/>
      <c r="R734" s="5"/>
      <c r="S734" s="5"/>
      <c r="T734" s="5"/>
      <c r="U734" s="5"/>
      <c r="V734" s="5"/>
      <c r="W734" s="23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23"/>
      <c r="M735" s="24"/>
      <c r="N735" s="5"/>
      <c r="O735" s="5"/>
      <c r="P735" s="5"/>
      <c r="Q735" s="5"/>
      <c r="R735" s="5"/>
      <c r="S735" s="5"/>
      <c r="T735" s="5"/>
      <c r="U735" s="5"/>
      <c r="V735" s="5"/>
      <c r="W735" s="23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23"/>
      <c r="M736" s="24"/>
      <c r="N736" s="5"/>
      <c r="O736" s="5"/>
      <c r="P736" s="5"/>
      <c r="Q736" s="5"/>
      <c r="R736" s="5"/>
      <c r="S736" s="5"/>
      <c r="T736" s="5"/>
      <c r="U736" s="5"/>
      <c r="V736" s="5"/>
      <c r="W736" s="23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23"/>
      <c r="M737" s="24"/>
      <c r="N737" s="5"/>
      <c r="O737" s="5"/>
      <c r="P737" s="5"/>
      <c r="Q737" s="5"/>
      <c r="R737" s="5"/>
      <c r="S737" s="5"/>
      <c r="T737" s="5"/>
      <c r="U737" s="5"/>
      <c r="V737" s="5"/>
      <c r="W737" s="23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23"/>
      <c r="M738" s="24"/>
      <c r="N738" s="5"/>
      <c r="O738" s="5"/>
      <c r="P738" s="5"/>
      <c r="Q738" s="5"/>
      <c r="R738" s="5"/>
      <c r="S738" s="5"/>
      <c r="T738" s="5"/>
      <c r="U738" s="5"/>
      <c r="V738" s="5"/>
      <c r="W738" s="23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23"/>
      <c r="M739" s="24"/>
      <c r="N739" s="5"/>
      <c r="O739" s="5"/>
      <c r="P739" s="5"/>
      <c r="Q739" s="5"/>
      <c r="R739" s="5"/>
      <c r="S739" s="5"/>
      <c r="T739" s="5"/>
      <c r="U739" s="5"/>
      <c r="V739" s="5"/>
      <c r="W739" s="23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23"/>
      <c r="M740" s="24"/>
      <c r="N740" s="5"/>
      <c r="O740" s="5"/>
      <c r="P740" s="5"/>
      <c r="Q740" s="5"/>
      <c r="R740" s="5"/>
      <c r="S740" s="5"/>
      <c r="T740" s="5"/>
      <c r="U740" s="5"/>
      <c r="V740" s="5"/>
      <c r="W740" s="23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23"/>
      <c r="M741" s="24"/>
      <c r="N741" s="5"/>
      <c r="O741" s="5"/>
      <c r="P741" s="5"/>
      <c r="Q741" s="5"/>
      <c r="R741" s="5"/>
      <c r="S741" s="5"/>
      <c r="T741" s="5"/>
      <c r="U741" s="5"/>
      <c r="V741" s="5"/>
      <c r="W741" s="23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23"/>
      <c r="M742" s="24"/>
      <c r="N742" s="5"/>
      <c r="O742" s="5"/>
      <c r="P742" s="5"/>
      <c r="Q742" s="5"/>
      <c r="R742" s="5"/>
      <c r="S742" s="5"/>
      <c r="T742" s="5"/>
      <c r="U742" s="5"/>
      <c r="V742" s="5"/>
      <c r="W742" s="23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23"/>
      <c r="M743" s="24"/>
      <c r="N743" s="5"/>
      <c r="O743" s="5"/>
      <c r="P743" s="5"/>
      <c r="Q743" s="5"/>
      <c r="R743" s="5"/>
      <c r="S743" s="5"/>
      <c r="T743" s="5"/>
      <c r="U743" s="5"/>
      <c r="V743" s="5"/>
      <c r="W743" s="23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23"/>
      <c r="M744" s="24"/>
      <c r="N744" s="5"/>
      <c r="O744" s="5"/>
      <c r="P744" s="5"/>
      <c r="Q744" s="5"/>
      <c r="R744" s="5"/>
      <c r="S744" s="5"/>
      <c r="T744" s="5"/>
      <c r="U744" s="5"/>
      <c r="V744" s="5"/>
      <c r="W744" s="23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23"/>
      <c r="M745" s="24"/>
      <c r="N745" s="5"/>
      <c r="O745" s="5"/>
      <c r="P745" s="5"/>
      <c r="Q745" s="5"/>
      <c r="R745" s="5"/>
      <c r="S745" s="5"/>
      <c r="T745" s="5"/>
      <c r="U745" s="5"/>
      <c r="V745" s="5"/>
      <c r="W745" s="23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23"/>
      <c r="M746" s="24"/>
      <c r="N746" s="5"/>
      <c r="O746" s="5"/>
      <c r="P746" s="5"/>
      <c r="Q746" s="5"/>
      <c r="R746" s="5"/>
      <c r="S746" s="5"/>
      <c r="T746" s="5"/>
      <c r="U746" s="5"/>
      <c r="V746" s="5"/>
      <c r="W746" s="23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23"/>
      <c r="M747" s="24"/>
      <c r="N747" s="5"/>
      <c r="O747" s="5"/>
      <c r="P747" s="5"/>
      <c r="Q747" s="5"/>
      <c r="R747" s="5"/>
      <c r="S747" s="5"/>
      <c r="T747" s="5"/>
      <c r="U747" s="5"/>
      <c r="V747" s="5"/>
      <c r="W747" s="23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23"/>
      <c r="M748" s="24"/>
      <c r="N748" s="5"/>
      <c r="O748" s="5"/>
      <c r="P748" s="5"/>
      <c r="Q748" s="5"/>
      <c r="R748" s="5"/>
      <c r="S748" s="5"/>
      <c r="T748" s="5"/>
      <c r="U748" s="5"/>
      <c r="V748" s="5"/>
      <c r="W748" s="23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23"/>
      <c r="M749" s="24"/>
      <c r="N749" s="5"/>
      <c r="O749" s="5"/>
      <c r="P749" s="5"/>
      <c r="Q749" s="5"/>
      <c r="R749" s="5"/>
      <c r="S749" s="5"/>
      <c r="T749" s="5"/>
      <c r="U749" s="5"/>
      <c r="V749" s="5"/>
      <c r="W749" s="23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23"/>
      <c r="M750" s="24"/>
      <c r="N750" s="5"/>
      <c r="O750" s="5"/>
      <c r="P750" s="5"/>
      <c r="Q750" s="5"/>
      <c r="R750" s="5"/>
      <c r="S750" s="5"/>
      <c r="T750" s="5"/>
      <c r="U750" s="5"/>
      <c r="V750" s="5"/>
      <c r="W750" s="23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23"/>
      <c r="M751" s="24"/>
      <c r="N751" s="5"/>
      <c r="O751" s="5"/>
      <c r="P751" s="5"/>
      <c r="Q751" s="5"/>
      <c r="R751" s="5"/>
      <c r="S751" s="5"/>
      <c r="T751" s="5"/>
      <c r="U751" s="5"/>
      <c r="V751" s="5"/>
      <c r="W751" s="23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23"/>
      <c r="M752" s="24"/>
      <c r="N752" s="5"/>
      <c r="O752" s="5"/>
      <c r="P752" s="5"/>
      <c r="Q752" s="5"/>
      <c r="R752" s="5"/>
      <c r="S752" s="5"/>
      <c r="T752" s="5"/>
      <c r="U752" s="5"/>
      <c r="V752" s="5"/>
      <c r="W752" s="23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23"/>
      <c r="M753" s="24"/>
      <c r="N753" s="5"/>
      <c r="O753" s="5"/>
      <c r="P753" s="5"/>
      <c r="Q753" s="5"/>
      <c r="R753" s="5"/>
      <c r="S753" s="5"/>
      <c r="T753" s="5"/>
      <c r="U753" s="5"/>
      <c r="V753" s="5"/>
      <c r="W753" s="23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23"/>
      <c r="M754" s="24"/>
      <c r="N754" s="5"/>
      <c r="O754" s="5"/>
      <c r="P754" s="5"/>
      <c r="Q754" s="5"/>
      <c r="R754" s="5"/>
      <c r="S754" s="5"/>
      <c r="T754" s="5"/>
      <c r="U754" s="5"/>
      <c r="V754" s="5"/>
      <c r="W754" s="23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23"/>
      <c r="M755" s="24"/>
      <c r="N755" s="5"/>
      <c r="O755" s="5"/>
      <c r="P755" s="5"/>
      <c r="Q755" s="5"/>
      <c r="R755" s="5"/>
      <c r="S755" s="5"/>
      <c r="T755" s="5"/>
      <c r="U755" s="5"/>
      <c r="V755" s="5"/>
      <c r="W755" s="23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23"/>
      <c r="M756" s="24"/>
      <c r="N756" s="5"/>
      <c r="O756" s="5"/>
      <c r="P756" s="5"/>
      <c r="Q756" s="5"/>
      <c r="R756" s="5"/>
      <c r="S756" s="5"/>
      <c r="T756" s="5"/>
      <c r="U756" s="5"/>
      <c r="V756" s="5"/>
      <c r="W756" s="23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23"/>
      <c r="M757" s="24"/>
      <c r="N757" s="5"/>
      <c r="O757" s="5"/>
      <c r="P757" s="5"/>
      <c r="Q757" s="5"/>
      <c r="R757" s="5"/>
      <c r="S757" s="5"/>
      <c r="T757" s="5"/>
      <c r="U757" s="5"/>
      <c r="V757" s="5"/>
      <c r="W757" s="23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23"/>
      <c r="M758" s="24"/>
      <c r="N758" s="5"/>
      <c r="O758" s="5"/>
      <c r="P758" s="5"/>
      <c r="Q758" s="5"/>
      <c r="R758" s="5"/>
      <c r="S758" s="5"/>
      <c r="T758" s="5"/>
      <c r="U758" s="5"/>
      <c r="V758" s="5"/>
      <c r="W758" s="23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23"/>
      <c r="M759" s="24"/>
      <c r="N759" s="5"/>
      <c r="O759" s="5"/>
      <c r="P759" s="5"/>
      <c r="Q759" s="5"/>
      <c r="R759" s="5"/>
      <c r="S759" s="5"/>
      <c r="T759" s="5"/>
      <c r="U759" s="5"/>
      <c r="V759" s="5"/>
      <c r="W759" s="23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23"/>
      <c r="M760" s="24"/>
      <c r="N760" s="5"/>
      <c r="O760" s="5"/>
      <c r="P760" s="5"/>
      <c r="Q760" s="5"/>
      <c r="R760" s="5"/>
      <c r="S760" s="5"/>
      <c r="T760" s="5"/>
      <c r="U760" s="5"/>
      <c r="V760" s="5"/>
      <c r="W760" s="23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23"/>
      <c r="M761" s="24"/>
      <c r="N761" s="5"/>
      <c r="O761" s="5"/>
      <c r="P761" s="5"/>
      <c r="Q761" s="5"/>
      <c r="R761" s="5"/>
      <c r="S761" s="5"/>
      <c r="T761" s="5"/>
      <c r="U761" s="5"/>
      <c r="V761" s="5"/>
      <c r="W761" s="23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23"/>
      <c r="M762" s="24"/>
      <c r="N762" s="5"/>
      <c r="O762" s="5"/>
      <c r="P762" s="5"/>
      <c r="Q762" s="5"/>
      <c r="R762" s="5"/>
      <c r="S762" s="5"/>
      <c r="T762" s="5"/>
      <c r="U762" s="5"/>
      <c r="V762" s="5"/>
      <c r="W762" s="23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23"/>
      <c r="M763" s="24"/>
      <c r="N763" s="5"/>
      <c r="O763" s="5"/>
      <c r="P763" s="5"/>
      <c r="Q763" s="5"/>
      <c r="R763" s="5"/>
      <c r="S763" s="5"/>
      <c r="T763" s="5"/>
      <c r="U763" s="5"/>
      <c r="V763" s="5"/>
      <c r="W763" s="23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23"/>
      <c r="M764" s="24"/>
      <c r="N764" s="5"/>
      <c r="O764" s="5"/>
      <c r="P764" s="5"/>
      <c r="Q764" s="5"/>
      <c r="R764" s="5"/>
      <c r="S764" s="5"/>
      <c r="T764" s="5"/>
      <c r="U764" s="5"/>
      <c r="V764" s="5"/>
      <c r="W764" s="23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23"/>
      <c r="M765" s="24"/>
      <c r="N765" s="5"/>
      <c r="O765" s="5"/>
      <c r="P765" s="5"/>
      <c r="Q765" s="5"/>
      <c r="R765" s="5"/>
      <c r="S765" s="5"/>
      <c r="T765" s="5"/>
      <c r="U765" s="5"/>
      <c r="V765" s="5"/>
      <c r="W765" s="23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23"/>
      <c r="M766" s="24"/>
      <c r="N766" s="5"/>
      <c r="O766" s="5"/>
      <c r="P766" s="5"/>
      <c r="Q766" s="5"/>
      <c r="R766" s="5"/>
      <c r="S766" s="5"/>
      <c r="T766" s="5"/>
      <c r="U766" s="5"/>
      <c r="V766" s="5"/>
      <c r="W766" s="23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23"/>
      <c r="M767" s="24"/>
      <c r="N767" s="5"/>
      <c r="O767" s="5"/>
      <c r="P767" s="5"/>
      <c r="Q767" s="5"/>
      <c r="R767" s="5"/>
      <c r="S767" s="5"/>
      <c r="T767" s="5"/>
      <c r="U767" s="5"/>
      <c r="V767" s="5"/>
      <c r="W767" s="23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23"/>
      <c r="M768" s="24"/>
      <c r="N768" s="5"/>
      <c r="O768" s="5"/>
      <c r="P768" s="5"/>
      <c r="Q768" s="5"/>
      <c r="R768" s="5"/>
      <c r="S768" s="5"/>
      <c r="T768" s="5"/>
      <c r="U768" s="5"/>
      <c r="V768" s="5"/>
      <c r="W768" s="23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23"/>
      <c r="M769" s="24"/>
      <c r="N769" s="5"/>
      <c r="O769" s="5"/>
      <c r="P769" s="5"/>
      <c r="Q769" s="5"/>
      <c r="R769" s="5"/>
      <c r="S769" s="5"/>
      <c r="T769" s="5"/>
      <c r="U769" s="5"/>
      <c r="V769" s="5"/>
      <c r="W769" s="23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23"/>
      <c r="M770" s="24"/>
      <c r="N770" s="5"/>
      <c r="O770" s="5"/>
      <c r="P770" s="5"/>
      <c r="Q770" s="5"/>
      <c r="R770" s="5"/>
      <c r="S770" s="5"/>
      <c r="T770" s="5"/>
      <c r="U770" s="5"/>
      <c r="V770" s="5"/>
      <c r="W770" s="23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23"/>
      <c r="M771" s="24"/>
      <c r="N771" s="5"/>
      <c r="O771" s="5"/>
      <c r="P771" s="5"/>
      <c r="Q771" s="5"/>
      <c r="R771" s="5"/>
      <c r="S771" s="5"/>
      <c r="T771" s="5"/>
      <c r="U771" s="5"/>
      <c r="V771" s="5"/>
      <c r="W771" s="23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23"/>
      <c r="M772" s="24"/>
      <c r="N772" s="5"/>
      <c r="O772" s="5"/>
      <c r="P772" s="5"/>
      <c r="Q772" s="5"/>
      <c r="R772" s="5"/>
      <c r="S772" s="5"/>
      <c r="T772" s="5"/>
      <c r="U772" s="5"/>
      <c r="V772" s="5"/>
      <c r="W772" s="23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23"/>
      <c r="M773" s="24"/>
      <c r="N773" s="5"/>
      <c r="O773" s="5"/>
      <c r="P773" s="5"/>
      <c r="Q773" s="5"/>
      <c r="R773" s="5"/>
      <c r="S773" s="5"/>
      <c r="T773" s="5"/>
      <c r="U773" s="5"/>
      <c r="V773" s="5"/>
      <c r="W773" s="23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23"/>
      <c r="M774" s="24"/>
      <c r="N774" s="5"/>
      <c r="O774" s="5"/>
      <c r="P774" s="5"/>
      <c r="Q774" s="5"/>
      <c r="R774" s="5"/>
      <c r="S774" s="5"/>
      <c r="T774" s="5"/>
      <c r="U774" s="5"/>
      <c r="V774" s="5"/>
      <c r="W774" s="23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23"/>
      <c r="M775" s="24"/>
      <c r="N775" s="5"/>
      <c r="O775" s="5"/>
      <c r="P775" s="5"/>
      <c r="Q775" s="5"/>
      <c r="R775" s="5"/>
      <c r="S775" s="5"/>
      <c r="T775" s="5"/>
      <c r="U775" s="5"/>
      <c r="V775" s="5"/>
      <c r="W775" s="23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23"/>
      <c r="M776" s="24"/>
      <c r="N776" s="5"/>
      <c r="O776" s="5"/>
      <c r="P776" s="5"/>
      <c r="Q776" s="5"/>
      <c r="R776" s="5"/>
      <c r="S776" s="5"/>
      <c r="T776" s="5"/>
      <c r="U776" s="5"/>
      <c r="V776" s="5"/>
      <c r="W776" s="23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23"/>
      <c r="M777" s="24"/>
      <c r="N777" s="5"/>
      <c r="O777" s="5"/>
      <c r="P777" s="5"/>
      <c r="Q777" s="5"/>
      <c r="R777" s="5"/>
      <c r="S777" s="5"/>
      <c r="T777" s="5"/>
      <c r="U777" s="5"/>
      <c r="V777" s="5"/>
      <c r="W777" s="23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23"/>
      <c r="M778" s="24"/>
      <c r="N778" s="5"/>
      <c r="O778" s="5"/>
      <c r="P778" s="5"/>
      <c r="Q778" s="5"/>
      <c r="R778" s="5"/>
      <c r="S778" s="5"/>
      <c r="T778" s="5"/>
      <c r="U778" s="5"/>
      <c r="V778" s="5"/>
      <c r="W778" s="23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23"/>
      <c r="M779" s="24"/>
      <c r="N779" s="5"/>
      <c r="O779" s="5"/>
      <c r="P779" s="5"/>
      <c r="Q779" s="5"/>
      <c r="R779" s="5"/>
      <c r="S779" s="5"/>
      <c r="T779" s="5"/>
      <c r="U779" s="5"/>
      <c r="V779" s="5"/>
      <c r="W779" s="23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23"/>
      <c r="M780" s="24"/>
      <c r="N780" s="5"/>
      <c r="O780" s="5"/>
      <c r="P780" s="5"/>
      <c r="Q780" s="5"/>
      <c r="R780" s="5"/>
      <c r="S780" s="5"/>
      <c r="T780" s="5"/>
      <c r="U780" s="5"/>
      <c r="V780" s="5"/>
      <c r="W780" s="23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23"/>
      <c r="M781" s="24"/>
      <c r="N781" s="5"/>
      <c r="O781" s="5"/>
      <c r="P781" s="5"/>
      <c r="Q781" s="5"/>
      <c r="R781" s="5"/>
      <c r="S781" s="5"/>
      <c r="T781" s="5"/>
      <c r="U781" s="5"/>
      <c r="V781" s="5"/>
      <c r="W781" s="23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23"/>
      <c r="M782" s="24"/>
      <c r="N782" s="5"/>
      <c r="O782" s="5"/>
      <c r="P782" s="5"/>
      <c r="Q782" s="5"/>
      <c r="R782" s="5"/>
      <c r="S782" s="5"/>
      <c r="T782" s="5"/>
      <c r="U782" s="5"/>
      <c r="V782" s="5"/>
      <c r="W782" s="23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23"/>
      <c r="M783" s="24"/>
      <c r="N783" s="5"/>
      <c r="O783" s="5"/>
      <c r="P783" s="5"/>
      <c r="Q783" s="5"/>
      <c r="R783" s="5"/>
      <c r="S783" s="5"/>
      <c r="T783" s="5"/>
      <c r="U783" s="5"/>
      <c r="V783" s="5"/>
      <c r="W783" s="23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23"/>
      <c r="M784" s="24"/>
      <c r="N784" s="5"/>
      <c r="O784" s="5"/>
      <c r="P784" s="5"/>
      <c r="Q784" s="5"/>
      <c r="R784" s="5"/>
      <c r="S784" s="5"/>
      <c r="T784" s="5"/>
      <c r="U784" s="5"/>
      <c r="V784" s="5"/>
      <c r="W784" s="23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23"/>
      <c r="M785" s="24"/>
      <c r="N785" s="5"/>
      <c r="O785" s="5"/>
      <c r="P785" s="5"/>
      <c r="Q785" s="5"/>
      <c r="R785" s="5"/>
      <c r="S785" s="5"/>
      <c r="T785" s="5"/>
      <c r="U785" s="5"/>
      <c r="V785" s="5"/>
      <c r="W785" s="23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23"/>
      <c r="M786" s="24"/>
      <c r="N786" s="5"/>
      <c r="O786" s="5"/>
      <c r="P786" s="5"/>
      <c r="Q786" s="5"/>
      <c r="R786" s="5"/>
      <c r="S786" s="5"/>
      <c r="T786" s="5"/>
      <c r="U786" s="5"/>
      <c r="V786" s="5"/>
      <c r="W786" s="23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23"/>
      <c r="M787" s="24"/>
      <c r="N787" s="5"/>
      <c r="O787" s="5"/>
      <c r="P787" s="5"/>
      <c r="Q787" s="5"/>
      <c r="R787" s="5"/>
      <c r="S787" s="5"/>
      <c r="T787" s="5"/>
      <c r="U787" s="5"/>
      <c r="V787" s="5"/>
      <c r="W787" s="23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23"/>
      <c r="M788" s="24"/>
      <c r="N788" s="5"/>
      <c r="O788" s="5"/>
      <c r="P788" s="5"/>
      <c r="Q788" s="5"/>
      <c r="R788" s="5"/>
      <c r="S788" s="5"/>
      <c r="T788" s="5"/>
      <c r="U788" s="5"/>
      <c r="V788" s="5"/>
      <c r="W788" s="23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23"/>
      <c r="M789" s="24"/>
      <c r="N789" s="5"/>
      <c r="O789" s="5"/>
      <c r="P789" s="5"/>
      <c r="Q789" s="5"/>
      <c r="R789" s="5"/>
      <c r="S789" s="5"/>
      <c r="T789" s="5"/>
      <c r="U789" s="5"/>
      <c r="V789" s="5"/>
      <c r="W789" s="23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23"/>
      <c r="M790" s="24"/>
      <c r="N790" s="5"/>
      <c r="O790" s="5"/>
      <c r="P790" s="5"/>
      <c r="Q790" s="5"/>
      <c r="R790" s="5"/>
      <c r="S790" s="5"/>
      <c r="T790" s="5"/>
      <c r="U790" s="5"/>
      <c r="V790" s="5"/>
      <c r="W790" s="23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23"/>
      <c r="M791" s="24"/>
      <c r="N791" s="5"/>
      <c r="O791" s="5"/>
      <c r="P791" s="5"/>
      <c r="Q791" s="5"/>
      <c r="R791" s="5"/>
      <c r="S791" s="5"/>
      <c r="T791" s="5"/>
      <c r="U791" s="5"/>
      <c r="V791" s="5"/>
      <c r="W791" s="23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23"/>
      <c r="M792" s="24"/>
      <c r="N792" s="5"/>
      <c r="O792" s="5"/>
      <c r="P792" s="5"/>
      <c r="Q792" s="5"/>
      <c r="R792" s="5"/>
      <c r="S792" s="5"/>
      <c r="T792" s="5"/>
      <c r="U792" s="5"/>
      <c r="V792" s="5"/>
      <c r="W792" s="23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23"/>
      <c r="M793" s="24"/>
      <c r="N793" s="5"/>
      <c r="O793" s="5"/>
      <c r="P793" s="5"/>
      <c r="Q793" s="5"/>
      <c r="R793" s="5"/>
      <c r="S793" s="5"/>
      <c r="T793" s="5"/>
      <c r="U793" s="5"/>
      <c r="V793" s="5"/>
      <c r="W793" s="23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23"/>
      <c r="M794" s="24"/>
      <c r="N794" s="5"/>
      <c r="O794" s="5"/>
      <c r="P794" s="5"/>
      <c r="Q794" s="5"/>
      <c r="R794" s="5"/>
      <c r="S794" s="5"/>
      <c r="T794" s="5"/>
      <c r="U794" s="5"/>
      <c r="V794" s="5"/>
      <c r="W794" s="23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23"/>
      <c r="M795" s="24"/>
      <c r="N795" s="5"/>
      <c r="O795" s="5"/>
      <c r="P795" s="5"/>
      <c r="Q795" s="5"/>
      <c r="R795" s="5"/>
      <c r="S795" s="5"/>
      <c r="T795" s="5"/>
      <c r="U795" s="5"/>
      <c r="V795" s="5"/>
      <c r="W795" s="23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23"/>
      <c r="M796" s="24"/>
      <c r="N796" s="5"/>
      <c r="O796" s="5"/>
      <c r="P796" s="5"/>
      <c r="Q796" s="5"/>
      <c r="R796" s="5"/>
      <c r="S796" s="5"/>
      <c r="T796" s="5"/>
      <c r="U796" s="5"/>
      <c r="V796" s="5"/>
      <c r="W796" s="23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23"/>
      <c r="M797" s="24"/>
      <c r="N797" s="5"/>
      <c r="O797" s="5"/>
      <c r="P797" s="5"/>
      <c r="Q797" s="5"/>
      <c r="R797" s="5"/>
      <c r="S797" s="5"/>
      <c r="T797" s="5"/>
      <c r="U797" s="5"/>
      <c r="V797" s="5"/>
      <c r="W797" s="23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23"/>
      <c r="M798" s="24"/>
      <c r="N798" s="5"/>
      <c r="O798" s="5"/>
      <c r="P798" s="5"/>
      <c r="Q798" s="5"/>
      <c r="R798" s="5"/>
      <c r="S798" s="5"/>
      <c r="T798" s="5"/>
      <c r="U798" s="5"/>
      <c r="V798" s="5"/>
      <c r="W798" s="23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23"/>
      <c r="M799" s="24"/>
      <c r="N799" s="5"/>
      <c r="O799" s="5"/>
      <c r="P799" s="5"/>
      <c r="Q799" s="5"/>
      <c r="R799" s="5"/>
      <c r="S799" s="5"/>
      <c r="T799" s="5"/>
      <c r="U799" s="5"/>
      <c r="V799" s="5"/>
      <c r="W799" s="23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23"/>
      <c r="M800" s="24"/>
      <c r="N800" s="5"/>
      <c r="O800" s="5"/>
      <c r="P800" s="5"/>
      <c r="Q800" s="5"/>
      <c r="R800" s="5"/>
      <c r="S800" s="5"/>
      <c r="T800" s="5"/>
      <c r="U800" s="5"/>
      <c r="V800" s="5"/>
      <c r="W800" s="23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23"/>
      <c r="M801" s="24"/>
      <c r="N801" s="5"/>
      <c r="O801" s="5"/>
      <c r="P801" s="5"/>
      <c r="Q801" s="5"/>
      <c r="R801" s="5"/>
      <c r="S801" s="5"/>
      <c r="T801" s="5"/>
      <c r="U801" s="5"/>
      <c r="V801" s="5"/>
      <c r="W801" s="23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23"/>
      <c r="M802" s="24"/>
      <c r="N802" s="5"/>
      <c r="O802" s="5"/>
      <c r="P802" s="5"/>
      <c r="Q802" s="5"/>
      <c r="R802" s="5"/>
      <c r="S802" s="5"/>
      <c r="T802" s="5"/>
      <c r="U802" s="5"/>
      <c r="V802" s="5"/>
      <c r="W802" s="23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23"/>
      <c r="M803" s="24"/>
      <c r="N803" s="5"/>
      <c r="O803" s="5"/>
      <c r="P803" s="5"/>
      <c r="Q803" s="5"/>
      <c r="R803" s="5"/>
      <c r="S803" s="5"/>
      <c r="T803" s="5"/>
      <c r="U803" s="5"/>
      <c r="V803" s="5"/>
      <c r="W803" s="23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23"/>
      <c r="M804" s="24"/>
      <c r="N804" s="5"/>
      <c r="O804" s="5"/>
      <c r="P804" s="5"/>
      <c r="Q804" s="5"/>
      <c r="R804" s="5"/>
      <c r="S804" s="5"/>
      <c r="T804" s="5"/>
      <c r="U804" s="5"/>
      <c r="V804" s="5"/>
      <c r="W804" s="23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23"/>
      <c r="M805" s="24"/>
      <c r="N805" s="5"/>
      <c r="O805" s="5"/>
      <c r="P805" s="5"/>
      <c r="Q805" s="5"/>
      <c r="R805" s="5"/>
      <c r="S805" s="5"/>
      <c r="T805" s="5"/>
      <c r="U805" s="5"/>
      <c r="V805" s="5"/>
      <c r="W805" s="23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23"/>
      <c r="M806" s="24"/>
      <c r="N806" s="5"/>
      <c r="O806" s="5"/>
      <c r="P806" s="5"/>
      <c r="Q806" s="5"/>
      <c r="R806" s="5"/>
      <c r="S806" s="5"/>
      <c r="T806" s="5"/>
      <c r="U806" s="5"/>
      <c r="V806" s="5"/>
      <c r="W806" s="23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23"/>
      <c r="M807" s="24"/>
      <c r="N807" s="5"/>
      <c r="O807" s="5"/>
      <c r="P807" s="5"/>
      <c r="Q807" s="5"/>
      <c r="R807" s="5"/>
      <c r="S807" s="5"/>
      <c r="T807" s="5"/>
      <c r="U807" s="5"/>
      <c r="V807" s="5"/>
      <c r="W807" s="23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23"/>
      <c r="M808" s="24"/>
      <c r="N808" s="5"/>
      <c r="O808" s="5"/>
      <c r="P808" s="5"/>
      <c r="Q808" s="5"/>
      <c r="R808" s="5"/>
      <c r="S808" s="5"/>
      <c r="T808" s="5"/>
      <c r="U808" s="5"/>
      <c r="V808" s="5"/>
      <c r="W808" s="23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23"/>
      <c r="M809" s="24"/>
      <c r="N809" s="5"/>
      <c r="O809" s="5"/>
      <c r="P809" s="5"/>
      <c r="Q809" s="5"/>
      <c r="R809" s="5"/>
      <c r="S809" s="5"/>
      <c r="T809" s="5"/>
      <c r="U809" s="5"/>
      <c r="V809" s="5"/>
      <c r="W809" s="23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23"/>
      <c r="M810" s="24"/>
      <c r="N810" s="5"/>
      <c r="O810" s="5"/>
      <c r="P810" s="5"/>
      <c r="Q810" s="5"/>
      <c r="R810" s="5"/>
      <c r="S810" s="5"/>
      <c r="T810" s="5"/>
      <c r="U810" s="5"/>
      <c r="V810" s="5"/>
      <c r="W810" s="23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23"/>
      <c r="M811" s="24"/>
      <c r="N811" s="5"/>
      <c r="O811" s="5"/>
      <c r="P811" s="5"/>
      <c r="Q811" s="5"/>
      <c r="R811" s="5"/>
      <c r="S811" s="5"/>
      <c r="T811" s="5"/>
      <c r="U811" s="5"/>
      <c r="V811" s="5"/>
      <c r="W811" s="23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23"/>
      <c r="M812" s="24"/>
      <c r="N812" s="5"/>
      <c r="O812" s="5"/>
      <c r="P812" s="5"/>
      <c r="Q812" s="5"/>
      <c r="R812" s="5"/>
      <c r="S812" s="5"/>
      <c r="T812" s="5"/>
      <c r="U812" s="5"/>
      <c r="V812" s="5"/>
      <c r="W812" s="23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23"/>
      <c r="M813" s="24"/>
      <c r="N813" s="5"/>
      <c r="O813" s="5"/>
      <c r="P813" s="5"/>
      <c r="Q813" s="5"/>
      <c r="R813" s="5"/>
      <c r="S813" s="5"/>
      <c r="T813" s="5"/>
      <c r="U813" s="5"/>
      <c r="V813" s="5"/>
      <c r="W813" s="23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23"/>
      <c r="M814" s="24"/>
      <c r="N814" s="5"/>
      <c r="O814" s="5"/>
      <c r="P814" s="5"/>
      <c r="Q814" s="5"/>
      <c r="R814" s="5"/>
      <c r="S814" s="5"/>
      <c r="T814" s="5"/>
      <c r="U814" s="5"/>
      <c r="V814" s="5"/>
      <c r="W814" s="23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23"/>
      <c r="M815" s="24"/>
      <c r="N815" s="5"/>
      <c r="O815" s="5"/>
      <c r="P815" s="5"/>
      <c r="Q815" s="5"/>
      <c r="R815" s="5"/>
      <c r="S815" s="5"/>
      <c r="T815" s="5"/>
      <c r="U815" s="5"/>
      <c r="V815" s="5"/>
      <c r="W815" s="23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23"/>
      <c r="M816" s="24"/>
      <c r="N816" s="5"/>
      <c r="O816" s="5"/>
      <c r="P816" s="5"/>
      <c r="Q816" s="5"/>
      <c r="R816" s="5"/>
      <c r="S816" s="5"/>
      <c r="T816" s="5"/>
      <c r="U816" s="5"/>
      <c r="V816" s="5"/>
      <c r="W816" s="23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23"/>
      <c r="M817" s="24"/>
      <c r="N817" s="5"/>
      <c r="O817" s="5"/>
      <c r="P817" s="5"/>
      <c r="Q817" s="5"/>
      <c r="R817" s="5"/>
      <c r="S817" s="5"/>
      <c r="T817" s="5"/>
      <c r="U817" s="5"/>
      <c r="V817" s="5"/>
      <c r="W817" s="23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23"/>
      <c r="M818" s="24"/>
      <c r="N818" s="5"/>
      <c r="O818" s="5"/>
      <c r="P818" s="5"/>
      <c r="Q818" s="5"/>
      <c r="R818" s="5"/>
      <c r="S818" s="5"/>
      <c r="T818" s="5"/>
      <c r="U818" s="5"/>
      <c r="V818" s="5"/>
      <c r="W818" s="23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23"/>
      <c r="M819" s="24"/>
      <c r="N819" s="5"/>
      <c r="O819" s="5"/>
      <c r="P819" s="5"/>
      <c r="Q819" s="5"/>
      <c r="R819" s="5"/>
      <c r="S819" s="5"/>
      <c r="T819" s="5"/>
      <c r="U819" s="5"/>
      <c r="V819" s="5"/>
      <c r="W819" s="23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23"/>
      <c r="M820" s="24"/>
      <c r="N820" s="5"/>
      <c r="O820" s="5"/>
      <c r="P820" s="5"/>
      <c r="Q820" s="5"/>
      <c r="R820" s="5"/>
      <c r="S820" s="5"/>
      <c r="T820" s="5"/>
      <c r="U820" s="5"/>
      <c r="V820" s="5"/>
      <c r="W820" s="23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23"/>
      <c r="M821" s="24"/>
      <c r="N821" s="5"/>
      <c r="O821" s="5"/>
      <c r="P821" s="5"/>
      <c r="Q821" s="5"/>
      <c r="R821" s="5"/>
      <c r="S821" s="5"/>
      <c r="T821" s="5"/>
      <c r="U821" s="5"/>
      <c r="V821" s="5"/>
      <c r="W821" s="23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23"/>
      <c r="M822" s="24"/>
      <c r="N822" s="5"/>
      <c r="O822" s="5"/>
      <c r="P822" s="5"/>
      <c r="Q822" s="5"/>
      <c r="R822" s="5"/>
      <c r="S822" s="5"/>
      <c r="T822" s="5"/>
      <c r="U822" s="5"/>
      <c r="V822" s="5"/>
      <c r="W822" s="23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23"/>
      <c r="M823" s="24"/>
      <c r="N823" s="5"/>
      <c r="O823" s="5"/>
      <c r="P823" s="5"/>
      <c r="Q823" s="5"/>
      <c r="R823" s="5"/>
      <c r="S823" s="5"/>
      <c r="T823" s="5"/>
      <c r="U823" s="5"/>
      <c r="V823" s="5"/>
      <c r="W823" s="23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23"/>
      <c r="M824" s="24"/>
      <c r="N824" s="5"/>
      <c r="O824" s="5"/>
      <c r="P824" s="5"/>
      <c r="Q824" s="5"/>
      <c r="R824" s="5"/>
      <c r="S824" s="5"/>
      <c r="T824" s="5"/>
      <c r="U824" s="5"/>
      <c r="V824" s="5"/>
      <c r="W824" s="23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23"/>
      <c r="M825" s="24"/>
      <c r="N825" s="5"/>
      <c r="O825" s="5"/>
      <c r="P825" s="5"/>
      <c r="Q825" s="5"/>
      <c r="R825" s="5"/>
      <c r="S825" s="5"/>
      <c r="T825" s="5"/>
      <c r="U825" s="5"/>
      <c r="V825" s="5"/>
      <c r="W825" s="23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23"/>
      <c r="M826" s="24"/>
      <c r="N826" s="5"/>
      <c r="O826" s="5"/>
      <c r="P826" s="5"/>
      <c r="Q826" s="5"/>
      <c r="R826" s="5"/>
      <c r="S826" s="5"/>
      <c r="T826" s="5"/>
      <c r="U826" s="5"/>
      <c r="V826" s="5"/>
      <c r="W826" s="23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23"/>
      <c r="M827" s="24"/>
      <c r="N827" s="5"/>
      <c r="O827" s="5"/>
      <c r="P827" s="5"/>
      <c r="Q827" s="5"/>
      <c r="R827" s="5"/>
      <c r="S827" s="5"/>
      <c r="T827" s="5"/>
      <c r="U827" s="5"/>
      <c r="V827" s="5"/>
      <c r="W827" s="23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23"/>
      <c r="M828" s="24"/>
      <c r="N828" s="5"/>
      <c r="O828" s="5"/>
      <c r="P828" s="5"/>
      <c r="Q828" s="5"/>
      <c r="R828" s="5"/>
      <c r="S828" s="5"/>
      <c r="T828" s="5"/>
      <c r="U828" s="5"/>
      <c r="V828" s="5"/>
      <c r="W828" s="23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23"/>
      <c r="M829" s="24"/>
      <c r="N829" s="5"/>
      <c r="O829" s="5"/>
      <c r="P829" s="5"/>
      <c r="Q829" s="5"/>
      <c r="R829" s="5"/>
      <c r="S829" s="5"/>
      <c r="T829" s="5"/>
      <c r="U829" s="5"/>
      <c r="V829" s="5"/>
      <c r="W829" s="23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23"/>
      <c r="M830" s="24"/>
      <c r="N830" s="5"/>
      <c r="O830" s="5"/>
      <c r="P830" s="5"/>
      <c r="Q830" s="5"/>
      <c r="R830" s="5"/>
      <c r="S830" s="5"/>
      <c r="T830" s="5"/>
      <c r="U830" s="5"/>
      <c r="V830" s="5"/>
      <c r="W830" s="23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23"/>
      <c r="M831" s="24"/>
      <c r="N831" s="5"/>
      <c r="O831" s="5"/>
      <c r="P831" s="5"/>
      <c r="Q831" s="5"/>
      <c r="R831" s="5"/>
      <c r="S831" s="5"/>
      <c r="T831" s="5"/>
      <c r="U831" s="5"/>
      <c r="V831" s="5"/>
      <c r="W831" s="23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23"/>
      <c r="M832" s="24"/>
      <c r="N832" s="5"/>
      <c r="O832" s="5"/>
      <c r="P832" s="5"/>
      <c r="Q832" s="5"/>
      <c r="R832" s="5"/>
      <c r="S832" s="5"/>
      <c r="T832" s="5"/>
      <c r="U832" s="5"/>
      <c r="V832" s="5"/>
      <c r="W832" s="23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23"/>
      <c r="M833" s="24"/>
      <c r="N833" s="5"/>
      <c r="O833" s="5"/>
      <c r="P833" s="5"/>
      <c r="Q833" s="5"/>
      <c r="R833" s="5"/>
      <c r="S833" s="5"/>
      <c r="T833" s="5"/>
      <c r="U833" s="5"/>
      <c r="V833" s="5"/>
      <c r="W833" s="23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23"/>
      <c r="M834" s="24"/>
      <c r="N834" s="5"/>
      <c r="O834" s="5"/>
      <c r="P834" s="5"/>
      <c r="Q834" s="5"/>
      <c r="R834" s="5"/>
      <c r="S834" s="5"/>
      <c r="T834" s="5"/>
      <c r="U834" s="5"/>
      <c r="V834" s="5"/>
      <c r="W834" s="23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23"/>
      <c r="M835" s="24"/>
      <c r="N835" s="5"/>
      <c r="O835" s="5"/>
      <c r="P835" s="5"/>
      <c r="Q835" s="5"/>
      <c r="R835" s="5"/>
      <c r="S835" s="5"/>
      <c r="T835" s="5"/>
      <c r="U835" s="5"/>
      <c r="V835" s="5"/>
      <c r="W835" s="23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23"/>
      <c r="M836" s="24"/>
      <c r="N836" s="5"/>
      <c r="O836" s="5"/>
      <c r="P836" s="5"/>
      <c r="Q836" s="5"/>
      <c r="R836" s="5"/>
      <c r="S836" s="5"/>
      <c r="T836" s="5"/>
      <c r="U836" s="5"/>
      <c r="V836" s="5"/>
      <c r="W836" s="23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23"/>
      <c r="M837" s="24"/>
      <c r="N837" s="5"/>
      <c r="O837" s="5"/>
      <c r="P837" s="5"/>
      <c r="Q837" s="5"/>
      <c r="R837" s="5"/>
      <c r="S837" s="5"/>
      <c r="T837" s="5"/>
      <c r="U837" s="5"/>
      <c r="V837" s="5"/>
      <c r="W837" s="23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23"/>
      <c r="M838" s="24"/>
      <c r="N838" s="5"/>
      <c r="O838" s="5"/>
      <c r="P838" s="5"/>
      <c r="Q838" s="5"/>
      <c r="R838" s="5"/>
      <c r="S838" s="5"/>
      <c r="T838" s="5"/>
      <c r="U838" s="5"/>
      <c r="V838" s="5"/>
      <c r="W838" s="23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23"/>
      <c r="M839" s="24"/>
      <c r="N839" s="5"/>
      <c r="O839" s="5"/>
      <c r="P839" s="5"/>
      <c r="Q839" s="5"/>
      <c r="R839" s="5"/>
      <c r="S839" s="5"/>
      <c r="T839" s="5"/>
      <c r="U839" s="5"/>
      <c r="V839" s="5"/>
      <c r="W839" s="23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23"/>
      <c r="M840" s="24"/>
      <c r="N840" s="5"/>
      <c r="O840" s="5"/>
      <c r="P840" s="5"/>
      <c r="Q840" s="5"/>
      <c r="R840" s="5"/>
      <c r="S840" s="5"/>
      <c r="T840" s="5"/>
      <c r="U840" s="5"/>
      <c r="V840" s="5"/>
      <c r="W840" s="23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23"/>
      <c r="M841" s="24"/>
      <c r="N841" s="5"/>
      <c r="O841" s="5"/>
      <c r="P841" s="5"/>
      <c r="Q841" s="5"/>
      <c r="R841" s="5"/>
      <c r="S841" s="5"/>
      <c r="T841" s="5"/>
      <c r="U841" s="5"/>
      <c r="V841" s="5"/>
      <c r="W841" s="23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23"/>
      <c r="M842" s="24"/>
      <c r="N842" s="5"/>
      <c r="O842" s="5"/>
      <c r="P842" s="5"/>
      <c r="Q842" s="5"/>
      <c r="R842" s="5"/>
      <c r="S842" s="5"/>
      <c r="T842" s="5"/>
      <c r="U842" s="5"/>
      <c r="V842" s="5"/>
      <c r="W842" s="23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23"/>
      <c r="M843" s="24"/>
      <c r="N843" s="5"/>
      <c r="O843" s="5"/>
      <c r="P843" s="5"/>
      <c r="Q843" s="5"/>
      <c r="R843" s="5"/>
      <c r="S843" s="5"/>
      <c r="T843" s="5"/>
      <c r="U843" s="5"/>
      <c r="V843" s="5"/>
      <c r="W843" s="23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23"/>
      <c r="M844" s="24"/>
      <c r="N844" s="5"/>
      <c r="O844" s="5"/>
      <c r="P844" s="5"/>
      <c r="Q844" s="5"/>
      <c r="R844" s="5"/>
      <c r="S844" s="5"/>
      <c r="T844" s="5"/>
      <c r="U844" s="5"/>
      <c r="V844" s="5"/>
      <c r="W844" s="23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23"/>
      <c r="M845" s="24"/>
      <c r="N845" s="5"/>
      <c r="O845" s="5"/>
      <c r="P845" s="5"/>
      <c r="Q845" s="5"/>
      <c r="R845" s="5"/>
      <c r="S845" s="5"/>
      <c r="T845" s="5"/>
      <c r="U845" s="5"/>
      <c r="V845" s="5"/>
      <c r="W845" s="23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23"/>
      <c r="M846" s="24"/>
      <c r="N846" s="5"/>
      <c r="O846" s="5"/>
      <c r="P846" s="5"/>
      <c r="Q846" s="5"/>
      <c r="R846" s="5"/>
      <c r="S846" s="5"/>
      <c r="T846" s="5"/>
      <c r="U846" s="5"/>
      <c r="V846" s="5"/>
      <c r="W846" s="23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23"/>
      <c r="M847" s="24"/>
      <c r="N847" s="5"/>
      <c r="O847" s="5"/>
      <c r="P847" s="5"/>
      <c r="Q847" s="5"/>
      <c r="R847" s="5"/>
      <c r="S847" s="5"/>
      <c r="T847" s="5"/>
      <c r="U847" s="5"/>
      <c r="V847" s="5"/>
      <c r="W847" s="23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23"/>
      <c r="M848" s="24"/>
      <c r="N848" s="5"/>
      <c r="O848" s="5"/>
      <c r="P848" s="5"/>
      <c r="Q848" s="5"/>
      <c r="R848" s="5"/>
      <c r="S848" s="5"/>
      <c r="T848" s="5"/>
      <c r="U848" s="5"/>
      <c r="V848" s="5"/>
      <c r="W848" s="23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23"/>
      <c r="M849" s="24"/>
      <c r="N849" s="5"/>
      <c r="O849" s="5"/>
      <c r="P849" s="5"/>
      <c r="Q849" s="5"/>
      <c r="R849" s="5"/>
      <c r="S849" s="5"/>
      <c r="T849" s="5"/>
      <c r="U849" s="5"/>
      <c r="V849" s="5"/>
      <c r="W849" s="23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23"/>
      <c r="M850" s="24"/>
      <c r="N850" s="5"/>
      <c r="O850" s="5"/>
      <c r="P850" s="5"/>
      <c r="Q850" s="5"/>
      <c r="R850" s="5"/>
      <c r="S850" s="5"/>
      <c r="T850" s="5"/>
      <c r="U850" s="5"/>
      <c r="V850" s="5"/>
      <c r="W850" s="23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23"/>
      <c r="M851" s="24"/>
      <c r="N851" s="5"/>
      <c r="O851" s="5"/>
      <c r="P851" s="5"/>
      <c r="Q851" s="5"/>
      <c r="R851" s="5"/>
      <c r="S851" s="5"/>
      <c r="T851" s="5"/>
      <c r="U851" s="5"/>
      <c r="V851" s="5"/>
      <c r="W851" s="23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23"/>
      <c r="M852" s="24"/>
      <c r="N852" s="5"/>
      <c r="O852" s="5"/>
      <c r="P852" s="5"/>
      <c r="Q852" s="5"/>
      <c r="R852" s="5"/>
      <c r="S852" s="5"/>
      <c r="T852" s="5"/>
      <c r="U852" s="5"/>
      <c r="V852" s="5"/>
      <c r="W852" s="23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23"/>
      <c r="M853" s="24"/>
      <c r="N853" s="5"/>
      <c r="O853" s="5"/>
      <c r="P853" s="5"/>
      <c r="Q853" s="5"/>
      <c r="R853" s="5"/>
      <c r="S853" s="5"/>
      <c r="T853" s="5"/>
      <c r="U853" s="5"/>
      <c r="V853" s="5"/>
      <c r="W853" s="23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23"/>
      <c r="M854" s="24"/>
      <c r="N854" s="5"/>
      <c r="O854" s="5"/>
      <c r="P854" s="5"/>
      <c r="Q854" s="5"/>
      <c r="R854" s="5"/>
      <c r="S854" s="5"/>
      <c r="T854" s="5"/>
      <c r="U854" s="5"/>
      <c r="V854" s="5"/>
      <c r="W854" s="23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23"/>
      <c r="M855" s="24"/>
      <c r="N855" s="5"/>
      <c r="O855" s="5"/>
      <c r="P855" s="5"/>
      <c r="Q855" s="5"/>
      <c r="R855" s="5"/>
      <c r="S855" s="5"/>
      <c r="T855" s="5"/>
      <c r="U855" s="5"/>
      <c r="V855" s="5"/>
      <c r="W855" s="23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23"/>
      <c r="M856" s="24"/>
      <c r="N856" s="5"/>
      <c r="O856" s="5"/>
      <c r="P856" s="5"/>
      <c r="Q856" s="5"/>
      <c r="R856" s="5"/>
      <c r="S856" s="5"/>
      <c r="T856" s="5"/>
      <c r="U856" s="5"/>
      <c r="V856" s="5"/>
      <c r="W856" s="23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23"/>
      <c r="M857" s="24"/>
      <c r="N857" s="5"/>
      <c r="O857" s="5"/>
      <c r="P857" s="5"/>
      <c r="Q857" s="5"/>
      <c r="R857" s="5"/>
      <c r="S857" s="5"/>
      <c r="T857" s="5"/>
      <c r="U857" s="5"/>
      <c r="V857" s="5"/>
      <c r="W857" s="23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23"/>
      <c r="M858" s="24"/>
      <c r="N858" s="5"/>
      <c r="O858" s="5"/>
      <c r="P858" s="5"/>
      <c r="Q858" s="5"/>
      <c r="R858" s="5"/>
      <c r="S858" s="5"/>
      <c r="T858" s="5"/>
      <c r="U858" s="5"/>
      <c r="V858" s="5"/>
      <c r="W858" s="23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23"/>
      <c r="M859" s="24"/>
      <c r="N859" s="5"/>
      <c r="O859" s="5"/>
      <c r="P859" s="5"/>
      <c r="Q859" s="5"/>
      <c r="R859" s="5"/>
      <c r="S859" s="5"/>
      <c r="T859" s="5"/>
      <c r="U859" s="5"/>
      <c r="V859" s="5"/>
      <c r="W859" s="23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23"/>
      <c r="M860" s="24"/>
      <c r="N860" s="5"/>
      <c r="O860" s="5"/>
      <c r="P860" s="5"/>
      <c r="Q860" s="5"/>
      <c r="R860" s="5"/>
      <c r="S860" s="5"/>
      <c r="T860" s="5"/>
      <c r="U860" s="5"/>
      <c r="V860" s="5"/>
      <c r="W860" s="23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23"/>
      <c r="M861" s="24"/>
      <c r="N861" s="5"/>
      <c r="O861" s="5"/>
      <c r="P861" s="5"/>
      <c r="Q861" s="5"/>
      <c r="R861" s="5"/>
      <c r="S861" s="5"/>
      <c r="T861" s="5"/>
      <c r="U861" s="5"/>
      <c r="V861" s="5"/>
      <c r="W861" s="23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23"/>
      <c r="M862" s="24"/>
      <c r="N862" s="5"/>
      <c r="O862" s="5"/>
      <c r="P862" s="5"/>
      <c r="Q862" s="5"/>
      <c r="R862" s="5"/>
      <c r="S862" s="5"/>
      <c r="T862" s="5"/>
      <c r="U862" s="5"/>
      <c r="V862" s="5"/>
      <c r="W862" s="23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23"/>
      <c r="M863" s="24"/>
      <c r="N863" s="5"/>
      <c r="O863" s="5"/>
      <c r="P863" s="5"/>
      <c r="Q863" s="5"/>
      <c r="R863" s="5"/>
      <c r="S863" s="5"/>
      <c r="T863" s="5"/>
      <c r="U863" s="5"/>
      <c r="V863" s="5"/>
      <c r="W863" s="23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23"/>
      <c r="M864" s="24"/>
      <c r="N864" s="5"/>
      <c r="O864" s="5"/>
      <c r="P864" s="5"/>
      <c r="Q864" s="5"/>
      <c r="R864" s="5"/>
      <c r="S864" s="5"/>
      <c r="T864" s="5"/>
      <c r="U864" s="5"/>
      <c r="V864" s="5"/>
      <c r="W864" s="23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23"/>
      <c r="M865" s="24"/>
      <c r="N865" s="5"/>
      <c r="O865" s="5"/>
      <c r="P865" s="5"/>
      <c r="Q865" s="5"/>
      <c r="R865" s="5"/>
      <c r="S865" s="5"/>
      <c r="T865" s="5"/>
      <c r="U865" s="5"/>
      <c r="V865" s="5"/>
      <c r="W865" s="23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23"/>
      <c r="M866" s="24"/>
      <c r="N866" s="5"/>
      <c r="O866" s="5"/>
      <c r="P866" s="5"/>
      <c r="Q866" s="5"/>
      <c r="R866" s="5"/>
      <c r="S866" s="5"/>
      <c r="T866" s="5"/>
      <c r="U866" s="5"/>
      <c r="V866" s="5"/>
      <c r="W866" s="23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23"/>
      <c r="M867" s="24"/>
      <c r="N867" s="5"/>
      <c r="O867" s="5"/>
      <c r="P867" s="5"/>
      <c r="Q867" s="5"/>
      <c r="R867" s="5"/>
      <c r="S867" s="5"/>
      <c r="T867" s="5"/>
      <c r="U867" s="5"/>
      <c r="V867" s="5"/>
      <c r="W867" s="23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23"/>
      <c r="M868" s="24"/>
      <c r="N868" s="5"/>
      <c r="O868" s="5"/>
      <c r="P868" s="5"/>
      <c r="Q868" s="5"/>
      <c r="R868" s="5"/>
      <c r="S868" s="5"/>
      <c r="T868" s="5"/>
      <c r="U868" s="5"/>
      <c r="V868" s="5"/>
      <c r="W868" s="23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23"/>
      <c r="M869" s="24"/>
      <c r="N869" s="5"/>
      <c r="O869" s="5"/>
      <c r="P869" s="5"/>
      <c r="Q869" s="5"/>
      <c r="R869" s="5"/>
      <c r="S869" s="5"/>
      <c r="T869" s="5"/>
      <c r="U869" s="5"/>
      <c r="V869" s="5"/>
      <c r="W869" s="23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23"/>
      <c r="M870" s="24"/>
      <c r="N870" s="5"/>
      <c r="O870" s="5"/>
      <c r="P870" s="5"/>
      <c r="Q870" s="5"/>
      <c r="R870" s="5"/>
      <c r="S870" s="5"/>
      <c r="T870" s="5"/>
      <c r="U870" s="5"/>
      <c r="V870" s="5"/>
      <c r="W870" s="23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23"/>
      <c r="M871" s="24"/>
      <c r="N871" s="5"/>
      <c r="O871" s="5"/>
      <c r="P871" s="5"/>
      <c r="Q871" s="5"/>
      <c r="R871" s="5"/>
      <c r="S871" s="5"/>
      <c r="T871" s="5"/>
      <c r="U871" s="5"/>
      <c r="V871" s="5"/>
      <c r="W871" s="23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23"/>
      <c r="M872" s="24"/>
      <c r="N872" s="5"/>
      <c r="O872" s="5"/>
      <c r="P872" s="5"/>
      <c r="Q872" s="5"/>
      <c r="R872" s="5"/>
      <c r="S872" s="5"/>
      <c r="T872" s="5"/>
      <c r="U872" s="5"/>
      <c r="V872" s="5"/>
      <c r="W872" s="23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23"/>
      <c r="M873" s="24"/>
      <c r="N873" s="5"/>
      <c r="O873" s="5"/>
      <c r="P873" s="5"/>
      <c r="Q873" s="5"/>
      <c r="R873" s="5"/>
      <c r="S873" s="5"/>
      <c r="T873" s="5"/>
      <c r="U873" s="5"/>
      <c r="V873" s="5"/>
      <c r="W873" s="23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23"/>
      <c r="M874" s="24"/>
      <c r="N874" s="5"/>
      <c r="O874" s="5"/>
      <c r="P874" s="5"/>
      <c r="Q874" s="5"/>
      <c r="R874" s="5"/>
      <c r="S874" s="5"/>
      <c r="T874" s="5"/>
      <c r="U874" s="5"/>
      <c r="V874" s="5"/>
      <c r="W874" s="23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23"/>
      <c r="M875" s="24"/>
      <c r="N875" s="5"/>
      <c r="O875" s="5"/>
      <c r="P875" s="5"/>
      <c r="Q875" s="5"/>
      <c r="R875" s="5"/>
      <c r="S875" s="5"/>
      <c r="T875" s="5"/>
      <c r="U875" s="5"/>
      <c r="V875" s="5"/>
      <c r="W875" s="23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23"/>
      <c r="M876" s="24"/>
      <c r="N876" s="5"/>
      <c r="O876" s="5"/>
      <c r="P876" s="5"/>
      <c r="Q876" s="5"/>
      <c r="R876" s="5"/>
      <c r="S876" s="5"/>
      <c r="T876" s="5"/>
      <c r="U876" s="5"/>
      <c r="V876" s="5"/>
      <c r="W876" s="23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23"/>
      <c r="M877" s="24"/>
      <c r="N877" s="5"/>
      <c r="O877" s="5"/>
      <c r="P877" s="5"/>
      <c r="Q877" s="5"/>
      <c r="R877" s="5"/>
      <c r="S877" s="5"/>
      <c r="T877" s="5"/>
      <c r="U877" s="5"/>
      <c r="V877" s="5"/>
      <c r="W877" s="23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23"/>
      <c r="M878" s="24"/>
      <c r="N878" s="5"/>
      <c r="O878" s="5"/>
      <c r="P878" s="5"/>
      <c r="Q878" s="5"/>
      <c r="R878" s="5"/>
      <c r="S878" s="5"/>
      <c r="T878" s="5"/>
      <c r="U878" s="5"/>
      <c r="V878" s="5"/>
      <c r="W878" s="23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23"/>
      <c r="M879" s="24"/>
      <c r="N879" s="5"/>
      <c r="O879" s="5"/>
      <c r="P879" s="5"/>
      <c r="Q879" s="5"/>
      <c r="R879" s="5"/>
      <c r="S879" s="5"/>
      <c r="T879" s="5"/>
      <c r="U879" s="5"/>
      <c r="V879" s="5"/>
      <c r="W879" s="23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23"/>
      <c r="M880" s="24"/>
      <c r="N880" s="5"/>
      <c r="O880" s="5"/>
      <c r="P880" s="5"/>
      <c r="Q880" s="5"/>
      <c r="R880" s="5"/>
      <c r="S880" s="5"/>
      <c r="T880" s="5"/>
      <c r="U880" s="5"/>
      <c r="V880" s="5"/>
      <c r="W880" s="23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23"/>
      <c r="M881" s="24"/>
      <c r="N881" s="5"/>
      <c r="O881" s="5"/>
      <c r="P881" s="5"/>
      <c r="Q881" s="5"/>
      <c r="R881" s="5"/>
      <c r="S881" s="5"/>
      <c r="T881" s="5"/>
      <c r="U881" s="5"/>
      <c r="V881" s="5"/>
      <c r="W881" s="23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23"/>
      <c r="M882" s="24"/>
      <c r="N882" s="5"/>
      <c r="O882" s="5"/>
      <c r="P882" s="5"/>
      <c r="Q882" s="5"/>
      <c r="R882" s="5"/>
      <c r="S882" s="5"/>
      <c r="T882" s="5"/>
      <c r="U882" s="5"/>
      <c r="V882" s="5"/>
      <c r="W882" s="23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23"/>
      <c r="M883" s="24"/>
      <c r="N883" s="5"/>
      <c r="O883" s="5"/>
      <c r="P883" s="5"/>
      <c r="Q883" s="5"/>
      <c r="R883" s="5"/>
      <c r="S883" s="5"/>
      <c r="T883" s="5"/>
      <c r="U883" s="5"/>
      <c r="V883" s="5"/>
      <c r="W883" s="23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23"/>
      <c r="M884" s="24"/>
      <c r="N884" s="5"/>
      <c r="O884" s="5"/>
      <c r="P884" s="5"/>
      <c r="Q884" s="5"/>
      <c r="R884" s="5"/>
      <c r="S884" s="5"/>
      <c r="T884" s="5"/>
      <c r="U884" s="5"/>
      <c r="V884" s="5"/>
      <c r="W884" s="23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23"/>
      <c r="M885" s="24"/>
      <c r="N885" s="5"/>
      <c r="O885" s="5"/>
      <c r="P885" s="5"/>
      <c r="Q885" s="5"/>
      <c r="R885" s="5"/>
      <c r="S885" s="5"/>
      <c r="T885" s="5"/>
      <c r="U885" s="5"/>
      <c r="V885" s="5"/>
      <c r="W885" s="23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23"/>
      <c r="M886" s="24"/>
      <c r="N886" s="5"/>
      <c r="O886" s="5"/>
      <c r="P886" s="5"/>
      <c r="Q886" s="5"/>
      <c r="R886" s="5"/>
      <c r="S886" s="5"/>
      <c r="T886" s="5"/>
      <c r="U886" s="5"/>
      <c r="V886" s="5"/>
      <c r="W886" s="23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23"/>
      <c r="M887" s="24"/>
      <c r="N887" s="5"/>
      <c r="O887" s="5"/>
      <c r="P887" s="5"/>
      <c r="Q887" s="5"/>
      <c r="R887" s="5"/>
      <c r="S887" s="5"/>
      <c r="T887" s="5"/>
      <c r="U887" s="5"/>
      <c r="V887" s="5"/>
      <c r="W887" s="23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23"/>
      <c r="M888" s="24"/>
      <c r="N888" s="5"/>
      <c r="O888" s="5"/>
      <c r="P888" s="5"/>
      <c r="Q888" s="5"/>
      <c r="R888" s="5"/>
      <c r="S888" s="5"/>
      <c r="T888" s="5"/>
      <c r="U888" s="5"/>
      <c r="V888" s="5"/>
      <c r="W888" s="23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23"/>
      <c r="M889" s="24"/>
      <c r="N889" s="5"/>
      <c r="O889" s="5"/>
      <c r="P889" s="5"/>
      <c r="Q889" s="5"/>
      <c r="R889" s="5"/>
      <c r="S889" s="5"/>
      <c r="T889" s="5"/>
      <c r="U889" s="5"/>
      <c r="V889" s="5"/>
      <c r="W889" s="23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23"/>
      <c r="M890" s="24"/>
      <c r="N890" s="5"/>
      <c r="O890" s="5"/>
      <c r="P890" s="5"/>
      <c r="Q890" s="5"/>
      <c r="R890" s="5"/>
      <c r="S890" s="5"/>
      <c r="T890" s="5"/>
      <c r="U890" s="5"/>
      <c r="V890" s="5"/>
      <c r="W890" s="23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23"/>
      <c r="M891" s="24"/>
      <c r="N891" s="5"/>
      <c r="O891" s="5"/>
      <c r="P891" s="5"/>
      <c r="Q891" s="5"/>
      <c r="R891" s="5"/>
      <c r="S891" s="5"/>
      <c r="T891" s="5"/>
      <c r="U891" s="5"/>
      <c r="V891" s="5"/>
      <c r="W891" s="23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23"/>
      <c r="M892" s="24"/>
      <c r="N892" s="5"/>
      <c r="O892" s="5"/>
      <c r="P892" s="5"/>
      <c r="Q892" s="5"/>
      <c r="R892" s="5"/>
      <c r="S892" s="5"/>
      <c r="T892" s="5"/>
      <c r="U892" s="5"/>
      <c r="V892" s="5"/>
      <c r="W892" s="23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23"/>
      <c r="M893" s="24"/>
      <c r="N893" s="5"/>
      <c r="O893" s="5"/>
      <c r="P893" s="5"/>
      <c r="Q893" s="5"/>
      <c r="R893" s="5"/>
      <c r="S893" s="5"/>
      <c r="T893" s="5"/>
      <c r="U893" s="5"/>
      <c r="V893" s="5"/>
      <c r="W893" s="23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23"/>
      <c r="M894" s="24"/>
      <c r="N894" s="5"/>
      <c r="O894" s="5"/>
      <c r="P894" s="5"/>
      <c r="Q894" s="5"/>
      <c r="R894" s="5"/>
      <c r="S894" s="5"/>
      <c r="T894" s="5"/>
      <c r="U894" s="5"/>
      <c r="V894" s="5"/>
      <c r="W894" s="23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23"/>
      <c r="M895" s="24"/>
      <c r="N895" s="5"/>
      <c r="O895" s="5"/>
      <c r="P895" s="5"/>
      <c r="Q895" s="5"/>
      <c r="R895" s="5"/>
      <c r="S895" s="5"/>
      <c r="T895" s="5"/>
      <c r="U895" s="5"/>
      <c r="V895" s="5"/>
      <c r="W895" s="23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23"/>
      <c r="M896" s="24"/>
      <c r="N896" s="5"/>
      <c r="O896" s="5"/>
      <c r="P896" s="5"/>
      <c r="Q896" s="5"/>
      <c r="R896" s="5"/>
      <c r="S896" s="5"/>
      <c r="T896" s="5"/>
      <c r="U896" s="5"/>
      <c r="V896" s="5"/>
      <c r="W896" s="23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23"/>
      <c r="M897" s="24"/>
      <c r="N897" s="5"/>
      <c r="O897" s="5"/>
      <c r="P897" s="5"/>
      <c r="Q897" s="5"/>
      <c r="R897" s="5"/>
      <c r="S897" s="5"/>
      <c r="T897" s="5"/>
      <c r="U897" s="5"/>
      <c r="V897" s="5"/>
      <c r="W897" s="23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23"/>
      <c r="M898" s="24"/>
      <c r="N898" s="5"/>
      <c r="O898" s="5"/>
      <c r="P898" s="5"/>
      <c r="Q898" s="5"/>
      <c r="R898" s="5"/>
      <c r="S898" s="5"/>
      <c r="T898" s="5"/>
      <c r="U898" s="5"/>
      <c r="V898" s="5"/>
      <c r="W898" s="23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23"/>
      <c r="M899" s="24"/>
      <c r="N899" s="5"/>
      <c r="O899" s="5"/>
      <c r="P899" s="5"/>
      <c r="Q899" s="5"/>
      <c r="R899" s="5"/>
      <c r="S899" s="5"/>
      <c r="T899" s="5"/>
      <c r="U899" s="5"/>
      <c r="V899" s="5"/>
      <c r="W899" s="23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23"/>
      <c r="M900" s="24"/>
      <c r="N900" s="5"/>
      <c r="O900" s="5"/>
      <c r="P900" s="5"/>
      <c r="Q900" s="5"/>
      <c r="R900" s="5"/>
      <c r="S900" s="5"/>
      <c r="T900" s="5"/>
      <c r="U900" s="5"/>
      <c r="V900" s="5"/>
      <c r="W900" s="23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23"/>
      <c r="M901" s="24"/>
      <c r="N901" s="5"/>
      <c r="O901" s="5"/>
      <c r="P901" s="5"/>
      <c r="Q901" s="5"/>
      <c r="R901" s="5"/>
      <c r="S901" s="5"/>
      <c r="T901" s="5"/>
      <c r="U901" s="5"/>
      <c r="V901" s="5"/>
      <c r="W901" s="23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23"/>
      <c r="M902" s="24"/>
      <c r="N902" s="5"/>
      <c r="O902" s="5"/>
      <c r="P902" s="5"/>
      <c r="Q902" s="5"/>
      <c r="R902" s="5"/>
      <c r="S902" s="5"/>
      <c r="T902" s="5"/>
      <c r="U902" s="5"/>
      <c r="V902" s="5"/>
      <c r="W902" s="23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23"/>
      <c r="M903" s="24"/>
      <c r="N903" s="5"/>
      <c r="O903" s="5"/>
      <c r="P903" s="5"/>
      <c r="Q903" s="5"/>
      <c r="R903" s="5"/>
      <c r="S903" s="5"/>
      <c r="T903" s="5"/>
      <c r="U903" s="5"/>
      <c r="V903" s="5"/>
      <c r="W903" s="23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23"/>
      <c r="M904" s="24"/>
      <c r="N904" s="5"/>
      <c r="O904" s="5"/>
      <c r="P904" s="5"/>
      <c r="Q904" s="5"/>
      <c r="R904" s="5"/>
      <c r="S904" s="5"/>
      <c r="T904" s="5"/>
      <c r="U904" s="5"/>
      <c r="V904" s="5"/>
      <c r="W904" s="23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23"/>
      <c r="M905" s="24"/>
      <c r="N905" s="5"/>
      <c r="O905" s="5"/>
      <c r="P905" s="5"/>
      <c r="Q905" s="5"/>
      <c r="R905" s="5"/>
      <c r="S905" s="5"/>
      <c r="T905" s="5"/>
      <c r="U905" s="5"/>
      <c r="V905" s="5"/>
      <c r="W905" s="23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23"/>
      <c r="M906" s="24"/>
      <c r="N906" s="5"/>
      <c r="O906" s="5"/>
      <c r="P906" s="5"/>
      <c r="Q906" s="5"/>
      <c r="R906" s="5"/>
      <c r="S906" s="5"/>
      <c r="T906" s="5"/>
      <c r="U906" s="5"/>
      <c r="V906" s="5"/>
      <c r="W906" s="23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23"/>
      <c r="M907" s="24"/>
      <c r="N907" s="5"/>
      <c r="O907" s="5"/>
      <c r="P907" s="5"/>
      <c r="Q907" s="5"/>
      <c r="R907" s="5"/>
      <c r="S907" s="5"/>
      <c r="T907" s="5"/>
      <c r="U907" s="5"/>
      <c r="V907" s="5"/>
      <c r="W907" s="23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23"/>
      <c r="M908" s="24"/>
      <c r="N908" s="5"/>
      <c r="O908" s="5"/>
      <c r="P908" s="5"/>
      <c r="Q908" s="5"/>
      <c r="R908" s="5"/>
      <c r="S908" s="5"/>
      <c r="T908" s="5"/>
      <c r="U908" s="5"/>
      <c r="V908" s="5"/>
      <c r="W908" s="23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23"/>
      <c r="M909" s="24"/>
      <c r="N909" s="5"/>
      <c r="O909" s="5"/>
      <c r="P909" s="5"/>
      <c r="Q909" s="5"/>
      <c r="R909" s="5"/>
      <c r="S909" s="5"/>
      <c r="T909" s="5"/>
      <c r="U909" s="5"/>
      <c r="V909" s="5"/>
      <c r="W909" s="23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23"/>
      <c r="M910" s="24"/>
      <c r="N910" s="5"/>
      <c r="O910" s="5"/>
      <c r="P910" s="5"/>
      <c r="Q910" s="5"/>
      <c r="R910" s="5"/>
      <c r="S910" s="5"/>
      <c r="T910" s="5"/>
      <c r="U910" s="5"/>
      <c r="V910" s="5"/>
      <c r="W910" s="23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23"/>
      <c r="M911" s="24"/>
      <c r="N911" s="5"/>
      <c r="O911" s="5"/>
      <c r="P911" s="5"/>
      <c r="Q911" s="5"/>
      <c r="R911" s="5"/>
      <c r="S911" s="5"/>
      <c r="T911" s="5"/>
      <c r="U911" s="5"/>
      <c r="V911" s="5"/>
      <c r="W911" s="23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23"/>
      <c r="M912" s="24"/>
      <c r="N912" s="5"/>
      <c r="O912" s="5"/>
      <c r="P912" s="5"/>
      <c r="Q912" s="5"/>
      <c r="R912" s="5"/>
      <c r="S912" s="5"/>
      <c r="T912" s="5"/>
      <c r="U912" s="5"/>
      <c r="V912" s="5"/>
      <c r="W912" s="23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23"/>
      <c r="M913" s="24"/>
      <c r="N913" s="5"/>
      <c r="O913" s="5"/>
      <c r="P913" s="5"/>
      <c r="Q913" s="5"/>
      <c r="R913" s="5"/>
      <c r="S913" s="5"/>
      <c r="T913" s="5"/>
      <c r="U913" s="5"/>
      <c r="V913" s="5"/>
      <c r="W913" s="23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23"/>
      <c r="M914" s="24"/>
      <c r="N914" s="5"/>
      <c r="O914" s="5"/>
      <c r="P914" s="5"/>
      <c r="Q914" s="5"/>
      <c r="R914" s="5"/>
      <c r="S914" s="5"/>
      <c r="T914" s="5"/>
      <c r="U914" s="5"/>
      <c r="V914" s="5"/>
      <c r="W914" s="23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23"/>
      <c r="M915" s="24"/>
      <c r="N915" s="5"/>
      <c r="O915" s="5"/>
      <c r="P915" s="5"/>
      <c r="Q915" s="5"/>
      <c r="R915" s="5"/>
      <c r="S915" s="5"/>
      <c r="T915" s="5"/>
      <c r="U915" s="5"/>
      <c r="V915" s="5"/>
      <c r="W915" s="23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23"/>
      <c r="M916" s="24"/>
      <c r="N916" s="5"/>
      <c r="O916" s="5"/>
      <c r="P916" s="5"/>
      <c r="Q916" s="5"/>
      <c r="R916" s="5"/>
      <c r="S916" s="5"/>
      <c r="T916" s="5"/>
      <c r="U916" s="5"/>
      <c r="V916" s="5"/>
      <c r="W916" s="23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23"/>
      <c r="M917" s="24"/>
      <c r="N917" s="5"/>
      <c r="O917" s="5"/>
      <c r="P917" s="5"/>
      <c r="Q917" s="5"/>
      <c r="R917" s="5"/>
      <c r="S917" s="5"/>
      <c r="T917" s="5"/>
      <c r="U917" s="5"/>
      <c r="V917" s="5"/>
      <c r="W917" s="23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23"/>
      <c r="M918" s="24"/>
      <c r="N918" s="5"/>
      <c r="O918" s="5"/>
      <c r="P918" s="5"/>
      <c r="Q918" s="5"/>
      <c r="R918" s="5"/>
      <c r="S918" s="5"/>
      <c r="T918" s="5"/>
      <c r="U918" s="5"/>
      <c r="V918" s="5"/>
      <c r="W918" s="23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23"/>
      <c r="M919" s="24"/>
      <c r="N919" s="5"/>
      <c r="O919" s="5"/>
      <c r="P919" s="5"/>
      <c r="Q919" s="5"/>
      <c r="R919" s="5"/>
      <c r="S919" s="5"/>
      <c r="T919" s="5"/>
      <c r="U919" s="5"/>
      <c r="V919" s="5"/>
      <c r="W919" s="23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23"/>
      <c r="M920" s="24"/>
      <c r="N920" s="5"/>
      <c r="O920" s="5"/>
      <c r="P920" s="5"/>
      <c r="Q920" s="5"/>
      <c r="R920" s="5"/>
      <c r="S920" s="5"/>
      <c r="T920" s="5"/>
      <c r="U920" s="5"/>
      <c r="V920" s="5"/>
      <c r="W920" s="23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23"/>
      <c r="M921" s="24"/>
      <c r="N921" s="5"/>
      <c r="O921" s="5"/>
      <c r="P921" s="5"/>
      <c r="Q921" s="5"/>
      <c r="R921" s="5"/>
      <c r="S921" s="5"/>
      <c r="T921" s="5"/>
      <c r="U921" s="5"/>
      <c r="V921" s="5"/>
      <c r="W921" s="23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23"/>
      <c r="M922" s="24"/>
      <c r="N922" s="5"/>
      <c r="O922" s="5"/>
      <c r="P922" s="5"/>
      <c r="Q922" s="5"/>
      <c r="R922" s="5"/>
      <c r="S922" s="5"/>
      <c r="T922" s="5"/>
      <c r="U922" s="5"/>
      <c r="V922" s="5"/>
      <c r="W922" s="23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23"/>
      <c r="M923" s="24"/>
      <c r="N923" s="5"/>
      <c r="O923" s="5"/>
      <c r="P923" s="5"/>
      <c r="Q923" s="5"/>
      <c r="R923" s="5"/>
      <c r="S923" s="5"/>
      <c r="T923" s="5"/>
      <c r="U923" s="5"/>
      <c r="V923" s="5"/>
      <c r="W923" s="23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23"/>
      <c r="M924" s="24"/>
      <c r="N924" s="5"/>
      <c r="O924" s="5"/>
      <c r="P924" s="5"/>
      <c r="Q924" s="5"/>
      <c r="R924" s="5"/>
      <c r="S924" s="5"/>
      <c r="T924" s="5"/>
      <c r="U924" s="5"/>
      <c r="V924" s="5"/>
      <c r="W924" s="23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23"/>
      <c r="M925" s="24"/>
      <c r="N925" s="5"/>
      <c r="O925" s="5"/>
      <c r="P925" s="5"/>
      <c r="Q925" s="5"/>
      <c r="R925" s="5"/>
      <c r="S925" s="5"/>
      <c r="T925" s="5"/>
      <c r="U925" s="5"/>
      <c r="V925" s="5"/>
      <c r="W925" s="23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23"/>
      <c r="M926" s="24"/>
      <c r="N926" s="5"/>
      <c r="O926" s="5"/>
      <c r="P926" s="5"/>
      <c r="Q926" s="5"/>
      <c r="R926" s="5"/>
      <c r="S926" s="5"/>
      <c r="T926" s="5"/>
      <c r="U926" s="5"/>
      <c r="V926" s="5"/>
      <c r="W926" s="23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23"/>
      <c r="M927" s="24"/>
      <c r="N927" s="5"/>
      <c r="O927" s="5"/>
      <c r="P927" s="5"/>
      <c r="Q927" s="5"/>
      <c r="R927" s="5"/>
      <c r="S927" s="5"/>
      <c r="T927" s="5"/>
      <c r="U927" s="5"/>
      <c r="V927" s="5"/>
      <c r="W927" s="23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23"/>
      <c r="M928" s="24"/>
      <c r="N928" s="5"/>
      <c r="O928" s="5"/>
      <c r="P928" s="5"/>
      <c r="Q928" s="5"/>
      <c r="R928" s="5"/>
      <c r="S928" s="5"/>
      <c r="T928" s="5"/>
      <c r="U928" s="5"/>
      <c r="V928" s="5"/>
      <c r="W928" s="23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23"/>
      <c r="M929" s="24"/>
      <c r="N929" s="5"/>
      <c r="O929" s="5"/>
      <c r="P929" s="5"/>
      <c r="Q929" s="5"/>
      <c r="R929" s="5"/>
      <c r="S929" s="5"/>
      <c r="T929" s="5"/>
      <c r="U929" s="5"/>
      <c r="V929" s="5"/>
      <c r="W929" s="23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23"/>
      <c r="M930" s="24"/>
      <c r="N930" s="5"/>
      <c r="O930" s="5"/>
      <c r="P930" s="5"/>
      <c r="Q930" s="5"/>
      <c r="R930" s="5"/>
      <c r="S930" s="5"/>
      <c r="T930" s="5"/>
      <c r="U930" s="5"/>
      <c r="V930" s="5"/>
      <c r="W930" s="23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23"/>
      <c r="M931" s="24"/>
      <c r="N931" s="5"/>
      <c r="O931" s="5"/>
      <c r="P931" s="5"/>
      <c r="Q931" s="5"/>
      <c r="R931" s="5"/>
      <c r="S931" s="5"/>
      <c r="T931" s="5"/>
      <c r="U931" s="5"/>
      <c r="V931" s="5"/>
      <c r="W931" s="23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23"/>
      <c r="M932" s="24"/>
      <c r="N932" s="5"/>
      <c r="O932" s="5"/>
      <c r="P932" s="5"/>
      <c r="Q932" s="5"/>
      <c r="R932" s="5"/>
      <c r="S932" s="5"/>
      <c r="T932" s="5"/>
      <c r="U932" s="5"/>
      <c r="V932" s="5"/>
      <c r="W932" s="23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23"/>
      <c r="M933" s="24"/>
      <c r="N933" s="5"/>
      <c r="O933" s="5"/>
      <c r="P933" s="5"/>
      <c r="Q933" s="5"/>
      <c r="R933" s="5"/>
      <c r="S933" s="5"/>
      <c r="T933" s="5"/>
      <c r="U933" s="5"/>
      <c r="V933" s="5"/>
      <c r="W933" s="23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23"/>
      <c r="M934" s="24"/>
      <c r="N934" s="5"/>
      <c r="O934" s="5"/>
      <c r="P934" s="5"/>
      <c r="Q934" s="5"/>
      <c r="R934" s="5"/>
      <c r="S934" s="5"/>
      <c r="T934" s="5"/>
      <c r="U934" s="5"/>
      <c r="V934" s="5"/>
      <c r="W934" s="23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23"/>
      <c r="M935" s="24"/>
      <c r="N935" s="5"/>
      <c r="O935" s="5"/>
      <c r="P935" s="5"/>
      <c r="Q935" s="5"/>
      <c r="R935" s="5"/>
      <c r="S935" s="5"/>
      <c r="T935" s="5"/>
      <c r="U935" s="5"/>
      <c r="V935" s="5"/>
      <c r="W935" s="23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23"/>
      <c r="M936" s="24"/>
      <c r="N936" s="5"/>
      <c r="O936" s="5"/>
      <c r="P936" s="5"/>
      <c r="Q936" s="5"/>
      <c r="R936" s="5"/>
      <c r="S936" s="5"/>
      <c r="T936" s="5"/>
      <c r="U936" s="5"/>
      <c r="V936" s="5"/>
      <c r="W936" s="23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23"/>
      <c r="M937" s="24"/>
      <c r="N937" s="5"/>
      <c r="O937" s="5"/>
      <c r="P937" s="5"/>
      <c r="Q937" s="5"/>
      <c r="R937" s="5"/>
      <c r="S937" s="5"/>
      <c r="T937" s="5"/>
      <c r="U937" s="5"/>
      <c r="V937" s="5"/>
      <c r="W937" s="23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23"/>
      <c r="M938" s="24"/>
      <c r="N938" s="5"/>
      <c r="O938" s="5"/>
      <c r="P938" s="5"/>
      <c r="Q938" s="5"/>
      <c r="R938" s="5"/>
      <c r="S938" s="5"/>
      <c r="T938" s="5"/>
      <c r="U938" s="5"/>
      <c r="V938" s="5"/>
      <c r="W938" s="23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23"/>
      <c r="M939" s="24"/>
      <c r="N939" s="5"/>
      <c r="O939" s="5"/>
      <c r="P939" s="5"/>
      <c r="Q939" s="5"/>
      <c r="R939" s="5"/>
      <c r="S939" s="5"/>
      <c r="T939" s="5"/>
      <c r="U939" s="5"/>
      <c r="V939" s="5"/>
      <c r="W939" s="23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23"/>
      <c r="M940" s="24"/>
      <c r="N940" s="5"/>
      <c r="O940" s="5"/>
      <c r="P940" s="5"/>
      <c r="Q940" s="5"/>
      <c r="R940" s="5"/>
      <c r="S940" s="5"/>
      <c r="T940" s="5"/>
      <c r="U940" s="5"/>
      <c r="V940" s="5"/>
      <c r="W940" s="23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23"/>
      <c r="M941" s="24"/>
      <c r="N941" s="5"/>
      <c r="O941" s="5"/>
      <c r="P941" s="5"/>
      <c r="Q941" s="5"/>
      <c r="R941" s="5"/>
      <c r="S941" s="5"/>
      <c r="T941" s="5"/>
      <c r="U941" s="5"/>
      <c r="V941" s="5"/>
      <c r="W941" s="23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23"/>
      <c r="M942" s="24"/>
      <c r="N942" s="5"/>
      <c r="O942" s="5"/>
      <c r="P942" s="5"/>
      <c r="Q942" s="5"/>
      <c r="R942" s="5"/>
      <c r="S942" s="5"/>
      <c r="T942" s="5"/>
      <c r="U942" s="5"/>
      <c r="V942" s="5"/>
      <c r="W942" s="23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23"/>
      <c r="M943" s="24"/>
      <c r="N943" s="5"/>
      <c r="O943" s="5"/>
      <c r="P943" s="5"/>
      <c r="Q943" s="5"/>
      <c r="R943" s="5"/>
      <c r="S943" s="5"/>
      <c r="T943" s="5"/>
      <c r="U943" s="5"/>
      <c r="V943" s="5"/>
      <c r="W943" s="23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23"/>
      <c r="M944" s="24"/>
      <c r="N944" s="5"/>
      <c r="O944" s="5"/>
      <c r="P944" s="5"/>
      <c r="Q944" s="5"/>
      <c r="R944" s="5"/>
      <c r="S944" s="5"/>
      <c r="T944" s="5"/>
      <c r="U944" s="5"/>
      <c r="V944" s="5"/>
      <c r="W944" s="23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23"/>
      <c r="M945" s="24"/>
      <c r="N945" s="5"/>
      <c r="O945" s="5"/>
      <c r="P945" s="5"/>
      <c r="Q945" s="5"/>
      <c r="R945" s="5"/>
      <c r="S945" s="5"/>
      <c r="T945" s="5"/>
      <c r="U945" s="5"/>
      <c r="V945" s="5"/>
      <c r="W945" s="23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23"/>
      <c r="M946" s="24"/>
      <c r="N946" s="5"/>
      <c r="O946" s="5"/>
      <c r="P946" s="5"/>
      <c r="Q946" s="5"/>
      <c r="R946" s="5"/>
      <c r="S946" s="5"/>
      <c r="T946" s="5"/>
      <c r="U946" s="5"/>
      <c r="V946" s="5"/>
      <c r="W946" s="23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23"/>
      <c r="M947" s="24"/>
      <c r="N947" s="5"/>
      <c r="O947" s="5"/>
      <c r="P947" s="5"/>
      <c r="Q947" s="5"/>
      <c r="R947" s="5"/>
      <c r="S947" s="5"/>
      <c r="T947" s="5"/>
      <c r="U947" s="5"/>
      <c r="V947" s="5"/>
      <c r="W947" s="23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23"/>
      <c r="M948" s="24"/>
      <c r="N948" s="5"/>
      <c r="O948" s="5"/>
      <c r="P948" s="5"/>
      <c r="Q948" s="5"/>
      <c r="R948" s="5"/>
      <c r="S948" s="5"/>
      <c r="T948" s="5"/>
      <c r="U948" s="5"/>
      <c r="V948" s="5"/>
      <c r="W948" s="23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23"/>
      <c r="M949" s="24"/>
      <c r="N949" s="5"/>
      <c r="O949" s="5"/>
      <c r="P949" s="5"/>
      <c r="Q949" s="5"/>
      <c r="R949" s="5"/>
      <c r="S949" s="5"/>
      <c r="T949" s="5"/>
      <c r="U949" s="5"/>
      <c r="V949" s="5"/>
      <c r="W949" s="23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23"/>
      <c r="M950" s="24"/>
      <c r="N950" s="5"/>
      <c r="O950" s="5"/>
      <c r="P950" s="5"/>
      <c r="Q950" s="5"/>
      <c r="R950" s="5"/>
      <c r="S950" s="5"/>
      <c r="T950" s="5"/>
      <c r="U950" s="5"/>
      <c r="V950" s="5"/>
      <c r="W950" s="23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23"/>
      <c r="M951" s="24"/>
      <c r="N951" s="5"/>
      <c r="O951" s="5"/>
      <c r="P951" s="5"/>
      <c r="Q951" s="5"/>
      <c r="R951" s="5"/>
      <c r="S951" s="5"/>
      <c r="T951" s="5"/>
      <c r="U951" s="5"/>
      <c r="V951" s="5"/>
      <c r="W951" s="23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23"/>
      <c r="M952" s="24"/>
      <c r="N952" s="5"/>
      <c r="O952" s="5"/>
      <c r="P952" s="5"/>
      <c r="Q952" s="5"/>
      <c r="R952" s="5"/>
      <c r="S952" s="5"/>
      <c r="T952" s="5"/>
      <c r="U952" s="5"/>
      <c r="V952" s="5"/>
      <c r="W952" s="23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23"/>
      <c r="M953" s="24"/>
      <c r="N953" s="5"/>
      <c r="O953" s="5"/>
      <c r="P953" s="5"/>
      <c r="Q953" s="5"/>
      <c r="R953" s="5"/>
      <c r="S953" s="5"/>
      <c r="T953" s="5"/>
      <c r="U953" s="5"/>
      <c r="V953" s="5"/>
      <c r="W953" s="23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23"/>
      <c r="M954" s="24"/>
      <c r="N954" s="5"/>
      <c r="O954" s="5"/>
      <c r="P954" s="5"/>
      <c r="Q954" s="5"/>
      <c r="R954" s="5"/>
      <c r="S954" s="5"/>
      <c r="T954" s="5"/>
      <c r="U954" s="5"/>
      <c r="V954" s="5"/>
      <c r="W954" s="23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23"/>
      <c r="M955" s="24"/>
      <c r="N955" s="5"/>
      <c r="O955" s="5"/>
      <c r="P955" s="5"/>
      <c r="Q955" s="5"/>
      <c r="R955" s="5"/>
      <c r="S955" s="5"/>
      <c r="T955" s="5"/>
      <c r="U955" s="5"/>
      <c r="V955" s="5"/>
      <c r="W955" s="23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23"/>
      <c r="M956" s="24"/>
      <c r="N956" s="5"/>
      <c r="O956" s="5"/>
      <c r="P956" s="5"/>
      <c r="Q956" s="5"/>
      <c r="R956" s="5"/>
      <c r="S956" s="5"/>
      <c r="T956" s="5"/>
      <c r="U956" s="5"/>
      <c r="V956" s="5"/>
      <c r="W956" s="23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23"/>
      <c r="M957" s="24"/>
      <c r="N957" s="5"/>
      <c r="O957" s="5"/>
      <c r="P957" s="5"/>
      <c r="Q957" s="5"/>
      <c r="R957" s="5"/>
      <c r="S957" s="5"/>
      <c r="T957" s="5"/>
      <c r="U957" s="5"/>
      <c r="V957" s="5"/>
      <c r="W957" s="23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23"/>
      <c r="M958" s="24"/>
      <c r="N958" s="5"/>
      <c r="O958" s="5"/>
      <c r="P958" s="5"/>
      <c r="Q958" s="5"/>
      <c r="R958" s="5"/>
      <c r="S958" s="5"/>
      <c r="T958" s="5"/>
      <c r="U958" s="5"/>
      <c r="V958" s="5"/>
      <c r="W958" s="23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23"/>
      <c r="M959" s="24"/>
      <c r="N959" s="5"/>
      <c r="O959" s="5"/>
      <c r="P959" s="5"/>
      <c r="Q959" s="5"/>
      <c r="R959" s="5"/>
      <c r="S959" s="5"/>
      <c r="T959" s="5"/>
      <c r="U959" s="5"/>
      <c r="V959" s="5"/>
      <c r="W959" s="23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23"/>
      <c r="M960" s="24"/>
      <c r="N960" s="5"/>
      <c r="O960" s="5"/>
      <c r="P960" s="5"/>
      <c r="Q960" s="5"/>
      <c r="R960" s="5"/>
      <c r="S960" s="5"/>
      <c r="T960" s="5"/>
      <c r="U960" s="5"/>
      <c r="V960" s="5"/>
      <c r="W960" s="23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23"/>
      <c r="M961" s="24"/>
      <c r="N961" s="5"/>
      <c r="O961" s="5"/>
      <c r="P961" s="5"/>
      <c r="Q961" s="5"/>
      <c r="R961" s="5"/>
      <c r="S961" s="5"/>
      <c r="T961" s="5"/>
      <c r="U961" s="5"/>
      <c r="V961" s="5"/>
      <c r="W961" s="23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23"/>
      <c r="M962" s="24"/>
      <c r="N962" s="5"/>
      <c r="O962" s="5"/>
      <c r="P962" s="5"/>
      <c r="Q962" s="5"/>
      <c r="R962" s="5"/>
      <c r="S962" s="5"/>
      <c r="T962" s="5"/>
      <c r="U962" s="5"/>
      <c r="V962" s="5"/>
      <c r="W962" s="23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23"/>
      <c r="M963" s="24"/>
      <c r="N963" s="5"/>
      <c r="O963" s="5"/>
      <c r="P963" s="5"/>
      <c r="Q963" s="5"/>
      <c r="R963" s="5"/>
      <c r="S963" s="5"/>
      <c r="T963" s="5"/>
      <c r="U963" s="5"/>
      <c r="V963" s="5"/>
      <c r="W963" s="23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23"/>
      <c r="M964" s="24"/>
      <c r="N964" s="5"/>
      <c r="O964" s="5"/>
      <c r="P964" s="5"/>
      <c r="Q964" s="5"/>
      <c r="R964" s="5"/>
      <c r="S964" s="5"/>
      <c r="T964" s="5"/>
      <c r="U964" s="5"/>
      <c r="V964" s="5"/>
      <c r="W964" s="23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23"/>
      <c r="M965" s="24"/>
      <c r="N965" s="5"/>
      <c r="O965" s="5"/>
      <c r="P965" s="5"/>
      <c r="Q965" s="5"/>
      <c r="R965" s="5"/>
      <c r="S965" s="5"/>
      <c r="T965" s="5"/>
      <c r="U965" s="5"/>
      <c r="V965" s="5"/>
      <c r="W965" s="23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23"/>
      <c r="M966" s="24"/>
      <c r="N966" s="5"/>
      <c r="O966" s="5"/>
      <c r="P966" s="5"/>
      <c r="Q966" s="5"/>
      <c r="R966" s="5"/>
      <c r="S966" s="5"/>
      <c r="T966" s="5"/>
      <c r="U966" s="5"/>
      <c r="V966" s="5"/>
      <c r="W966" s="23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23"/>
      <c r="M967" s="24"/>
      <c r="N967" s="5"/>
      <c r="O967" s="5"/>
      <c r="P967" s="5"/>
      <c r="Q967" s="5"/>
      <c r="R967" s="5"/>
      <c r="S967" s="5"/>
      <c r="T967" s="5"/>
      <c r="U967" s="5"/>
      <c r="V967" s="5"/>
      <c r="W967" s="23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23"/>
      <c r="M968" s="24"/>
      <c r="N968" s="5"/>
      <c r="O968" s="5"/>
      <c r="P968" s="5"/>
      <c r="Q968" s="5"/>
      <c r="R968" s="5"/>
      <c r="S968" s="5"/>
      <c r="T968" s="5"/>
      <c r="U968" s="5"/>
      <c r="V968" s="5"/>
      <c r="W968" s="23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23"/>
      <c r="M969" s="24"/>
      <c r="N969" s="5"/>
      <c r="O969" s="5"/>
      <c r="P969" s="5"/>
      <c r="Q969" s="5"/>
      <c r="R969" s="5"/>
      <c r="S969" s="5"/>
      <c r="T969" s="5"/>
      <c r="U969" s="5"/>
      <c r="V969" s="5"/>
      <c r="W969" s="23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23"/>
      <c r="M970" s="24"/>
      <c r="N970" s="5"/>
      <c r="O970" s="5"/>
      <c r="P970" s="5"/>
      <c r="Q970" s="5"/>
      <c r="R970" s="5"/>
      <c r="S970" s="5"/>
      <c r="T970" s="5"/>
      <c r="U970" s="5"/>
      <c r="V970" s="5"/>
      <c r="W970" s="23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23"/>
      <c r="M971" s="24"/>
      <c r="N971" s="5"/>
      <c r="O971" s="5"/>
      <c r="P971" s="5"/>
      <c r="Q971" s="5"/>
      <c r="R971" s="5"/>
      <c r="S971" s="5"/>
      <c r="T971" s="5"/>
      <c r="U971" s="5"/>
      <c r="V971" s="5"/>
      <c r="W971" s="23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23"/>
      <c r="M972" s="24"/>
      <c r="N972" s="5"/>
      <c r="O972" s="5"/>
      <c r="P972" s="5"/>
      <c r="Q972" s="5"/>
      <c r="R972" s="5"/>
      <c r="S972" s="5"/>
      <c r="T972" s="5"/>
      <c r="U972" s="5"/>
      <c r="V972" s="5"/>
      <c r="W972" s="23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23"/>
      <c r="M973" s="24"/>
      <c r="N973" s="5"/>
      <c r="O973" s="5"/>
      <c r="P973" s="5"/>
      <c r="Q973" s="5"/>
      <c r="R973" s="5"/>
      <c r="S973" s="5"/>
      <c r="T973" s="5"/>
      <c r="U973" s="5"/>
      <c r="V973" s="5"/>
      <c r="W973" s="23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23"/>
      <c r="M974" s="24"/>
      <c r="N974" s="5"/>
      <c r="O974" s="5"/>
      <c r="P974" s="5"/>
      <c r="Q974" s="5"/>
      <c r="R974" s="5"/>
      <c r="S974" s="5"/>
      <c r="T974" s="5"/>
      <c r="U974" s="5"/>
      <c r="V974" s="5"/>
      <c r="W974" s="23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23"/>
      <c r="M975" s="24"/>
      <c r="N975" s="5"/>
      <c r="O975" s="5"/>
      <c r="P975" s="5"/>
      <c r="Q975" s="5"/>
      <c r="R975" s="5"/>
      <c r="S975" s="5"/>
      <c r="T975" s="5"/>
      <c r="U975" s="5"/>
      <c r="V975" s="5"/>
      <c r="W975" s="23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23"/>
      <c r="M976" s="24"/>
      <c r="N976" s="5"/>
      <c r="O976" s="5"/>
      <c r="P976" s="5"/>
      <c r="Q976" s="5"/>
      <c r="R976" s="5"/>
      <c r="S976" s="5"/>
      <c r="T976" s="5"/>
      <c r="U976" s="5"/>
      <c r="V976" s="5"/>
      <c r="W976" s="23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23"/>
      <c r="M977" s="24"/>
      <c r="N977" s="5"/>
      <c r="O977" s="5"/>
      <c r="P977" s="5"/>
      <c r="Q977" s="5"/>
      <c r="R977" s="5"/>
      <c r="S977" s="5"/>
      <c r="T977" s="5"/>
      <c r="U977" s="5"/>
      <c r="V977" s="5"/>
      <c r="W977" s="23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23"/>
      <c r="M978" s="24"/>
      <c r="N978" s="5"/>
      <c r="O978" s="5"/>
      <c r="P978" s="5"/>
      <c r="Q978" s="5"/>
      <c r="R978" s="5"/>
      <c r="S978" s="5"/>
      <c r="T978" s="5"/>
      <c r="U978" s="5"/>
      <c r="V978" s="5"/>
      <c r="W978" s="23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23"/>
      <c r="M979" s="24"/>
      <c r="N979" s="5"/>
      <c r="O979" s="5"/>
      <c r="P979" s="5"/>
      <c r="Q979" s="5"/>
      <c r="R979" s="5"/>
      <c r="S979" s="5"/>
      <c r="T979" s="5"/>
      <c r="U979" s="5"/>
      <c r="V979" s="5"/>
      <c r="W979" s="23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23"/>
      <c r="M980" s="24"/>
      <c r="N980" s="5"/>
      <c r="O980" s="5"/>
      <c r="P980" s="5"/>
      <c r="Q980" s="5"/>
      <c r="R980" s="5"/>
      <c r="S980" s="5"/>
      <c r="T980" s="5"/>
      <c r="U980" s="5"/>
      <c r="V980" s="5"/>
      <c r="W980" s="23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23"/>
      <c r="M981" s="24"/>
      <c r="N981" s="5"/>
      <c r="O981" s="5"/>
      <c r="P981" s="5"/>
      <c r="Q981" s="5"/>
      <c r="R981" s="5"/>
      <c r="S981" s="5"/>
      <c r="T981" s="5"/>
      <c r="U981" s="5"/>
      <c r="V981" s="5"/>
      <c r="W981" s="23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23"/>
      <c r="M982" s="24"/>
      <c r="N982" s="5"/>
      <c r="O982" s="5"/>
      <c r="P982" s="5"/>
      <c r="Q982" s="5"/>
      <c r="R982" s="5"/>
      <c r="S982" s="5"/>
      <c r="T982" s="5"/>
      <c r="U982" s="5"/>
      <c r="V982" s="5"/>
      <c r="W982" s="23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23"/>
      <c r="M983" s="24"/>
      <c r="N983" s="5"/>
      <c r="O983" s="5"/>
      <c r="P983" s="5"/>
      <c r="Q983" s="5"/>
      <c r="R983" s="5"/>
      <c r="S983" s="5"/>
      <c r="T983" s="5"/>
      <c r="U983" s="5"/>
      <c r="V983" s="5"/>
      <c r="W983" s="23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23"/>
      <c r="M984" s="24"/>
      <c r="N984" s="5"/>
      <c r="O984" s="5"/>
      <c r="P984" s="5"/>
      <c r="Q984" s="5"/>
      <c r="R984" s="5"/>
      <c r="S984" s="5"/>
      <c r="T984" s="5"/>
      <c r="U984" s="5"/>
      <c r="V984" s="5"/>
      <c r="W984" s="23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23"/>
      <c r="M985" s="24"/>
      <c r="N985" s="5"/>
      <c r="O985" s="5"/>
      <c r="P985" s="5"/>
      <c r="Q985" s="5"/>
      <c r="R985" s="5"/>
      <c r="S985" s="5"/>
      <c r="T985" s="5"/>
      <c r="U985" s="5"/>
      <c r="V985" s="5"/>
      <c r="W985" s="23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23"/>
      <c r="M986" s="24"/>
      <c r="N986" s="5"/>
      <c r="O986" s="5"/>
      <c r="P986" s="5"/>
      <c r="Q986" s="5"/>
      <c r="R986" s="5"/>
      <c r="S986" s="5"/>
      <c r="T986" s="5"/>
      <c r="U986" s="5"/>
      <c r="V986" s="5"/>
      <c r="W986" s="23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23"/>
      <c r="M987" s="24"/>
      <c r="N987" s="5"/>
      <c r="O987" s="5"/>
      <c r="P987" s="5"/>
      <c r="Q987" s="5"/>
      <c r="R987" s="5"/>
      <c r="S987" s="5"/>
      <c r="T987" s="5"/>
      <c r="U987" s="5"/>
      <c r="V987" s="5"/>
      <c r="W987" s="23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23"/>
      <c r="M988" s="24"/>
      <c r="N988" s="5"/>
      <c r="O988" s="5"/>
      <c r="P988" s="5"/>
      <c r="Q988" s="5"/>
      <c r="R988" s="5"/>
      <c r="S988" s="5"/>
      <c r="T988" s="5"/>
      <c r="U988" s="5"/>
      <c r="V988" s="5"/>
      <c r="W988" s="23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23"/>
      <c r="M989" s="24"/>
      <c r="N989" s="5"/>
      <c r="O989" s="5"/>
      <c r="P989" s="5"/>
      <c r="Q989" s="5"/>
      <c r="R989" s="5"/>
      <c r="S989" s="5"/>
      <c r="T989" s="5"/>
      <c r="U989" s="5"/>
      <c r="V989" s="5"/>
      <c r="W989" s="23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23"/>
      <c r="M990" s="24"/>
      <c r="N990" s="5"/>
      <c r="O990" s="5"/>
      <c r="P990" s="5"/>
      <c r="Q990" s="5"/>
      <c r="R990" s="5"/>
      <c r="S990" s="5"/>
      <c r="T990" s="5"/>
      <c r="U990" s="5"/>
      <c r="V990" s="5"/>
      <c r="W990" s="23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23"/>
      <c r="M991" s="24"/>
      <c r="N991" s="5"/>
      <c r="O991" s="5"/>
      <c r="P991" s="5"/>
      <c r="Q991" s="5"/>
      <c r="R991" s="5"/>
      <c r="S991" s="5"/>
      <c r="T991" s="5"/>
      <c r="U991" s="5"/>
      <c r="V991" s="5"/>
      <c r="W991" s="23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23"/>
      <c r="M992" s="24"/>
      <c r="N992" s="5"/>
      <c r="O992" s="5"/>
      <c r="P992" s="5"/>
      <c r="Q992" s="5"/>
      <c r="R992" s="5"/>
      <c r="S992" s="5"/>
      <c r="T992" s="5"/>
      <c r="U992" s="5"/>
      <c r="V992" s="5"/>
      <c r="W992" s="23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23"/>
      <c r="M993" s="24"/>
      <c r="N993" s="5"/>
      <c r="O993" s="5"/>
      <c r="P993" s="5"/>
      <c r="Q993" s="5"/>
      <c r="R993" s="5"/>
      <c r="S993" s="5"/>
      <c r="T993" s="5"/>
      <c r="U993" s="5"/>
      <c r="V993" s="5"/>
      <c r="W993" s="23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23"/>
      <c r="M994" s="24"/>
      <c r="N994" s="5"/>
      <c r="O994" s="5"/>
      <c r="P994" s="5"/>
      <c r="Q994" s="5"/>
      <c r="R994" s="5"/>
      <c r="S994" s="5"/>
      <c r="T994" s="5"/>
      <c r="U994" s="5"/>
      <c r="V994" s="5"/>
      <c r="W994" s="23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23"/>
      <c r="M995" s="24"/>
      <c r="N995" s="5"/>
      <c r="O995" s="5"/>
      <c r="P995" s="5"/>
      <c r="Q995" s="5"/>
      <c r="R995" s="5"/>
      <c r="S995" s="5"/>
      <c r="T995" s="5"/>
      <c r="U995" s="5"/>
      <c r="V995" s="5"/>
      <c r="W995" s="23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23"/>
      <c r="M996" s="24"/>
      <c r="N996" s="5"/>
      <c r="O996" s="5"/>
      <c r="P996" s="5"/>
      <c r="Q996" s="5"/>
      <c r="R996" s="5"/>
      <c r="S996" s="5"/>
      <c r="T996" s="5"/>
      <c r="U996" s="5"/>
      <c r="V996" s="5"/>
      <c r="W996" s="23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23"/>
      <c r="M997" s="24"/>
      <c r="N997" s="5"/>
      <c r="O997" s="5"/>
      <c r="P997" s="5"/>
      <c r="Q997" s="5"/>
      <c r="R997" s="5"/>
      <c r="S997" s="5"/>
      <c r="T997" s="5"/>
      <c r="U997" s="5"/>
      <c r="V997" s="5"/>
      <c r="W997" s="23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23"/>
      <c r="M998" s="24"/>
      <c r="N998" s="5"/>
      <c r="O998" s="5"/>
      <c r="P998" s="5"/>
      <c r="Q998" s="5"/>
      <c r="R998" s="5"/>
      <c r="S998" s="5"/>
      <c r="T998" s="5"/>
      <c r="U998" s="5"/>
      <c r="V998" s="5"/>
      <c r="W998" s="23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23"/>
      <c r="M999" s="24"/>
      <c r="N999" s="5"/>
      <c r="O999" s="5"/>
      <c r="P999" s="5"/>
      <c r="Q999" s="5"/>
      <c r="R999" s="5"/>
      <c r="S999" s="5"/>
      <c r="T999" s="5"/>
      <c r="U999" s="5"/>
      <c r="V999" s="5"/>
      <c r="W999" s="23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23"/>
      <c r="M1000" s="24"/>
      <c r="N1000" s="5"/>
      <c r="O1000" s="5"/>
      <c r="P1000" s="5"/>
      <c r="Q1000" s="5"/>
      <c r="R1000" s="5"/>
      <c r="S1000" s="5"/>
      <c r="T1000" s="5"/>
      <c r="U1000" s="5"/>
      <c r="V1000" s="5"/>
      <c r="W1000" s="23"/>
      <c r="X1000" s="5"/>
      <c r="Y1000" s="5"/>
      <c r="Z1000" s="5"/>
      <c r="AA1000" s="5"/>
      <c r="AB1000" s="5"/>
      <c r="AC1000" s="5"/>
      <c r="AD1000" s="5"/>
    </row>
  </sheetData>
  <mergeCells count="10">
    <mergeCell ref="H74:H77"/>
    <mergeCell ref="H84:H87"/>
    <mergeCell ref="H94:H97"/>
    <mergeCell ref="H4:H7"/>
    <mergeCell ref="H14:H17"/>
    <mergeCell ref="H24:H27"/>
    <mergeCell ref="H34:H37"/>
    <mergeCell ref="H44:H47"/>
    <mergeCell ref="H54:H57"/>
    <mergeCell ref="H64:H67"/>
  </mergeCells>
  <conditionalFormatting sqref="N4:N7 N14:N17 N24:N27">
    <cfRule type="colorScale" priority="1">
      <colorScale>
        <cfvo type="formula" val="0"/>
        <cfvo type="formula" val="0.5"/>
        <cfvo type="max"/>
        <color rgb="FF57BB8A"/>
        <color rgb="FFFFFFFF"/>
        <color rgb="FFE67C73"/>
      </colorScale>
    </cfRule>
  </conditionalFormatting>
  <conditionalFormatting sqref="N8 N18 N28">
    <cfRule type="colorScale" priority="2">
      <colorScale>
        <cfvo type="formula" val="0"/>
        <cfvo type="formula" val="2"/>
        <cfvo type="formula" val="4"/>
        <color rgb="FF57BB8A"/>
        <color rgb="FFFFFFFF"/>
        <color rgb="FFE67C73"/>
      </colorScale>
    </cfRule>
  </conditionalFormatting>
  <conditionalFormatting sqref="M4:M7 M14:M17 M24:M27">
    <cfRule type="colorScale" priority="3">
      <colorScale>
        <cfvo type="min"/>
        <cfvo type="percentile" val="50"/>
        <cfvo type="formula" val="1"/>
        <color rgb="FFE67C73"/>
        <color rgb="FFFFFFFF"/>
        <color rgb="FF57BB8A"/>
      </colorScale>
    </cfRule>
  </conditionalFormatting>
  <conditionalFormatting sqref="O4:O7 O14:O17 O24:O27">
    <cfRule type="colorScale" priority="4">
      <colorScale>
        <cfvo type="min"/>
        <cfvo type="max"/>
        <color rgb="FFFFFFFF"/>
        <color rgb="FFE67C73"/>
      </colorScale>
    </cfRule>
  </conditionalFormatting>
  <conditionalFormatting sqref="O8 O18 O28">
    <cfRule type="colorScale" priority="5">
      <colorScale>
        <cfvo type="formula" val="0"/>
        <cfvo type="formula" val="2"/>
        <cfvo type="formula" val="4"/>
        <color rgb="FF57BB8A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0"/>
  </cols>
  <sheetData>
    <row r="1">
      <c r="A1" s="8" t="str">
        <f>'我的食材隊檔案'!D1</f>
        <v>食材名</v>
      </c>
      <c r="B1" s="8" t="str">
        <f>'我的食材隊檔案'!E1</f>
        <v>食材圖</v>
      </c>
      <c r="C1" s="8" t="s">
        <v>51</v>
      </c>
      <c r="D1" s="8" t="s">
        <v>83</v>
      </c>
      <c r="E1" s="8" t="s">
        <v>84</v>
      </c>
      <c r="F1" s="5"/>
      <c r="H1" s="5"/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tr">
        <f>'我的食材隊檔案'!D2</f>
        <v>粗枝大蔥</v>
      </c>
      <c r="B2" s="8" t="str">
        <f>'我的食材隊檔案'!E2</f>
        <v/>
      </c>
      <c r="C2" s="7">
        <v>87.81</v>
      </c>
      <c r="D2" s="7">
        <v>69.29</v>
      </c>
      <c r="E2" s="7">
        <v>43.95</v>
      </c>
      <c r="F2" s="5"/>
      <c r="H2" s="5"/>
      <c r="I2" s="5"/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tr">
        <f>'我的食材隊檔案'!D3</f>
        <v>品鮮蘑菇</v>
      </c>
      <c r="B3" s="8" t="str">
        <f>'我的食材隊檔案'!E3</f>
        <v/>
      </c>
      <c r="C3" s="7">
        <v>92.67</v>
      </c>
      <c r="D3" s="7">
        <v>74.32</v>
      </c>
      <c r="E3" s="7">
        <v>48.2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tr">
        <f>'我的食材隊檔案'!D4</f>
        <v>特選蛋</v>
      </c>
      <c r="B4" s="8" t="str">
        <f>'我的食材隊檔案'!E4</f>
        <v/>
      </c>
      <c r="C4" s="7">
        <v>127.29</v>
      </c>
      <c r="D4" s="7">
        <v>105.77</v>
      </c>
      <c r="E4" s="7">
        <v>69.26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tr">
        <f>'我的食材隊檔案'!D5</f>
        <v>窩心洋芋</v>
      </c>
      <c r="B5" s="8" t="str">
        <f>'我的食材隊檔案'!E5</f>
        <v/>
      </c>
      <c r="C5" s="7">
        <v>120.45</v>
      </c>
      <c r="D5" s="7">
        <v>98.51</v>
      </c>
      <c r="E5" s="7">
        <v>63.02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tr">
        <f>'我的食材隊檔案'!D6</f>
        <v>特選蘋果</v>
      </c>
      <c r="B6" s="8" t="str">
        <f>'我的食材隊檔案'!E6</f>
        <v/>
      </c>
      <c r="C6" s="7">
        <v>163.61</v>
      </c>
      <c r="D6" s="7">
        <v>130.79</v>
      </c>
      <c r="E6" s="7">
        <v>83.89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tr">
        <f>'我的食材隊檔案'!D7</f>
        <v>火辣香草</v>
      </c>
      <c r="B7" s="8" t="str">
        <f>'我的食材隊檔案'!E7</f>
        <v/>
      </c>
      <c r="C7" s="7">
        <v>168.36</v>
      </c>
      <c r="D7" s="7">
        <v>132.86</v>
      </c>
      <c r="E7" s="7">
        <v>86.34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tr">
        <f>'我的食材隊檔案'!D8</f>
        <v>豆製肉</v>
      </c>
      <c r="B8" s="8" t="str">
        <f>'我的食材隊檔案'!E8</f>
        <v/>
      </c>
      <c r="C8" s="7">
        <v>157.5</v>
      </c>
      <c r="D8" s="7">
        <v>125.6</v>
      </c>
      <c r="E8" s="7">
        <v>80.95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tr">
        <f>'我的食材隊檔案'!D9</f>
        <v>哞哞鮮奶</v>
      </c>
      <c r="B9" s="8" t="str">
        <f>'我的食材隊檔案'!E9</f>
        <v/>
      </c>
      <c r="C9" s="7">
        <v>161.87</v>
      </c>
      <c r="D9" s="7">
        <v>128.22</v>
      </c>
      <c r="E9" s="7">
        <v>82.42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tr">
        <f>'我的食材隊檔案'!D10</f>
        <v>甜甜蜜</v>
      </c>
      <c r="B10" s="8" t="str">
        <f>'我的食材隊檔案'!E10</f>
        <v/>
      </c>
      <c r="C10" s="7">
        <v>156.57</v>
      </c>
      <c r="D10" s="7">
        <v>124.03</v>
      </c>
      <c r="E10" s="7">
        <v>79.72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tr">
        <f>'我的食材隊檔案'!D11</f>
        <v>純粹油</v>
      </c>
      <c r="B11" s="8" t="str">
        <f>'我的食材隊檔案'!E11</f>
        <v/>
      </c>
      <c r="C11" s="7">
        <v>111.06</v>
      </c>
      <c r="D11" s="7">
        <v>87.83</v>
      </c>
      <c r="E11" s="7">
        <v>55.96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tr">
        <f>'我的食材隊檔案'!D12</f>
        <v>暖暖薑</v>
      </c>
      <c r="B12" s="8" t="str">
        <f>'我的食材隊檔案'!E12</f>
        <v/>
      </c>
      <c r="C12" s="7">
        <v>162.39</v>
      </c>
      <c r="D12" s="7">
        <v>129.81</v>
      </c>
      <c r="E12" s="7">
        <v>83.27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tr">
        <f>'我的食材隊檔案'!D13</f>
        <v>好眠番茄</v>
      </c>
      <c r="B13" s="8" t="str">
        <f>'我的食材隊檔案'!E13</f>
        <v/>
      </c>
      <c r="C13" s="7">
        <v>137.56</v>
      </c>
      <c r="D13" s="7">
        <v>112.11</v>
      </c>
      <c r="E13" s="7">
        <v>71.49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tr">
        <f>'我的食材隊檔案'!D14</f>
        <v>放鬆可可</v>
      </c>
      <c r="B14" s="8" t="str">
        <f>'我的食材隊檔案'!E14</f>
        <v/>
      </c>
      <c r="C14" s="7">
        <v>98.53</v>
      </c>
      <c r="D14" s="7">
        <v>82.64</v>
      </c>
      <c r="E14" s="7">
        <v>53.55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tr">
        <f>'我的食材隊檔案'!D15</f>
        <v>美味尾巴</v>
      </c>
      <c r="B15" s="8" t="str">
        <f>'我的食材隊檔案'!E15</f>
        <v/>
      </c>
      <c r="C15" s="7">
        <v>17.35</v>
      </c>
      <c r="D15" s="7">
        <v>15.89</v>
      </c>
      <c r="E15" s="7">
        <v>10.35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tr">
        <f>'我的食材隊檔案'!D16</f>
        <v>萌綠大豆</v>
      </c>
      <c r="B16" s="8" t="str">
        <f>'我的食材隊檔案'!E16</f>
        <v/>
      </c>
      <c r="C16" s="7">
        <v>148.65</v>
      </c>
      <c r="D16" s="7">
        <v>118.04</v>
      </c>
      <c r="E16" s="7">
        <v>76.25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tr">
        <f>'我的食材隊檔案'!D17</f>
        <v>萌綠玉米</v>
      </c>
      <c r="B17" s="8" t="str">
        <f>'我的食材隊檔案'!E17</f>
        <v/>
      </c>
      <c r="C17" s="7">
        <v>134.79</v>
      </c>
      <c r="D17" s="7">
        <v>106.87</v>
      </c>
      <c r="E17" s="7">
        <v>68.63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tr">
        <f>'我的食材隊檔案'!D18</f>
        <v>醒腦咖啡豆</v>
      </c>
      <c r="B18" s="8" t="str">
        <f>'我的食材隊檔案'!E18</f>
        <v/>
      </c>
      <c r="C18" s="7">
        <v>114.19</v>
      </c>
      <c r="D18" s="7">
        <v>94.89</v>
      </c>
      <c r="E18" s="7">
        <v>43.08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tr">
        <f>'我的食材隊檔案'!D19</f>
        <v>沉甸甸南瓜</v>
      </c>
      <c r="B19" s="8" t="str">
        <f>'我的食材隊檔案'!E19</f>
        <v/>
      </c>
      <c r="C19" s="7">
        <v>63.05</v>
      </c>
      <c r="D19" s="7">
        <v>57.78</v>
      </c>
      <c r="E19" s="7">
        <v>37.83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tr">
        <f>'我的食材隊檔案'!D20</f>
        <v>嫩亮酪梨</v>
      </c>
      <c r="B20" s="8" t="str">
        <f>'我的食材隊檔案'!E20</f>
        <v/>
      </c>
      <c r="C20" s="2">
        <v>105.63</v>
      </c>
      <c r="D20" s="2">
        <v>86.56</v>
      </c>
      <c r="E20" s="2">
        <v>55.45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tr">
        <f>'我的食材隊檔案'!D21</f>
        <v/>
      </c>
      <c r="B21" s="10" t="str">
        <f>'我的食材隊檔案'!E21</f>
        <v/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tr">
        <f>'我的食材隊檔案'!D22</f>
        <v/>
      </c>
      <c r="B22" s="10" t="str">
        <f>'我的食材隊檔案'!E22</f>
        <v/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tr">
        <f>'我的食材隊檔案'!D23</f>
        <v/>
      </c>
      <c r="B23" s="10" t="str">
        <f>'我的食材隊檔案'!E23</f>
        <v/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tr">
        <f>'我的食材隊檔案'!D24</f>
        <v/>
      </c>
      <c r="B24" s="10" t="str">
        <f>'我的食材隊檔案'!E24</f>
        <v/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tr">
        <f>'我的食材隊檔案'!D25</f>
        <v/>
      </c>
      <c r="B25" s="10" t="str">
        <f>'我的食材隊檔案'!E25</f>
        <v/>
      </c>
      <c r="C25" s="5"/>
      <c r="D25" s="5"/>
      <c r="E25" s="6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tr">
        <f>'我的食材隊檔案'!D26</f>
        <v/>
      </c>
      <c r="B26" s="10" t="str">
        <f>'我的食材隊檔案'!E26</f>
        <v/>
      </c>
      <c r="C26" s="5"/>
      <c r="D26" s="5"/>
      <c r="E26" s="6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tr">
        <f>'我的食材隊檔案'!D27</f>
        <v/>
      </c>
      <c r="B27" s="10" t="str">
        <f>'我的食材隊檔案'!E27</f>
        <v/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tr">
        <f>'我的食材隊檔案'!D28</f>
        <v/>
      </c>
      <c r="B28" s="10" t="str">
        <f>'我的食材隊檔案'!E28</f>
        <v/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tr">
        <f>'我的食材隊檔案'!D29</f>
        <v/>
      </c>
      <c r="B29" s="10" t="str">
        <f>'我的食材隊檔案'!E29</f>
        <v/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tr">
        <f>'我的食材隊檔案'!D30</f>
        <v/>
      </c>
      <c r="B30" s="10" t="str">
        <f>'我的食材隊檔案'!E30</f>
        <v/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27.13"/>
  </cols>
  <sheetData>
    <row r="1">
      <c r="A1" s="5" t="str">
        <f>IFERROR(__xludf.DUMMYFUNCTION("IMPORTRANGE(""https://docs.google.com/spreadsheets/d/1byb9bvFcmGc6Kf1LTvm48va0vCE1WjTAE5QN3bReSFU/edit?gid=1761317581#gid=1761317581"", ""食譜!A:B"")"),"")</f>
        <v/>
      </c>
      <c r="B1" s="5"/>
      <c r="C1" s="5"/>
      <c r="D1" s="5"/>
      <c r="E1" s="67"/>
      <c r="F1" s="2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36" t="str">
        <f>IFERROR(__xludf.DUMMYFUNCTION("""COMPUTED_VALUE"""),"圖")</f>
        <v>圖</v>
      </c>
      <c r="B2" s="36" t="str">
        <f>IFERROR(__xludf.DUMMYFUNCTION("""COMPUTED_VALUE"""),"食譜名")</f>
        <v>食譜名</v>
      </c>
      <c r="C2" s="68" t="s">
        <v>85</v>
      </c>
      <c r="D2" s="68" t="s">
        <v>86</v>
      </c>
      <c r="E2" s="69" t="s">
        <v>87</v>
      </c>
      <c r="F2" s="70" t="s">
        <v>88</v>
      </c>
      <c r="G2" s="68" t="s">
        <v>89</v>
      </c>
      <c r="H2" s="68" t="s">
        <v>90</v>
      </c>
      <c r="I2" s="68" t="s">
        <v>91</v>
      </c>
      <c r="J2" s="68" t="s">
        <v>92</v>
      </c>
      <c r="K2" s="68" t="s">
        <v>93</v>
      </c>
      <c r="L2" s="68" t="s">
        <v>94</v>
      </c>
      <c r="M2" s="68" t="s">
        <v>95</v>
      </c>
      <c r="N2" s="68" t="s">
        <v>96</v>
      </c>
      <c r="O2" s="68" t="s">
        <v>97</v>
      </c>
      <c r="P2" s="68" t="s">
        <v>98</v>
      </c>
      <c r="Q2" s="68" t="s">
        <v>99</v>
      </c>
      <c r="R2" s="68" t="s">
        <v>100</v>
      </c>
      <c r="S2" s="68" t="s">
        <v>101</v>
      </c>
      <c r="T2" s="68" t="s">
        <v>102</v>
      </c>
      <c r="U2" s="68" t="s">
        <v>103</v>
      </c>
      <c r="V2" s="68" t="s">
        <v>104</v>
      </c>
      <c r="W2" s="68" t="s">
        <v>105</v>
      </c>
      <c r="X2" s="70" t="s">
        <v>106</v>
      </c>
      <c r="Y2" s="71" t="s">
        <v>107</v>
      </c>
      <c r="Z2" s="72" t="s">
        <v>108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ht="47.25" customHeight="1">
      <c r="A3" s="73" t="str">
        <f>IFERROR(__xludf.DUMMYFUNCTION("""COMPUTED_VALUE"""),"")</f>
        <v/>
      </c>
      <c r="B3" s="73" t="str">
        <f>IFERROR(__xludf.DUMMYFUNCTION("""COMPUTED_VALUE"""),"拌拌沙拉")</f>
        <v>拌拌沙拉</v>
      </c>
      <c r="C3" s="73" t="str">
        <f t="array" ref="C3">IFERROR(INDEX(applied_prod, MATCH('食譜'!J3, ing_name, 0)), "")</f>
        <v/>
      </c>
      <c r="D3" s="73">
        <f>IFERROR('食譜'!K3*3, "")</f>
        <v>0</v>
      </c>
      <c r="E3" s="74" t="str">
        <f t="shared" ref="E3:E100" si="1">IFERROR(C3/D3, "")</f>
        <v/>
      </c>
      <c r="F3" s="75" t="str">
        <f t="shared" ref="F3:F100" si="2">IFERROR(1/E3, "")</f>
        <v/>
      </c>
      <c r="G3" s="73" t="str">
        <f t="shared" ref="G3:G100" si="3">IFERROR(INT(F3*24)&amp;"h "&amp;INT(MOD(F3*24,1)*60)&amp;"m", "")</f>
        <v>0h 0m</v>
      </c>
      <c r="H3" s="73" t="str">
        <f t="array" ref="H3">IFERROR(INDEX(applied_prod, MATCH('食譜'!L3, ing_name, 0)), "")</f>
        <v/>
      </c>
      <c r="I3" s="73">
        <f>IFERROR('食譜'!M3*3, "")</f>
        <v>0</v>
      </c>
      <c r="J3" s="74" t="str">
        <f t="shared" ref="J3:J100" si="4">IFERROR(H3/I3, "")</f>
        <v/>
      </c>
      <c r="K3" s="75" t="str">
        <f t="shared" ref="K3:K100" si="5">IFERROR(1/J3, "")</f>
        <v/>
      </c>
      <c r="L3" s="73" t="str">
        <f t="shared" ref="L3:L100" si="6">IFERROR(INT(K3*24)&amp;"h "&amp;INT(MOD(K3*24,1)*60)&amp;"m", "")</f>
        <v>0h 0m</v>
      </c>
      <c r="M3" s="73" t="str">
        <f t="array" ref="M3">IFERROR(INDEX(applied_prod, MATCH('食譜'!N3, ing_name, 0)), "")</f>
        <v/>
      </c>
      <c r="N3" s="73">
        <f>IFERROR('食譜'!O3*3, "")</f>
        <v>0</v>
      </c>
      <c r="O3" s="74" t="str">
        <f t="shared" ref="O3:O100" si="7">IFERROR(M3/N3, "")</f>
        <v/>
      </c>
      <c r="P3" s="75" t="str">
        <f t="shared" ref="P3:P100" si="8">IFERROR(1/O3, "")</f>
        <v/>
      </c>
      <c r="Q3" s="73" t="str">
        <f t="shared" ref="Q3:Q100" si="9">IFERROR(INT(P3*24)&amp;"h "&amp;INT(MOD(P3*24,1)*60)&amp;"m", "")</f>
        <v>0h 0m</v>
      </c>
      <c r="R3" s="73" t="str">
        <f t="array" ref="R3">IFERROR(INDEX(applied_prod, MATCH('食譜'!P3, ing_name, 0)), "")</f>
        <v/>
      </c>
      <c r="S3" s="73">
        <f>IFERROR('食譜'!Q3*3, "")</f>
        <v>0</v>
      </c>
      <c r="T3" s="74" t="str">
        <f t="shared" ref="T3:T100" si="10">IFERROR(R3/S3, "")</f>
        <v/>
      </c>
      <c r="U3" s="75" t="str">
        <f t="shared" ref="U3:U100" si="11">IFERROR(1/T3, "")</f>
        <v/>
      </c>
      <c r="V3" s="73" t="str">
        <f t="shared" ref="V3:V100" si="12">IFERROR(INT(U3*24)&amp;"h "&amp;INT(MOD(U3*24,1)*60)&amp;"m", "")</f>
        <v>0h 0m</v>
      </c>
      <c r="W3" s="73" t="str">
        <f t="shared" ref="W3:W100" si="13">IFERROR(INT((F3+K3+P3+U3)*24)&amp;"h "&amp;INT(MOD((F3+K3+P3+U3)*24,1)*60)&amp;"m", "")</f>
        <v>0h 0m</v>
      </c>
      <c r="X3" s="75">
        <f t="shared" ref="X3:X100" si="14">IFERROR((F3+K3+P3+U3), "")</f>
        <v>0</v>
      </c>
      <c r="Y3" s="73">
        <f>IFERROR('食譜'!H3, "")*3</f>
        <v>0</v>
      </c>
      <c r="Z3" s="73" t="str">
        <f t="shared" ref="Z3:Z100" si="15">IFERROR(Y3/X3, "")</f>
        <v/>
      </c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</row>
    <row r="4" ht="47.25" customHeight="1">
      <c r="A4" s="73" t="str">
        <f>IFERROR(__xludf.DUMMYFUNCTION("""COMPUTED_VALUE"""),"")</f>
        <v/>
      </c>
      <c r="B4" s="73" t="str">
        <f>IFERROR(__xludf.DUMMYFUNCTION("""COMPUTED_VALUE"""),"特選蘋果沙拉")</f>
        <v>特選蘋果沙拉</v>
      </c>
      <c r="C4" s="73">
        <f t="array" ref="C4">IFERROR(INDEX(applied_prod, MATCH('食譜'!J4, ing_name, 0)), "")</f>
        <v>163.61</v>
      </c>
      <c r="D4" s="73">
        <f>IFERROR('食譜'!K4*3, "")</f>
        <v>24</v>
      </c>
      <c r="E4" s="74">
        <f t="shared" si="1"/>
        <v>6.817083333</v>
      </c>
      <c r="F4" s="75">
        <f t="shared" si="2"/>
        <v>0.1466903001</v>
      </c>
      <c r="G4" s="73" t="str">
        <f t="shared" si="3"/>
        <v>3h 31m</v>
      </c>
      <c r="H4" s="73" t="str">
        <f t="array" ref="H4">IFERROR(INDEX(applied_prod, MATCH('食譜'!L4, ing_name, 0)), "")</f>
        <v/>
      </c>
      <c r="I4" s="73">
        <f>IFERROR('食譜'!M4*3, "")</f>
        <v>0</v>
      </c>
      <c r="J4" s="74" t="str">
        <f t="shared" si="4"/>
        <v/>
      </c>
      <c r="K4" s="75" t="str">
        <f t="shared" si="5"/>
        <v/>
      </c>
      <c r="L4" s="73" t="str">
        <f t="shared" si="6"/>
        <v>0h 0m</v>
      </c>
      <c r="M4" s="73" t="str">
        <f t="array" ref="M4">IFERROR(INDEX(applied_prod, MATCH('食譜'!N4, ing_name, 0)), "")</f>
        <v/>
      </c>
      <c r="N4" s="73">
        <f>IFERROR('食譜'!O4*3, "")</f>
        <v>0</v>
      </c>
      <c r="O4" s="74" t="str">
        <f t="shared" si="7"/>
        <v/>
      </c>
      <c r="P4" s="75" t="str">
        <f t="shared" si="8"/>
        <v/>
      </c>
      <c r="Q4" s="73" t="str">
        <f t="shared" si="9"/>
        <v>0h 0m</v>
      </c>
      <c r="R4" s="73" t="str">
        <f t="array" ref="R4">IFERROR(INDEX(applied_prod, MATCH('食譜'!P4, ing_name, 0)), "")</f>
        <v/>
      </c>
      <c r="S4" s="73">
        <f>IFERROR('食譜'!Q4*3, "")</f>
        <v>0</v>
      </c>
      <c r="T4" s="74" t="str">
        <f t="shared" si="10"/>
        <v/>
      </c>
      <c r="U4" s="75" t="str">
        <f t="shared" si="11"/>
        <v/>
      </c>
      <c r="V4" s="73" t="str">
        <f t="shared" si="12"/>
        <v>0h 0m</v>
      </c>
      <c r="W4" s="73" t="str">
        <f t="shared" si="13"/>
        <v>3h 31m</v>
      </c>
      <c r="X4" s="75">
        <f t="shared" si="14"/>
        <v>0.1466903001</v>
      </c>
      <c r="Y4" s="73">
        <f>IFERROR('食譜'!H4, "")*3</f>
        <v>2565</v>
      </c>
      <c r="Z4" s="73">
        <f t="shared" si="15"/>
        <v>17485.81875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ht="47.25" customHeight="1">
      <c r="A5" s="73" t="str">
        <f>IFERROR(__xludf.DUMMYFUNCTION("""COMPUTED_VALUE"""),"")</f>
        <v/>
      </c>
      <c r="B5" s="73" t="str">
        <f>IFERROR(__xludf.DUMMYFUNCTION("""COMPUTED_VALUE"""),"豆製火腿沙拉")</f>
        <v>豆製火腿沙拉</v>
      </c>
      <c r="C5" s="73">
        <f t="array" ref="C5">IFERROR(INDEX(applied_prod, MATCH('食譜'!J5, ing_name, 0)), "")</f>
        <v>157.5</v>
      </c>
      <c r="D5" s="73">
        <f>IFERROR('食譜'!K5*3, "")</f>
        <v>24</v>
      </c>
      <c r="E5" s="74">
        <f t="shared" si="1"/>
        <v>6.5625</v>
      </c>
      <c r="F5" s="75">
        <f t="shared" si="2"/>
        <v>0.1523809524</v>
      </c>
      <c r="G5" s="73" t="str">
        <f t="shared" si="3"/>
        <v>3h 39m</v>
      </c>
      <c r="H5" s="73" t="str">
        <f t="array" ref="H5">IFERROR(INDEX(applied_prod, MATCH('食譜'!L5, ing_name, 0)), "")</f>
        <v/>
      </c>
      <c r="I5" s="73">
        <f>IFERROR('食譜'!M5*3, "")</f>
        <v>0</v>
      </c>
      <c r="J5" s="74" t="str">
        <f t="shared" si="4"/>
        <v/>
      </c>
      <c r="K5" s="75" t="str">
        <f t="shared" si="5"/>
        <v/>
      </c>
      <c r="L5" s="73" t="str">
        <f t="shared" si="6"/>
        <v>0h 0m</v>
      </c>
      <c r="M5" s="73" t="str">
        <f t="array" ref="M5">IFERROR(INDEX(applied_prod, MATCH('食譜'!N5, ing_name, 0)), "")</f>
        <v/>
      </c>
      <c r="N5" s="73">
        <f>IFERROR('食譜'!O5*3, "")</f>
        <v>0</v>
      </c>
      <c r="O5" s="74" t="str">
        <f t="shared" si="7"/>
        <v/>
      </c>
      <c r="P5" s="75" t="str">
        <f t="shared" si="8"/>
        <v/>
      </c>
      <c r="Q5" s="73" t="str">
        <f t="shared" si="9"/>
        <v>0h 0m</v>
      </c>
      <c r="R5" s="73" t="str">
        <f t="array" ref="R5">IFERROR(INDEX(applied_prod, MATCH('食譜'!P5, ing_name, 0)), "")</f>
        <v/>
      </c>
      <c r="S5" s="73">
        <f>IFERROR('食譜'!Q5*3, "")</f>
        <v>0</v>
      </c>
      <c r="T5" s="74" t="str">
        <f t="shared" si="10"/>
        <v/>
      </c>
      <c r="U5" s="75" t="str">
        <f t="shared" si="11"/>
        <v/>
      </c>
      <c r="V5" s="73" t="str">
        <f t="shared" si="12"/>
        <v>0h 0m</v>
      </c>
      <c r="W5" s="73" t="str">
        <f t="shared" si="13"/>
        <v>3h 39m</v>
      </c>
      <c r="X5" s="75">
        <f t="shared" si="14"/>
        <v>0.1523809524</v>
      </c>
      <c r="Y5" s="73">
        <f>IFERROR('食譜'!H5, "")*3</f>
        <v>2934</v>
      </c>
      <c r="Z5" s="73">
        <f t="shared" si="15"/>
        <v>19254.375</v>
      </c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ht="47.25" customHeight="1">
      <c r="A6" s="73" t="str">
        <f>IFERROR(__xludf.DUMMYFUNCTION("""COMPUTED_VALUE"""),"")</f>
        <v/>
      </c>
      <c r="B6" s="73" t="str">
        <f>IFERROR(__xludf.DUMMYFUNCTION("""COMPUTED_VALUE"""),"好眠番茄沙拉")</f>
        <v>好眠番茄沙拉</v>
      </c>
      <c r="C6" s="73">
        <f t="array" ref="C6">IFERROR(INDEX(applied_prod, MATCH('食譜'!J6, ing_name, 0)), "")</f>
        <v>137.56</v>
      </c>
      <c r="D6" s="73">
        <f>IFERROR('食譜'!K6*3, "")</f>
        <v>24</v>
      </c>
      <c r="E6" s="74">
        <f t="shared" si="1"/>
        <v>5.731666667</v>
      </c>
      <c r="F6" s="75">
        <f t="shared" si="2"/>
        <v>0.1744693225</v>
      </c>
      <c r="G6" s="73" t="str">
        <f t="shared" si="3"/>
        <v>4h 11m</v>
      </c>
      <c r="H6" s="73" t="str">
        <f t="array" ref="H6">IFERROR(INDEX(applied_prod, MATCH('食譜'!L6, ing_name, 0)), "")</f>
        <v/>
      </c>
      <c r="I6" s="73">
        <f>IFERROR('食譜'!M6*3, "")</f>
        <v>0</v>
      </c>
      <c r="J6" s="74" t="str">
        <f t="shared" si="4"/>
        <v/>
      </c>
      <c r="K6" s="75" t="str">
        <f t="shared" si="5"/>
        <v/>
      </c>
      <c r="L6" s="73" t="str">
        <f t="shared" si="6"/>
        <v>0h 0m</v>
      </c>
      <c r="M6" s="73" t="str">
        <f t="array" ref="M6">IFERROR(INDEX(applied_prod, MATCH('食譜'!N6, ing_name, 0)), "")</f>
        <v/>
      </c>
      <c r="N6" s="73">
        <f>IFERROR('食譜'!O6*3, "")</f>
        <v>0</v>
      </c>
      <c r="O6" s="74" t="str">
        <f t="shared" si="7"/>
        <v/>
      </c>
      <c r="P6" s="75" t="str">
        <f t="shared" si="8"/>
        <v/>
      </c>
      <c r="Q6" s="73" t="str">
        <f t="shared" si="9"/>
        <v>0h 0m</v>
      </c>
      <c r="R6" s="73" t="str">
        <f t="array" ref="R6">IFERROR(INDEX(applied_prod, MATCH('食譜'!P6, ing_name, 0)), "")</f>
        <v/>
      </c>
      <c r="S6" s="73">
        <f>IFERROR('食譜'!Q6*3, "")</f>
        <v>0</v>
      </c>
      <c r="T6" s="74" t="str">
        <f t="shared" si="10"/>
        <v/>
      </c>
      <c r="U6" s="75" t="str">
        <f t="shared" si="11"/>
        <v/>
      </c>
      <c r="V6" s="73" t="str">
        <f t="shared" si="12"/>
        <v>0h 0m</v>
      </c>
      <c r="W6" s="73" t="str">
        <f t="shared" si="13"/>
        <v>4h 11m</v>
      </c>
      <c r="X6" s="75">
        <f t="shared" si="14"/>
        <v>0.1744693225</v>
      </c>
      <c r="Y6" s="73">
        <f>IFERROR('食譜'!H6, "")*3</f>
        <v>3135</v>
      </c>
      <c r="Z6" s="73">
        <f t="shared" si="15"/>
        <v>17968.775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</row>
    <row r="7" ht="47.25" customHeight="1">
      <c r="A7" s="73" t="str">
        <f>IFERROR(__xludf.DUMMYFUNCTION("""COMPUTED_VALUE"""),"")</f>
        <v/>
      </c>
      <c r="B7" s="73" t="str">
        <f>IFERROR(__xludf.DUMMYFUNCTION("""COMPUTED_VALUE"""),"撥雪凱薩沙拉")</f>
        <v>撥雪凱薩沙拉</v>
      </c>
      <c r="C7" s="73">
        <f t="array" ref="C7">IFERROR(INDEX(applied_prod, MATCH('食譜'!J7, ing_name, 0)), "")</f>
        <v>161.87</v>
      </c>
      <c r="D7" s="73">
        <f>IFERROR('食譜'!K7*3, "")</f>
        <v>30</v>
      </c>
      <c r="E7" s="74">
        <f t="shared" si="1"/>
        <v>5.395666667</v>
      </c>
      <c r="F7" s="75">
        <f t="shared" si="2"/>
        <v>0.1853339099</v>
      </c>
      <c r="G7" s="73" t="str">
        <f t="shared" si="3"/>
        <v>4h 26m</v>
      </c>
      <c r="H7" s="73">
        <f t="array" ref="H7">IFERROR(INDEX(applied_prod, MATCH('食譜'!L7, ing_name, 0)), "")</f>
        <v>157.5</v>
      </c>
      <c r="I7" s="73">
        <f>IFERROR('食譜'!M7*3, "")</f>
        <v>18</v>
      </c>
      <c r="J7" s="74">
        <f t="shared" si="4"/>
        <v>8.75</v>
      </c>
      <c r="K7" s="75">
        <f t="shared" si="5"/>
        <v>0.1142857143</v>
      </c>
      <c r="L7" s="73" t="str">
        <f t="shared" si="6"/>
        <v>2h 44m</v>
      </c>
      <c r="M7" s="73" t="str">
        <f t="array" ref="M7">IFERROR(INDEX(applied_prod, MATCH('食譜'!N7, ing_name, 0)), "")</f>
        <v/>
      </c>
      <c r="N7" s="73">
        <f>IFERROR('食譜'!O7*3, "")</f>
        <v>0</v>
      </c>
      <c r="O7" s="74" t="str">
        <f t="shared" si="7"/>
        <v/>
      </c>
      <c r="P7" s="75" t="str">
        <f t="shared" si="8"/>
        <v/>
      </c>
      <c r="Q7" s="73" t="str">
        <f t="shared" si="9"/>
        <v>0h 0m</v>
      </c>
      <c r="R7" s="73" t="str">
        <f t="array" ref="R7">IFERROR(INDEX(applied_prod, MATCH('食譜'!P7, ing_name, 0)), "")</f>
        <v/>
      </c>
      <c r="S7" s="73">
        <f>IFERROR('食譜'!Q7*3, "")</f>
        <v>0</v>
      </c>
      <c r="T7" s="74" t="str">
        <f t="shared" si="10"/>
        <v/>
      </c>
      <c r="U7" s="75" t="str">
        <f t="shared" si="11"/>
        <v/>
      </c>
      <c r="V7" s="73" t="str">
        <f t="shared" si="12"/>
        <v>0h 0m</v>
      </c>
      <c r="W7" s="73" t="str">
        <f t="shared" si="13"/>
        <v>7h 11m</v>
      </c>
      <c r="X7" s="75">
        <f t="shared" si="14"/>
        <v>0.2996196242</v>
      </c>
      <c r="Y7" s="73">
        <f>IFERROR('食譜'!H7, "")*3</f>
        <v>5694</v>
      </c>
      <c r="Z7" s="73">
        <f t="shared" si="15"/>
        <v>19004.09566</v>
      </c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</row>
    <row r="8" ht="47.25" customHeight="1">
      <c r="A8" s="73" t="str">
        <f>IFERROR(__xludf.DUMMYFUNCTION("""COMPUTED_VALUE"""),"")</f>
        <v/>
      </c>
      <c r="B8" s="73" t="str">
        <f>IFERROR(__xludf.DUMMYFUNCTION("""COMPUTED_VALUE"""),"熱風豆腐沙拉")</f>
        <v>熱風豆腐沙拉</v>
      </c>
      <c r="C8" s="73">
        <f t="array" ref="C8">IFERROR(INDEX(applied_prod, MATCH('食譜'!J8, ing_name, 0)), "")</f>
        <v>148.65</v>
      </c>
      <c r="D8" s="73">
        <f>IFERROR('食譜'!K8*3, "")</f>
        <v>30</v>
      </c>
      <c r="E8" s="74">
        <f t="shared" si="1"/>
        <v>4.955</v>
      </c>
      <c r="F8" s="75">
        <f t="shared" si="2"/>
        <v>0.2018163471</v>
      </c>
      <c r="G8" s="73" t="str">
        <f t="shared" si="3"/>
        <v>4h 50m</v>
      </c>
      <c r="H8" s="73">
        <f t="array" ref="H8">IFERROR(INDEX(applied_prod, MATCH('食譜'!L8, ing_name, 0)), "")</f>
        <v>168.36</v>
      </c>
      <c r="I8" s="73">
        <f>IFERROR('食譜'!M8*3, "")</f>
        <v>18</v>
      </c>
      <c r="J8" s="74">
        <f t="shared" si="4"/>
        <v>9.353333333</v>
      </c>
      <c r="K8" s="75">
        <f t="shared" si="5"/>
        <v>0.1069137562</v>
      </c>
      <c r="L8" s="73" t="str">
        <f t="shared" si="6"/>
        <v>2h 33m</v>
      </c>
      <c r="M8" s="73" t="str">
        <f t="array" ref="M8">IFERROR(INDEX(applied_prod, MATCH('食譜'!N8, ing_name, 0)), "")</f>
        <v/>
      </c>
      <c r="N8" s="73">
        <f>IFERROR('食譜'!O8*3, "")</f>
        <v>0</v>
      </c>
      <c r="O8" s="74" t="str">
        <f t="shared" si="7"/>
        <v/>
      </c>
      <c r="P8" s="75" t="str">
        <f t="shared" si="8"/>
        <v/>
      </c>
      <c r="Q8" s="73" t="str">
        <f t="shared" si="9"/>
        <v>0h 0m</v>
      </c>
      <c r="R8" s="73" t="str">
        <f t="array" ref="R8">IFERROR(INDEX(applied_prod, MATCH('食譜'!P8, ing_name, 0)), "")</f>
        <v/>
      </c>
      <c r="S8" s="73">
        <f>IFERROR('食譜'!Q8*3, "")</f>
        <v>0</v>
      </c>
      <c r="T8" s="74" t="str">
        <f t="shared" si="10"/>
        <v/>
      </c>
      <c r="U8" s="75" t="str">
        <f t="shared" si="11"/>
        <v/>
      </c>
      <c r="V8" s="73" t="str">
        <f t="shared" si="12"/>
        <v>0h 0m</v>
      </c>
      <c r="W8" s="73" t="str">
        <f t="shared" si="13"/>
        <v>7h 24m</v>
      </c>
      <c r="X8" s="75">
        <f t="shared" si="14"/>
        <v>0.3087301034</v>
      </c>
      <c r="Y8" s="73">
        <f>IFERROR('食譜'!H8, "")*3</f>
        <v>6342</v>
      </c>
      <c r="Z8" s="73">
        <f t="shared" si="15"/>
        <v>20542.21448</v>
      </c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</row>
    <row r="9" ht="47.25" customHeight="1">
      <c r="A9" s="73" t="str">
        <f>IFERROR(__xludf.DUMMYFUNCTION("""COMPUTED_VALUE"""),"")</f>
        <v/>
      </c>
      <c r="B9" s="73" t="str">
        <f>IFERROR(__xludf.DUMMYFUNCTION("""COMPUTED_VALUE"""),"迷人蘋果起司沙拉")</f>
        <v>迷人蘋果起司沙拉</v>
      </c>
      <c r="C9" s="73">
        <f t="array" ref="C9">IFERROR(INDEX(applied_prod, MATCH('食譜'!J9, ing_name, 0)), "")</f>
        <v>163.61</v>
      </c>
      <c r="D9" s="73">
        <f>IFERROR('食譜'!K9*3, "")</f>
        <v>45</v>
      </c>
      <c r="E9" s="74">
        <f t="shared" si="1"/>
        <v>3.635777778</v>
      </c>
      <c r="F9" s="75">
        <f t="shared" si="2"/>
        <v>0.2750443127</v>
      </c>
      <c r="G9" s="73" t="str">
        <f t="shared" si="3"/>
        <v>6h 36m</v>
      </c>
      <c r="H9" s="73">
        <f t="array" ref="H9">IFERROR(INDEX(applied_prod, MATCH('食譜'!L9, ing_name, 0)), "")</f>
        <v>161.87</v>
      </c>
      <c r="I9" s="73">
        <f>IFERROR('食譜'!M9*3, "")</f>
        <v>15</v>
      </c>
      <c r="J9" s="74">
        <f t="shared" si="4"/>
        <v>10.79133333</v>
      </c>
      <c r="K9" s="75">
        <f t="shared" si="5"/>
        <v>0.09266695496</v>
      </c>
      <c r="L9" s="73" t="str">
        <f t="shared" si="6"/>
        <v>2h 13m</v>
      </c>
      <c r="M9" s="73">
        <f t="array" ref="M9">IFERROR(INDEX(applied_prod, MATCH('食譜'!N9, ing_name, 0)), "")</f>
        <v>111.06</v>
      </c>
      <c r="N9" s="73">
        <f>IFERROR('食譜'!O9*3, "")</f>
        <v>9</v>
      </c>
      <c r="O9" s="74">
        <f t="shared" si="7"/>
        <v>12.34</v>
      </c>
      <c r="P9" s="75">
        <f t="shared" si="8"/>
        <v>0.08103727715</v>
      </c>
      <c r="Q9" s="73" t="str">
        <f t="shared" si="9"/>
        <v>1h 56m</v>
      </c>
      <c r="R9" s="73" t="str">
        <f t="array" ref="R9">IFERROR(INDEX(applied_prod, MATCH('食譜'!P9, ing_name, 0)), "")</f>
        <v/>
      </c>
      <c r="S9" s="73">
        <f>IFERROR('食譜'!Q9*3, "")</f>
        <v>0</v>
      </c>
      <c r="T9" s="74" t="str">
        <f t="shared" si="10"/>
        <v/>
      </c>
      <c r="U9" s="75" t="str">
        <f t="shared" si="11"/>
        <v/>
      </c>
      <c r="V9" s="73" t="str">
        <f t="shared" si="12"/>
        <v>0h 0m</v>
      </c>
      <c r="W9" s="73" t="str">
        <f t="shared" si="13"/>
        <v>10h 46m</v>
      </c>
      <c r="X9" s="75">
        <f t="shared" si="14"/>
        <v>0.4487485448</v>
      </c>
      <c r="Y9" s="73">
        <f>IFERROR('食譜'!H9, "")*3</f>
        <v>7965</v>
      </c>
      <c r="Z9" s="73">
        <f t="shared" si="15"/>
        <v>17749.36118</v>
      </c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</row>
    <row r="10" ht="47.25" customHeight="1">
      <c r="A10" s="73" t="str">
        <f>IFERROR(__xludf.DUMMYFUNCTION("""COMPUTED_VALUE"""),"")</f>
        <v/>
      </c>
      <c r="B10" s="73" t="str">
        <f>IFERROR(__xludf.DUMMYFUNCTION("""COMPUTED_VALUE"""),"亂擊玉米沙拉")</f>
        <v>亂擊玉米沙拉</v>
      </c>
      <c r="C10" s="73">
        <f t="array" ref="C10">IFERROR(INDEX(applied_prod, MATCH('食譜'!J10, ing_name, 0)), "")</f>
        <v>134.79</v>
      </c>
      <c r="D10" s="73">
        <f>IFERROR('食譜'!K10*3, "")</f>
        <v>27</v>
      </c>
      <c r="E10" s="74">
        <f t="shared" si="1"/>
        <v>4.992222222</v>
      </c>
      <c r="F10" s="75">
        <f t="shared" si="2"/>
        <v>0.2003115958</v>
      </c>
      <c r="G10" s="73" t="str">
        <f t="shared" si="3"/>
        <v>4h 48m</v>
      </c>
      <c r="H10" s="73">
        <f t="array" ref="H10">IFERROR(INDEX(applied_prod, MATCH('食譜'!L10, ing_name, 0)), "")</f>
        <v>111.06</v>
      </c>
      <c r="I10" s="73">
        <f>IFERROR('食譜'!M10*3, "")</f>
        <v>24</v>
      </c>
      <c r="J10" s="74">
        <f t="shared" si="4"/>
        <v>4.6275</v>
      </c>
      <c r="K10" s="75">
        <f t="shared" si="5"/>
        <v>0.2160994057</v>
      </c>
      <c r="L10" s="73" t="str">
        <f t="shared" si="6"/>
        <v>5h 11m</v>
      </c>
      <c r="M10" s="73" t="str">
        <f t="array" ref="M10">IFERROR(INDEX(applied_prod, MATCH('食譜'!N10, ing_name, 0)), "")</f>
        <v/>
      </c>
      <c r="N10" s="73">
        <f>IFERROR('食譜'!O10*3, "")</f>
        <v>0</v>
      </c>
      <c r="O10" s="74" t="str">
        <f t="shared" si="7"/>
        <v/>
      </c>
      <c r="P10" s="75" t="str">
        <f t="shared" si="8"/>
        <v/>
      </c>
      <c r="Q10" s="73" t="str">
        <f t="shared" si="9"/>
        <v>0h 0m</v>
      </c>
      <c r="R10" s="73" t="str">
        <f t="array" ref="R10">IFERROR(INDEX(applied_prod, MATCH('食譜'!P10, ing_name, 0)), "")</f>
        <v/>
      </c>
      <c r="S10" s="73">
        <f>IFERROR('食譜'!Q10*3, "")</f>
        <v>0</v>
      </c>
      <c r="T10" s="74" t="str">
        <f t="shared" si="10"/>
        <v/>
      </c>
      <c r="U10" s="75" t="str">
        <f t="shared" si="11"/>
        <v/>
      </c>
      <c r="V10" s="73" t="str">
        <f t="shared" si="12"/>
        <v>0h 0m</v>
      </c>
      <c r="W10" s="73" t="str">
        <f t="shared" si="13"/>
        <v>9h 59m</v>
      </c>
      <c r="X10" s="75">
        <f t="shared" si="14"/>
        <v>0.4164110015</v>
      </c>
      <c r="Y10" s="73">
        <f>IFERROR('食譜'!H10, "")*3</f>
        <v>8355</v>
      </c>
      <c r="Z10" s="73">
        <f t="shared" si="15"/>
        <v>20064.31139</v>
      </c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</row>
    <row r="11" ht="47.25" customHeight="1">
      <c r="A11" s="73" t="str">
        <f>IFERROR(__xludf.DUMMYFUNCTION("""COMPUTED_VALUE"""),"")</f>
        <v/>
      </c>
      <c r="B11" s="73" t="str">
        <f>IFERROR(__xludf.DUMMYFUNCTION("""COMPUTED_VALUE"""),"免疫蔥花沙拉")</f>
        <v>免疫蔥花沙拉</v>
      </c>
      <c r="C11" s="73">
        <f t="array" ref="C11">IFERROR(INDEX(applied_prod, MATCH('食譜'!J11, ing_name, 0)), "")</f>
        <v>87.81</v>
      </c>
      <c r="D11" s="73">
        <f>IFERROR('食譜'!K11*3, "")</f>
        <v>30</v>
      </c>
      <c r="E11" s="74">
        <f t="shared" si="1"/>
        <v>2.927</v>
      </c>
      <c r="F11" s="75">
        <f t="shared" si="2"/>
        <v>0.3416467373</v>
      </c>
      <c r="G11" s="73" t="str">
        <f t="shared" si="3"/>
        <v>8h 11m</v>
      </c>
      <c r="H11" s="73">
        <f t="array" ref="H11">IFERROR(INDEX(applied_prod, MATCH('食譜'!L11, ing_name, 0)), "")</f>
        <v>162.39</v>
      </c>
      <c r="I11" s="73">
        <f>IFERROR('食譜'!M11*3, "")</f>
        <v>15</v>
      </c>
      <c r="J11" s="74">
        <f t="shared" si="4"/>
        <v>10.826</v>
      </c>
      <c r="K11" s="75">
        <f t="shared" si="5"/>
        <v>0.09237021984</v>
      </c>
      <c r="L11" s="73" t="str">
        <f t="shared" si="6"/>
        <v>2h 13m</v>
      </c>
      <c r="M11" s="73" t="str">
        <f t="array" ref="M11">IFERROR(INDEX(applied_prod, MATCH('食譜'!N11, ing_name, 0)), "")</f>
        <v/>
      </c>
      <c r="N11" s="73">
        <f>IFERROR('食譜'!O11*3, "")</f>
        <v>0</v>
      </c>
      <c r="O11" s="74" t="str">
        <f t="shared" si="7"/>
        <v/>
      </c>
      <c r="P11" s="75" t="str">
        <f t="shared" si="8"/>
        <v/>
      </c>
      <c r="Q11" s="73" t="str">
        <f t="shared" si="9"/>
        <v>0h 0m</v>
      </c>
      <c r="R11" s="73" t="str">
        <f t="array" ref="R11">IFERROR(INDEX(applied_prod, MATCH('食譜'!P11, ing_name, 0)), "")</f>
        <v/>
      </c>
      <c r="S11" s="73">
        <f>IFERROR('食譜'!Q11*3, "")</f>
        <v>0</v>
      </c>
      <c r="T11" s="74" t="str">
        <f t="shared" si="10"/>
        <v/>
      </c>
      <c r="U11" s="75" t="str">
        <f t="shared" si="11"/>
        <v/>
      </c>
      <c r="V11" s="73" t="str">
        <f t="shared" si="12"/>
        <v>0h 0m</v>
      </c>
      <c r="W11" s="73" t="str">
        <f t="shared" si="13"/>
        <v>10h 24m</v>
      </c>
      <c r="X11" s="75">
        <f t="shared" si="14"/>
        <v>0.4340169571</v>
      </c>
      <c r="Y11" s="73">
        <f>IFERROR('食譜'!H11, "")*3</f>
        <v>8535</v>
      </c>
      <c r="Z11" s="73">
        <f t="shared" si="15"/>
        <v>19665.13027</v>
      </c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</row>
    <row r="12" ht="47.25" customHeight="1">
      <c r="A12" s="73" t="str">
        <f>IFERROR(__xludf.DUMMYFUNCTION("""COMPUTED_VALUE"""),"")</f>
        <v/>
      </c>
      <c r="B12" s="73" t="str">
        <f>IFERROR(__xludf.DUMMYFUNCTION("""COMPUTED_VALUE"""),"哞哞起司番茄沙拉")</f>
        <v>哞哞起司番茄沙拉</v>
      </c>
      <c r="C12" s="73">
        <f t="array" ref="C12">IFERROR(INDEX(applied_prod, MATCH('食譜'!J12, ing_name, 0)), "")</f>
        <v>161.87</v>
      </c>
      <c r="D12" s="73">
        <f>IFERROR('食譜'!K12*3, "")</f>
        <v>36</v>
      </c>
      <c r="E12" s="74">
        <f t="shared" si="1"/>
        <v>4.496388889</v>
      </c>
      <c r="F12" s="75">
        <f t="shared" si="2"/>
        <v>0.2224006919</v>
      </c>
      <c r="G12" s="73" t="str">
        <f t="shared" si="3"/>
        <v>5h 20m</v>
      </c>
      <c r="H12" s="73">
        <f t="array" ref="H12">IFERROR(INDEX(applied_prod, MATCH('食譜'!L12, ing_name, 0)), "")</f>
        <v>137.56</v>
      </c>
      <c r="I12" s="73">
        <f>IFERROR('食譜'!M12*3, "")</f>
        <v>18</v>
      </c>
      <c r="J12" s="74">
        <f t="shared" si="4"/>
        <v>7.642222222</v>
      </c>
      <c r="K12" s="75">
        <f t="shared" si="5"/>
        <v>0.1308519919</v>
      </c>
      <c r="L12" s="73" t="str">
        <f t="shared" si="6"/>
        <v>3h 8m</v>
      </c>
      <c r="M12" s="73">
        <f t="array" ref="M12">IFERROR(INDEX(applied_prod, MATCH('食譜'!N12, ing_name, 0)), "")</f>
        <v>111.06</v>
      </c>
      <c r="N12" s="73">
        <f>IFERROR('食譜'!O12*3, "")</f>
        <v>15</v>
      </c>
      <c r="O12" s="74">
        <f t="shared" si="7"/>
        <v>7.404</v>
      </c>
      <c r="P12" s="75">
        <f t="shared" si="8"/>
        <v>0.1350621286</v>
      </c>
      <c r="Q12" s="73" t="str">
        <f t="shared" si="9"/>
        <v>3h 14m</v>
      </c>
      <c r="R12" s="73" t="str">
        <f t="array" ref="R12">IFERROR(INDEX(applied_prod, MATCH('食譜'!P12, ing_name, 0)), "")</f>
        <v/>
      </c>
      <c r="S12" s="73">
        <f>IFERROR('食譜'!Q12*3, "")</f>
        <v>0</v>
      </c>
      <c r="T12" s="74" t="str">
        <f t="shared" si="10"/>
        <v/>
      </c>
      <c r="U12" s="75" t="str">
        <f t="shared" si="11"/>
        <v/>
      </c>
      <c r="V12" s="73" t="str">
        <f t="shared" si="12"/>
        <v>0h 0m</v>
      </c>
      <c r="W12" s="73" t="str">
        <f t="shared" si="13"/>
        <v>11h 43m</v>
      </c>
      <c r="X12" s="75">
        <f t="shared" si="14"/>
        <v>0.4883148124</v>
      </c>
      <c r="Y12" s="73">
        <f>IFERROR('食譜'!H12, "")*3</f>
        <v>8826</v>
      </c>
      <c r="Z12" s="73">
        <f t="shared" si="15"/>
        <v>18074.40564</v>
      </c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</row>
    <row r="13" ht="47.25" customHeight="1">
      <c r="A13" s="73" t="str">
        <f>IFERROR(__xludf.DUMMYFUNCTION("""COMPUTED_VALUE"""),"")</f>
        <v/>
      </c>
      <c r="B13" s="73" t="str">
        <f>IFERROR(__xludf.DUMMYFUNCTION("""COMPUTED_VALUE"""),"蠻力豪邁沙拉")</f>
        <v>蠻力豪邁沙拉</v>
      </c>
      <c r="C13" s="73">
        <f t="array" ref="C13">IFERROR(INDEX(applied_prod, MATCH('食譜'!J13, ing_name, 0)), "")</f>
        <v>157.5</v>
      </c>
      <c r="D13" s="73">
        <f>IFERROR('食譜'!K13*3, "")</f>
        <v>27</v>
      </c>
      <c r="E13" s="74">
        <f t="shared" si="1"/>
        <v>5.833333333</v>
      </c>
      <c r="F13" s="75">
        <f t="shared" si="2"/>
        <v>0.1714285714</v>
      </c>
      <c r="G13" s="73" t="str">
        <f t="shared" si="3"/>
        <v>4h 6m</v>
      </c>
      <c r="H13" s="73">
        <f t="array" ref="H13">IFERROR(INDEX(applied_prod, MATCH('食譜'!L13, ing_name, 0)), "")</f>
        <v>162.39</v>
      </c>
      <c r="I13" s="73">
        <f>IFERROR('食譜'!M13*3, "")</f>
        <v>18</v>
      </c>
      <c r="J13" s="74">
        <f t="shared" si="4"/>
        <v>9.021666667</v>
      </c>
      <c r="K13" s="75">
        <f t="shared" si="5"/>
        <v>0.1108442638</v>
      </c>
      <c r="L13" s="73" t="str">
        <f t="shared" si="6"/>
        <v>2h 39m</v>
      </c>
      <c r="M13" s="73">
        <f t="array" ref="M13">IFERROR(INDEX(applied_prod, MATCH('食譜'!N13, ing_name, 0)), "")</f>
        <v>127.29</v>
      </c>
      <c r="N13" s="73">
        <f>IFERROR('食譜'!O13*3, "")</f>
        <v>15</v>
      </c>
      <c r="O13" s="74">
        <f t="shared" si="7"/>
        <v>8.486</v>
      </c>
      <c r="P13" s="75">
        <f t="shared" si="8"/>
        <v>0.1178411501</v>
      </c>
      <c r="Q13" s="73" t="str">
        <f t="shared" si="9"/>
        <v>2h 49m</v>
      </c>
      <c r="R13" s="73">
        <f t="array" ref="R13">IFERROR(INDEX(applied_prod, MATCH('食譜'!P13, ing_name, 0)), "")</f>
        <v>120.45</v>
      </c>
      <c r="S13" s="73">
        <f>IFERROR('食譜'!Q13*3, "")</f>
        <v>9</v>
      </c>
      <c r="T13" s="74">
        <f t="shared" si="10"/>
        <v>13.38333333</v>
      </c>
      <c r="U13" s="75">
        <f t="shared" si="11"/>
        <v>0.07471980075</v>
      </c>
      <c r="V13" s="73" t="str">
        <f t="shared" si="12"/>
        <v>1h 47m</v>
      </c>
      <c r="W13" s="73" t="str">
        <f t="shared" si="13"/>
        <v>11h 23m</v>
      </c>
      <c r="X13" s="75">
        <f t="shared" si="14"/>
        <v>0.4748337861</v>
      </c>
      <c r="Y13" s="73">
        <f>IFERROR('食譜'!H13, "")*3</f>
        <v>9138</v>
      </c>
      <c r="Z13" s="73">
        <f t="shared" si="15"/>
        <v>19244.62889</v>
      </c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</row>
    <row r="14" ht="47.25" customHeight="1">
      <c r="A14" s="73" t="str">
        <f>IFERROR(__xludf.DUMMYFUNCTION("""COMPUTED_VALUE"""),"")</f>
        <v/>
      </c>
      <c r="B14" s="73" t="str">
        <f>IFERROR(__xludf.DUMMYFUNCTION("""COMPUTED_VALUE"""),"濕潤豆腐沙拉")</f>
        <v>濕潤豆腐沙拉</v>
      </c>
      <c r="C14" s="73">
        <f t="array" ref="C14">IFERROR(INDEX(applied_prod, MATCH('食譜'!J14, ing_name, 0)), "")</f>
        <v>148.65</v>
      </c>
      <c r="D14" s="73">
        <f>IFERROR('食譜'!K14*3, "")</f>
        <v>45</v>
      </c>
      <c r="E14" s="74">
        <f t="shared" si="1"/>
        <v>3.303333333</v>
      </c>
      <c r="F14" s="75">
        <f t="shared" si="2"/>
        <v>0.3027245207</v>
      </c>
      <c r="G14" s="73" t="str">
        <f t="shared" si="3"/>
        <v>7h 15m</v>
      </c>
      <c r="H14" s="73">
        <f t="array" ref="H14">IFERROR(INDEX(applied_prod, MATCH('食譜'!L14, ing_name, 0)), "")</f>
        <v>137.56</v>
      </c>
      <c r="I14" s="73">
        <f>IFERROR('食譜'!M14*3, "")</f>
        <v>27</v>
      </c>
      <c r="J14" s="74">
        <f t="shared" si="4"/>
        <v>5.094814815</v>
      </c>
      <c r="K14" s="75">
        <f t="shared" si="5"/>
        <v>0.1962779878</v>
      </c>
      <c r="L14" s="73" t="str">
        <f t="shared" si="6"/>
        <v>4h 42m</v>
      </c>
      <c r="M14" s="73" t="str">
        <f t="array" ref="M14">IFERROR(INDEX(applied_prod, MATCH('食譜'!N14, ing_name, 0)), "")</f>
        <v/>
      </c>
      <c r="N14" s="73">
        <f>IFERROR('食譜'!O14*3, "")</f>
        <v>0</v>
      </c>
      <c r="O14" s="74" t="str">
        <f t="shared" si="7"/>
        <v/>
      </c>
      <c r="P14" s="75" t="str">
        <f t="shared" si="8"/>
        <v/>
      </c>
      <c r="Q14" s="73" t="str">
        <f t="shared" si="9"/>
        <v>0h 0m</v>
      </c>
      <c r="R14" s="73" t="str">
        <f t="array" ref="R14">IFERROR(INDEX(applied_prod, MATCH('食譜'!P14, ing_name, 0)), "")</f>
        <v/>
      </c>
      <c r="S14" s="73">
        <f>IFERROR('食譜'!Q14*3, "")</f>
        <v>0</v>
      </c>
      <c r="T14" s="74" t="str">
        <f t="shared" si="10"/>
        <v/>
      </c>
      <c r="U14" s="75" t="str">
        <f t="shared" si="11"/>
        <v/>
      </c>
      <c r="V14" s="73" t="str">
        <f t="shared" si="12"/>
        <v>0h 0m</v>
      </c>
      <c r="W14" s="73" t="str">
        <f t="shared" si="13"/>
        <v>11h 58m</v>
      </c>
      <c r="X14" s="75">
        <f t="shared" si="14"/>
        <v>0.4990025085</v>
      </c>
      <c r="Y14" s="73">
        <f>IFERROR('食譜'!H14, "")*3</f>
        <v>9339</v>
      </c>
      <c r="Z14" s="73">
        <f t="shared" si="15"/>
        <v>18715.33678</v>
      </c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</row>
    <row r="15" ht="47.25" customHeight="1">
      <c r="A15" s="73" t="str">
        <f>IFERROR(__xludf.DUMMYFUNCTION("""COMPUTED_VALUE"""),"")</f>
        <v/>
      </c>
      <c r="B15" s="73" t="str">
        <f>IFERROR(__xludf.DUMMYFUNCTION("""COMPUTED_VALUE"""),"心情不定肉沙拉淋巧克力醬")</f>
        <v>心情不定肉沙拉淋巧克力醬</v>
      </c>
      <c r="C15" s="73">
        <f t="array" ref="C15">IFERROR(INDEX(applied_prod, MATCH('食譜'!J15, ing_name, 0)), "")</f>
        <v>98.53</v>
      </c>
      <c r="D15" s="73">
        <f>IFERROR('食譜'!K15*3, "")</f>
        <v>42</v>
      </c>
      <c r="E15" s="74">
        <f t="shared" si="1"/>
        <v>2.345952381</v>
      </c>
      <c r="F15" s="75">
        <f t="shared" si="2"/>
        <v>0.4262661118</v>
      </c>
      <c r="G15" s="73" t="str">
        <f t="shared" si="3"/>
        <v>10h 13m</v>
      </c>
      <c r="H15" s="73">
        <f t="array" ref="H15">IFERROR(INDEX(applied_prod, MATCH('食譜'!L15, ing_name, 0)), "")</f>
        <v>157.5</v>
      </c>
      <c r="I15" s="73">
        <f>IFERROR('食譜'!M15*3, "")</f>
        <v>27</v>
      </c>
      <c r="J15" s="74">
        <f t="shared" si="4"/>
        <v>5.833333333</v>
      </c>
      <c r="K15" s="75">
        <f t="shared" si="5"/>
        <v>0.1714285714</v>
      </c>
      <c r="L15" s="73" t="str">
        <f t="shared" si="6"/>
        <v>4h 6m</v>
      </c>
      <c r="M15" s="73" t="str">
        <f t="array" ref="M15">IFERROR(INDEX(applied_prod, MATCH('食譜'!N15, ing_name, 0)), "")</f>
        <v/>
      </c>
      <c r="N15" s="73">
        <f>IFERROR('食譜'!O15*3, "")</f>
        <v>0</v>
      </c>
      <c r="O15" s="74" t="str">
        <f t="shared" si="7"/>
        <v/>
      </c>
      <c r="P15" s="75" t="str">
        <f t="shared" si="8"/>
        <v/>
      </c>
      <c r="Q15" s="73" t="str">
        <f t="shared" si="9"/>
        <v>0h 0m</v>
      </c>
      <c r="R15" s="73" t="str">
        <f t="array" ref="R15">IFERROR(INDEX(applied_prod, MATCH('食譜'!P15, ing_name, 0)), "")</f>
        <v/>
      </c>
      <c r="S15" s="73">
        <f>IFERROR('食譜'!Q15*3, "")</f>
        <v>0</v>
      </c>
      <c r="T15" s="74" t="str">
        <f t="shared" si="10"/>
        <v/>
      </c>
      <c r="U15" s="75" t="str">
        <f t="shared" si="11"/>
        <v/>
      </c>
      <c r="V15" s="73" t="str">
        <f t="shared" si="12"/>
        <v>0h 0m</v>
      </c>
      <c r="W15" s="73" t="str">
        <f t="shared" si="13"/>
        <v>14h 20m</v>
      </c>
      <c r="X15" s="75">
        <f t="shared" si="14"/>
        <v>0.5976946833</v>
      </c>
      <c r="Y15" s="73">
        <f>IFERROR('食譜'!H15, "")*3</f>
        <v>10995</v>
      </c>
      <c r="Z15" s="73">
        <f t="shared" si="15"/>
        <v>18395.67978</v>
      </c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</row>
    <row r="16" ht="47.25" customHeight="1">
      <c r="A16" s="73" t="str">
        <f>IFERROR(__xludf.DUMMYFUNCTION("""COMPUTED_VALUE"""),"")</f>
        <v/>
      </c>
      <c r="B16" s="73" t="str">
        <f>IFERROR(__xludf.DUMMYFUNCTION("""COMPUTED_VALUE"""),"貪吃鬼洋芋沙拉")</f>
        <v>貪吃鬼洋芋沙拉</v>
      </c>
      <c r="C16" s="73">
        <f t="array" ref="C16">IFERROR(INDEX(applied_prod, MATCH('食譜'!J16, ing_name, 0)), "")</f>
        <v>120.45</v>
      </c>
      <c r="D16" s="73">
        <f>IFERROR('食譜'!K16*3, "")</f>
        <v>42</v>
      </c>
      <c r="E16" s="74">
        <f t="shared" si="1"/>
        <v>2.867857143</v>
      </c>
      <c r="F16" s="75">
        <f t="shared" si="2"/>
        <v>0.3486924035</v>
      </c>
      <c r="G16" s="73" t="str">
        <f t="shared" si="3"/>
        <v>8h 22m</v>
      </c>
      <c r="H16" s="73">
        <f t="array" ref="H16">IFERROR(INDEX(applied_prod, MATCH('食譜'!L16, ing_name, 0)), "")</f>
        <v>127.29</v>
      </c>
      <c r="I16" s="73">
        <f>IFERROR('食譜'!M16*3, "")</f>
        <v>27</v>
      </c>
      <c r="J16" s="74">
        <f t="shared" si="4"/>
        <v>4.714444444</v>
      </c>
      <c r="K16" s="75">
        <f t="shared" si="5"/>
        <v>0.2121140702</v>
      </c>
      <c r="L16" s="73" t="str">
        <f t="shared" si="6"/>
        <v>5h 5m</v>
      </c>
      <c r="M16" s="73">
        <f t="array" ref="M16">IFERROR(INDEX(applied_prod, MATCH('食譜'!N16, ing_name, 0)), "")</f>
        <v>157.5</v>
      </c>
      <c r="N16" s="73">
        <f>IFERROR('食譜'!O16*3, "")</f>
        <v>21</v>
      </c>
      <c r="O16" s="74">
        <f t="shared" si="7"/>
        <v>7.5</v>
      </c>
      <c r="P16" s="75">
        <f t="shared" si="8"/>
        <v>0.1333333333</v>
      </c>
      <c r="Q16" s="73" t="str">
        <f t="shared" si="9"/>
        <v>3h 12m</v>
      </c>
      <c r="R16" s="73">
        <f t="array" ref="R16">IFERROR(INDEX(applied_prod, MATCH('食譜'!P16, ing_name, 0)), "")</f>
        <v>163.61</v>
      </c>
      <c r="S16" s="73">
        <f>IFERROR('食譜'!Q16*3, "")</f>
        <v>18</v>
      </c>
      <c r="T16" s="74">
        <f t="shared" si="10"/>
        <v>9.089444444</v>
      </c>
      <c r="U16" s="75">
        <f t="shared" si="11"/>
        <v>0.1100177251</v>
      </c>
      <c r="V16" s="73" t="str">
        <f t="shared" si="12"/>
        <v>2h 38m</v>
      </c>
      <c r="W16" s="73" t="str">
        <f t="shared" si="13"/>
        <v>19h 17m</v>
      </c>
      <c r="X16" s="75">
        <f t="shared" si="14"/>
        <v>0.8041575321</v>
      </c>
      <c r="Y16" s="73">
        <f>IFERROR('食譜'!H16, "")*3</f>
        <v>15120</v>
      </c>
      <c r="Z16" s="73">
        <f t="shared" si="15"/>
        <v>18802.28611</v>
      </c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</row>
    <row r="17" ht="47.25" customHeight="1">
      <c r="A17" s="73" t="str">
        <f>IFERROR(__xludf.DUMMYFUNCTION("""COMPUTED_VALUE"""),"")</f>
        <v/>
      </c>
      <c r="B17" s="73" t="str">
        <f>IFERROR(__xludf.DUMMYFUNCTION("""COMPUTED_VALUE"""),"過熱沙拉")</f>
        <v>過熱沙拉</v>
      </c>
      <c r="C17" s="73">
        <f t="array" ref="C17">IFERROR(INDEX(applied_prod, MATCH('食譜'!J17, ing_name, 0)), "")</f>
        <v>168.36</v>
      </c>
      <c r="D17" s="73">
        <f>IFERROR('食譜'!K17*3, "")</f>
        <v>51</v>
      </c>
      <c r="E17" s="74">
        <f t="shared" si="1"/>
        <v>3.301176471</v>
      </c>
      <c r="F17" s="75">
        <f t="shared" si="2"/>
        <v>0.3029223093</v>
      </c>
      <c r="G17" s="73" t="str">
        <f t="shared" si="3"/>
        <v>7h 16m</v>
      </c>
      <c r="H17" s="73">
        <f t="array" ref="H17">IFERROR(INDEX(applied_prod, MATCH('食譜'!L17, ing_name, 0)), "")</f>
        <v>162.39</v>
      </c>
      <c r="I17" s="73">
        <f>IFERROR('食譜'!M17*3, "")</f>
        <v>30</v>
      </c>
      <c r="J17" s="74">
        <f t="shared" si="4"/>
        <v>5.413</v>
      </c>
      <c r="K17" s="75">
        <f t="shared" si="5"/>
        <v>0.1847404397</v>
      </c>
      <c r="L17" s="73" t="str">
        <f t="shared" si="6"/>
        <v>4h 26m</v>
      </c>
      <c r="M17" s="73">
        <f t="array" ref="M17">IFERROR(INDEX(applied_prod, MATCH('食譜'!N17, ing_name, 0)), "")</f>
        <v>137.56</v>
      </c>
      <c r="N17" s="73">
        <f>IFERROR('食譜'!O17*3, "")</f>
        <v>24</v>
      </c>
      <c r="O17" s="74">
        <f t="shared" si="7"/>
        <v>5.731666667</v>
      </c>
      <c r="P17" s="75">
        <f t="shared" si="8"/>
        <v>0.1744693225</v>
      </c>
      <c r="Q17" s="73" t="str">
        <f t="shared" si="9"/>
        <v>4h 11m</v>
      </c>
      <c r="R17" s="73" t="str">
        <f t="array" ref="R17">IFERROR(INDEX(applied_prod, MATCH('食譜'!P17, ing_name, 0)), "")</f>
        <v/>
      </c>
      <c r="S17" s="73">
        <f>IFERROR('食譜'!Q17*3, "")</f>
        <v>0</v>
      </c>
      <c r="T17" s="74" t="str">
        <f t="shared" si="10"/>
        <v/>
      </c>
      <c r="U17" s="75" t="str">
        <f t="shared" si="11"/>
        <v/>
      </c>
      <c r="V17" s="73" t="str">
        <f t="shared" si="12"/>
        <v>0h 0m</v>
      </c>
      <c r="W17" s="73" t="str">
        <f t="shared" si="13"/>
        <v>15h 53m</v>
      </c>
      <c r="X17" s="75">
        <f t="shared" si="14"/>
        <v>0.6621320715</v>
      </c>
      <c r="Y17" s="73">
        <f>IFERROR('食譜'!H17, "")*3</f>
        <v>15675</v>
      </c>
      <c r="Z17" s="73">
        <f t="shared" si="15"/>
        <v>23673.52478</v>
      </c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</row>
    <row r="18" ht="47.25" customHeight="1">
      <c r="A18" s="73" t="str">
        <f>IFERROR(__xludf.DUMMYFUNCTION("""COMPUTED_VALUE"""),"")</f>
        <v/>
      </c>
      <c r="B18" s="73" t="str">
        <f>IFERROR(__xludf.DUMMYFUNCTION("""COMPUTED_VALUE"""),"蘑菇孢子沙拉")</f>
        <v>蘑菇孢子沙拉</v>
      </c>
      <c r="C18" s="73">
        <f t="array" ref="C18">IFERROR(INDEX(applied_prod, MATCH('食譜'!J18, ing_name, 0)), "")</f>
        <v>92.67</v>
      </c>
      <c r="D18" s="73">
        <f>IFERROR('食譜'!K18*3, "")</f>
        <v>51</v>
      </c>
      <c r="E18" s="74">
        <f t="shared" si="1"/>
        <v>1.817058824</v>
      </c>
      <c r="F18" s="75">
        <f t="shared" si="2"/>
        <v>0.5503399158</v>
      </c>
      <c r="G18" s="73" t="str">
        <f t="shared" si="3"/>
        <v>13h 12m</v>
      </c>
      <c r="H18" s="73">
        <f t="array" ref="H18">IFERROR(INDEX(applied_prod, MATCH('食譜'!L18, ing_name, 0)), "")</f>
        <v>137.56</v>
      </c>
      <c r="I18" s="73">
        <f>IFERROR('食譜'!M18*3, "")</f>
        <v>24</v>
      </c>
      <c r="J18" s="74">
        <f t="shared" si="4"/>
        <v>5.731666667</v>
      </c>
      <c r="K18" s="75">
        <f t="shared" si="5"/>
        <v>0.1744693225</v>
      </c>
      <c r="L18" s="73" t="str">
        <f t="shared" si="6"/>
        <v>4h 11m</v>
      </c>
      <c r="M18" s="73">
        <f t="array" ref="M18">IFERROR(INDEX(applied_prod, MATCH('食譜'!N18, ing_name, 0)), "")</f>
        <v>111.06</v>
      </c>
      <c r="N18" s="73">
        <f>IFERROR('食譜'!O18*3, "")</f>
        <v>24</v>
      </c>
      <c r="O18" s="74">
        <f t="shared" si="7"/>
        <v>4.6275</v>
      </c>
      <c r="P18" s="75">
        <f t="shared" si="8"/>
        <v>0.2160994057</v>
      </c>
      <c r="Q18" s="73" t="str">
        <f t="shared" si="9"/>
        <v>5h 11m</v>
      </c>
      <c r="R18" s="73" t="str">
        <f t="array" ref="R18">IFERROR(INDEX(applied_prod, MATCH('食譜'!P18, ing_name, 0)), "")</f>
        <v/>
      </c>
      <c r="S18" s="73">
        <f>IFERROR('食譜'!Q18*3, "")</f>
        <v>0</v>
      </c>
      <c r="T18" s="74" t="str">
        <f t="shared" si="10"/>
        <v/>
      </c>
      <c r="U18" s="75" t="str">
        <f t="shared" si="11"/>
        <v/>
      </c>
      <c r="V18" s="73" t="str">
        <f t="shared" si="12"/>
        <v>0h 0m</v>
      </c>
      <c r="W18" s="73" t="str">
        <f t="shared" si="13"/>
        <v>22h 34m</v>
      </c>
      <c r="X18" s="75">
        <f t="shared" si="14"/>
        <v>0.940908644</v>
      </c>
      <c r="Y18" s="73">
        <f>IFERROR('食譜'!H18, "")*3</f>
        <v>17577</v>
      </c>
      <c r="Z18" s="73">
        <f t="shared" si="15"/>
        <v>18680.87844</v>
      </c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</row>
    <row r="19" ht="47.25" customHeight="1">
      <c r="A19" s="73" t="str">
        <f>IFERROR(__xludf.DUMMYFUNCTION("""COMPUTED_VALUE"""),"")</f>
        <v/>
      </c>
      <c r="B19" s="73" t="str">
        <f>IFERROR(__xludf.DUMMYFUNCTION("""COMPUTED_VALUE"""),"碎裂酪梨沙拉")</f>
        <v>碎裂酪梨沙拉</v>
      </c>
      <c r="C19" s="73">
        <f t="array" ref="C19">IFERROR(INDEX(applied_prod, MATCH('食譜'!J19, ing_name, 0)), "")</f>
        <v>105.63</v>
      </c>
      <c r="D19" s="73">
        <f>IFERROR('食譜'!K19*3, "")</f>
        <v>42</v>
      </c>
      <c r="E19" s="74">
        <f t="shared" si="1"/>
        <v>2.515</v>
      </c>
      <c r="F19" s="75">
        <f t="shared" si="2"/>
        <v>0.3976143141</v>
      </c>
      <c r="G19" s="73" t="str">
        <f t="shared" si="3"/>
        <v>9h 32m</v>
      </c>
      <c r="H19" s="73">
        <f t="array" ref="H19">IFERROR(INDEX(applied_prod, MATCH('食譜'!L19, ing_name, 0)), "")</f>
        <v>148.65</v>
      </c>
      <c r="I19" s="73">
        <f>IFERROR('食譜'!M19*3, "")</f>
        <v>54</v>
      </c>
      <c r="J19" s="74">
        <f t="shared" si="4"/>
        <v>2.752777778</v>
      </c>
      <c r="K19" s="75">
        <f t="shared" si="5"/>
        <v>0.3632694248</v>
      </c>
      <c r="L19" s="73" t="str">
        <f t="shared" si="6"/>
        <v>8h 43m</v>
      </c>
      <c r="M19" s="73">
        <f t="array" ref="M19">IFERROR(INDEX(applied_prod, MATCH('食譜'!N19, ing_name, 0)), "")</f>
        <v>111.06</v>
      </c>
      <c r="N19" s="73">
        <f>IFERROR('食譜'!O19*3, "")</f>
        <v>30</v>
      </c>
      <c r="O19" s="74">
        <f t="shared" si="7"/>
        <v>3.702</v>
      </c>
      <c r="P19" s="75">
        <f t="shared" si="8"/>
        <v>0.2701242572</v>
      </c>
      <c r="Q19" s="73" t="str">
        <f t="shared" si="9"/>
        <v>6h 28m</v>
      </c>
      <c r="R19" s="73" t="str">
        <f t="array" ref="R19">IFERROR(INDEX(applied_prod, MATCH('食譜'!P19, ing_name, 0)), "")</f>
        <v/>
      </c>
      <c r="S19" s="73">
        <f>IFERROR('食譜'!Q19*3, "")</f>
        <v>0</v>
      </c>
      <c r="T19" s="74" t="str">
        <f t="shared" si="10"/>
        <v/>
      </c>
      <c r="U19" s="75" t="str">
        <f t="shared" si="11"/>
        <v/>
      </c>
      <c r="V19" s="73" t="str">
        <f t="shared" si="12"/>
        <v>0h 0m</v>
      </c>
      <c r="W19" s="73" t="str">
        <f t="shared" si="13"/>
        <v>24h 44m</v>
      </c>
      <c r="X19" s="75">
        <f t="shared" si="14"/>
        <v>1.031007996</v>
      </c>
      <c r="Y19" s="73">
        <f>IFERROR('食譜'!H19, "")*3</f>
        <v>21375</v>
      </c>
      <c r="Z19" s="73">
        <f t="shared" si="15"/>
        <v>20732.13795</v>
      </c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</row>
    <row r="20" ht="47.25" customHeight="1">
      <c r="A20" s="73" t="str">
        <f>IFERROR(__xludf.DUMMYFUNCTION("""COMPUTED_VALUE"""),"")</f>
        <v/>
      </c>
      <c r="B20" s="73" t="str">
        <f>IFERROR(__xludf.DUMMYFUNCTION("""COMPUTED_VALUE"""),"冥想香甜沙拉")</f>
        <v>冥想香甜沙拉</v>
      </c>
      <c r="C20" s="73">
        <f t="array" ref="C20">IFERROR(INDEX(applied_prod, MATCH('食譜'!J20, ing_name, 0)), "")</f>
        <v>163.61</v>
      </c>
      <c r="D20" s="73">
        <f>IFERROR('食譜'!K20*3, "")</f>
        <v>63</v>
      </c>
      <c r="E20" s="74">
        <f t="shared" si="1"/>
        <v>2.596984127</v>
      </c>
      <c r="F20" s="75">
        <f t="shared" si="2"/>
        <v>0.3850620378</v>
      </c>
      <c r="G20" s="73" t="str">
        <f t="shared" si="3"/>
        <v>9h 14m</v>
      </c>
      <c r="H20" s="73">
        <f t="array" ref="H20">IFERROR(INDEX(applied_prod, MATCH('食譜'!L20, ing_name, 0)), "")</f>
        <v>156.57</v>
      </c>
      <c r="I20" s="73">
        <f>IFERROR('食譜'!M20*3, "")</f>
        <v>48</v>
      </c>
      <c r="J20" s="74">
        <f t="shared" si="4"/>
        <v>3.261875</v>
      </c>
      <c r="K20" s="75">
        <f t="shared" si="5"/>
        <v>0.3065721403</v>
      </c>
      <c r="L20" s="73" t="str">
        <f t="shared" si="6"/>
        <v>7h 21m</v>
      </c>
      <c r="M20" s="73">
        <f t="array" ref="M20">IFERROR(INDEX(applied_prod, MATCH('食譜'!N20, ing_name, 0)), "")</f>
        <v>134.79</v>
      </c>
      <c r="N20" s="73">
        <f>IFERROR('食譜'!O20*3, "")</f>
        <v>36</v>
      </c>
      <c r="O20" s="74">
        <f t="shared" si="7"/>
        <v>3.744166667</v>
      </c>
      <c r="P20" s="75">
        <f t="shared" si="8"/>
        <v>0.2670821278</v>
      </c>
      <c r="Q20" s="73" t="str">
        <f t="shared" si="9"/>
        <v>6h 24m</v>
      </c>
      <c r="R20" s="73" t="str">
        <f t="array" ref="R20">IFERROR(INDEX(applied_prod, MATCH('食譜'!P20, ing_name, 0)), "")</f>
        <v/>
      </c>
      <c r="S20" s="73">
        <f>IFERROR('食譜'!Q20*3, "")</f>
        <v>0</v>
      </c>
      <c r="T20" s="74" t="str">
        <f t="shared" si="10"/>
        <v/>
      </c>
      <c r="U20" s="75" t="str">
        <f t="shared" si="11"/>
        <v/>
      </c>
      <c r="V20" s="73" t="str">
        <f t="shared" si="12"/>
        <v>0h 0m</v>
      </c>
      <c r="W20" s="73" t="str">
        <f t="shared" si="13"/>
        <v>23h 0m</v>
      </c>
      <c r="X20" s="75">
        <f t="shared" si="14"/>
        <v>0.9587163058</v>
      </c>
      <c r="Y20" s="73">
        <f>IFERROR('食譜'!H20, "")*3</f>
        <v>23025</v>
      </c>
      <c r="Z20" s="73">
        <f t="shared" si="15"/>
        <v>24016.4894</v>
      </c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</row>
    <row r="21" ht="47.25" customHeight="1">
      <c r="A21" s="73" t="str">
        <f>IFERROR(__xludf.DUMMYFUNCTION("""COMPUTED_VALUE"""),"")</f>
        <v/>
      </c>
      <c r="B21" s="73" t="str">
        <f>IFERROR(__xludf.DUMMYFUNCTION("""COMPUTED_VALUE"""),"呆呆獸尾巴的胡椒沙拉")</f>
        <v>呆呆獸尾巴的胡椒沙拉</v>
      </c>
      <c r="C21" s="73">
        <f t="array" ref="C21">IFERROR(INDEX(applied_prod, MATCH('食譜'!J21, ing_name, 0)), "")</f>
        <v>111.06</v>
      </c>
      <c r="D21" s="73">
        <f>IFERROR('食譜'!K21*3, "")</f>
        <v>45</v>
      </c>
      <c r="E21" s="74">
        <f t="shared" si="1"/>
        <v>2.468</v>
      </c>
      <c r="F21" s="75">
        <f t="shared" si="2"/>
        <v>0.4051863857</v>
      </c>
      <c r="G21" s="73" t="str">
        <f t="shared" si="3"/>
        <v>9h 43m</v>
      </c>
      <c r="H21" s="73">
        <f t="array" ref="H21">IFERROR(INDEX(applied_prod, MATCH('食譜'!L21, ing_name, 0)), "")</f>
        <v>168.36</v>
      </c>
      <c r="I21" s="73">
        <f>IFERROR('食譜'!M21*3, "")</f>
        <v>30</v>
      </c>
      <c r="J21" s="74">
        <f t="shared" si="4"/>
        <v>5.612</v>
      </c>
      <c r="K21" s="75">
        <f t="shared" si="5"/>
        <v>0.1781895937</v>
      </c>
      <c r="L21" s="73" t="str">
        <f t="shared" si="6"/>
        <v>4h 16m</v>
      </c>
      <c r="M21" s="73">
        <f t="array" ref="M21">IFERROR(INDEX(applied_prod, MATCH('食譜'!N21, ing_name, 0)), "")</f>
        <v>17.35</v>
      </c>
      <c r="N21" s="73">
        <f>IFERROR('食譜'!O21*3, "")</f>
        <v>30</v>
      </c>
      <c r="O21" s="74">
        <f t="shared" si="7"/>
        <v>0.5783333333</v>
      </c>
      <c r="P21" s="75">
        <f t="shared" si="8"/>
        <v>1.729106628</v>
      </c>
      <c r="Q21" s="73" t="str">
        <f t="shared" si="9"/>
        <v>41h 29m</v>
      </c>
      <c r="R21" s="73" t="str">
        <f t="array" ref="R21">IFERROR(INDEX(applied_prod, MATCH('食譜'!P21, ing_name, 0)), "")</f>
        <v/>
      </c>
      <c r="S21" s="73">
        <f>IFERROR('食譜'!Q21*3, "")</f>
        <v>0</v>
      </c>
      <c r="T21" s="74" t="str">
        <f t="shared" si="10"/>
        <v/>
      </c>
      <c r="U21" s="75" t="str">
        <f t="shared" si="11"/>
        <v/>
      </c>
      <c r="V21" s="73" t="str">
        <f t="shared" si="12"/>
        <v>0h 0m</v>
      </c>
      <c r="W21" s="73" t="str">
        <f t="shared" si="13"/>
        <v>55h 29m</v>
      </c>
      <c r="X21" s="75">
        <f t="shared" si="14"/>
        <v>2.312482608</v>
      </c>
      <c r="Y21" s="73">
        <f>IFERROR('食譜'!H21, "")*3</f>
        <v>24507</v>
      </c>
      <c r="Z21" s="73">
        <f t="shared" si="15"/>
        <v>10597.70133</v>
      </c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</row>
    <row r="22" ht="47.25" customHeight="1">
      <c r="A22" s="73" t="str">
        <f>IFERROR(__xludf.DUMMYFUNCTION("""COMPUTED_VALUE"""),"")</f>
        <v/>
      </c>
      <c r="B22" s="73" t="str">
        <f>IFERROR(__xludf.DUMMYFUNCTION("""COMPUTED_VALUE"""),"十字切碎丁沙拉")</f>
        <v>十字切碎丁沙拉</v>
      </c>
      <c r="C22" s="73">
        <f t="array" ref="C22">IFERROR(INDEX(applied_prod, MATCH('食譜'!J22, ing_name, 0)), "")</f>
        <v>127.29</v>
      </c>
      <c r="D22" s="73">
        <f>IFERROR('食譜'!K22*3, "")</f>
        <v>60</v>
      </c>
      <c r="E22" s="74">
        <f t="shared" si="1"/>
        <v>2.1215</v>
      </c>
      <c r="F22" s="75">
        <f t="shared" si="2"/>
        <v>0.4713646005</v>
      </c>
      <c r="G22" s="73" t="str">
        <f t="shared" si="3"/>
        <v>11h 18m</v>
      </c>
      <c r="H22" s="73">
        <f t="array" ref="H22">IFERROR(INDEX(applied_prod, MATCH('食譜'!L22, ing_name, 0)), "")</f>
        <v>157.5</v>
      </c>
      <c r="I22" s="73">
        <f>IFERROR('食譜'!M22*3, "")</f>
        <v>45</v>
      </c>
      <c r="J22" s="74">
        <f t="shared" si="4"/>
        <v>3.5</v>
      </c>
      <c r="K22" s="75">
        <f t="shared" si="5"/>
        <v>0.2857142857</v>
      </c>
      <c r="L22" s="73" t="str">
        <f t="shared" si="6"/>
        <v>6h 51m</v>
      </c>
      <c r="M22" s="73">
        <f t="array" ref="M22">IFERROR(INDEX(applied_prod, MATCH('食譜'!N22, ing_name, 0)), "")</f>
        <v>134.79</v>
      </c>
      <c r="N22" s="73">
        <f>IFERROR('食譜'!O22*3, "")</f>
        <v>33</v>
      </c>
      <c r="O22" s="74">
        <f t="shared" si="7"/>
        <v>4.084545455</v>
      </c>
      <c r="P22" s="75">
        <f t="shared" si="8"/>
        <v>0.2448252838</v>
      </c>
      <c r="Q22" s="73" t="str">
        <f t="shared" si="9"/>
        <v>5h 52m</v>
      </c>
      <c r="R22" s="73">
        <f t="array" ref="R22">IFERROR(INDEX(applied_prod, MATCH('食譜'!P22, ing_name, 0)), "")</f>
        <v>137.56</v>
      </c>
      <c r="S22" s="73">
        <f>IFERROR('食譜'!Q22*3, "")</f>
        <v>30</v>
      </c>
      <c r="T22" s="74">
        <f t="shared" si="10"/>
        <v>4.585333333</v>
      </c>
      <c r="U22" s="75">
        <f t="shared" si="11"/>
        <v>0.2180866531</v>
      </c>
      <c r="V22" s="73" t="str">
        <f t="shared" si="12"/>
        <v>5h 14m</v>
      </c>
      <c r="W22" s="73" t="str">
        <f t="shared" si="13"/>
        <v>29h 16m</v>
      </c>
      <c r="X22" s="75">
        <f t="shared" si="14"/>
        <v>1.219990823</v>
      </c>
      <c r="Y22" s="73">
        <f>IFERROR('食譜'!H22, "")*3</f>
        <v>26265</v>
      </c>
      <c r="Z22" s="73">
        <f t="shared" si="15"/>
        <v>21528.85047</v>
      </c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</row>
    <row r="23" ht="47.25" customHeight="1">
      <c r="A23" s="73" t="str">
        <f>IFERROR(__xludf.DUMMYFUNCTION("""COMPUTED_VALUE"""),"")</f>
        <v/>
      </c>
      <c r="B23" s="73" t="str">
        <f>IFERROR(__xludf.DUMMYFUNCTION("""COMPUTED_VALUE"""),"萌綠沙拉")</f>
        <v>萌綠沙拉</v>
      </c>
      <c r="C23" s="73">
        <f t="array" ref="C23">IFERROR(INDEX(applied_prod, MATCH('食譜'!J23, ing_name, 0)), "")</f>
        <v>111.06</v>
      </c>
      <c r="D23" s="73">
        <f>IFERROR('食譜'!K23*3, "")</f>
        <v>66</v>
      </c>
      <c r="E23" s="74">
        <f t="shared" si="1"/>
        <v>1.682727273</v>
      </c>
      <c r="F23" s="75">
        <f t="shared" si="2"/>
        <v>0.5942733657</v>
      </c>
      <c r="G23" s="73" t="str">
        <f t="shared" si="3"/>
        <v>14h 15m</v>
      </c>
      <c r="H23" s="73">
        <f t="array" ref="H23">IFERROR(INDEX(applied_prod, MATCH('食譜'!L23, ing_name, 0)), "")</f>
        <v>134.79</v>
      </c>
      <c r="I23" s="73">
        <f>IFERROR('食譜'!M23*3, "")</f>
        <v>51</v>
      </c>
      <c r="J23" s="74">
        <f t="shared" si="4"/>
        <v>2.642941176</v>
      </c>
      <c r="K23" s="75">
        <f t="shared" si="5"/>
        <v>0.3783663477</v>
      </c>
      <c r="L23" s="73" t="str">
        <f t="shared" si="6"/>
        <v>9h 4m</v>
      </c>
      <c r="M23" s="73">
        <f t="array" ref="M23">IFERROR(INDEX(applied_prod, MATCH('食譜'!N23, ing_name, 0)), "")</f>
        <v>137.56</v>
      </c>
      <c r="N23" s="73">
        <f>IFERROR('食譜'!O23*3, "")</f>
        <v>42</v>
      </c>
      <c r="O23" s="74">
        <f t="shared" si="7"/>
        <v>3.275238095</v>
      </c>
      <c r="P23" s="75">
        <f t="shared" si="8"/>
        <v>0.3053213143</v>
      </c>
      <c r="Q23" s="73" t="str">
        <f t="shared" si="9"/>
        <v>7h 19m</v>
      </c>
      <c r="R23" s="73">
        <f t="array" ref="R23">IFERROR(INDEX(applied_prod, MATCH('食譜'!P23, ing_name, 0)), "")</f>
        <v>120.45</v>
      </c>
      <c r="S23" s="73">
        <f>IFERROR('食譜'!Q23*3, "")</f>
        <v>27</v>
      </c>
      <c r="T23" s="74">
        <f t="shared" si="10"/>
        <v>4.461111111</v>
      </c>
      <c r="U23" s="75">
        <f t="shared" si="11"/>
        <v>0.2241594022</v>
      </c>
      <c r="V23" s="73" t="str">
        <f t="shared" si="12"/>
        <v>5h 22m</v>
      </c>
      <c r="W23" s="73" t="str">
        <f t="shared" si="13"/>
        <v>36h 3m</v>
      </c>
      <c r="X23" s="75">
        <f t="shared" si="14"/>
        <v>1.50212043</v>
      </c>
      <c r="Y23" s="73">
        <f>IFERROR('食譜'!H23, "")*3</f>
        <v>34179</v>
      </c>
      <c r="Z23" s="73">
        <f t="shared" si="15"/>
        <v>22753.83472</v>
      </c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</row>
    <row r="24" ht="47.25" customHeight="1">
      <c r="A24" s="73" t="str">
        <f>IFERROR(__xludf.DUMMYFUNCTION("""COMPUTED_VALUE"""),"")</f>
        <v/>
      </c>
      <c r="B24" s="73" t="str">
        <f>IFERROR(__xludf.DUMMYFUNCTION("""COMPUTED_VALUE"""),"忍者沙拉")</f>
        <v>忍者沙拉</v>
      </c>
      <c r="C24" s="73">
        <f t="array" ref="C24">IFERROR(INDEX(applied_prod, MATCH('食譜'!J24, ing_name, 0)), "")</f>
        <v>148.65</v>
      </c>
      <c r="D24" s="73">
        <f>IFERROR('食譜'!K24*3, "")</f>
        <v>57</v>
      </c>
      <c r="E24" s="74">
        <f t="shared" si="1"/>
        <v>2.607894737</v>
      </c>
      <c r="F24" s="75">
        <f t="shared" si="2"/>
        <v>0.3834510595</v>
      </c>
      <c r="G24" s="73" t="str">
        <f t="shared" si="3"/>
        <v>9h 12m</v>
      </c>
      <c r="H24" s="73">
        <f t="array" ref="H24">IFERROR(INDEX(applied_prod, MATCH('食譜'!L24, ing_name, 0)), "")</f>
        <v>87.81</v>
      </c>
      <c r="I24" s="73">
        <f>IFERROR('食譜'!M24*3, "")</f>
        <v>45</v>
      </c>
      <c r="J24" s="74">
        <f t="shared" si="4"/>
        <v>1.951333333</v>
      </c>
      <c r="K24" s="75">
        <f t="shared" si="5"/>
        <v>0.5124701059</v>
      </c>
      <c r="L24" s="73" t="str">
        <f t="shared" si="6"/>
        <v>12h 17m</v>
      </c>
      <c r="M24" s="73">
        <f t="array" ref="M24">IFERROR(INDEX(applied_prod, MATCH('食譜'!N24, ing_name, 0)), "")</f>
        <v>92.67</v>
      </c>
      <c r="N24" s="73">
        <f>IFERROR('食譜'!O24*3, "")</f>
        <v>36</v>
      </c>
      <c r="O24" s="74">
        <f t="shared" si="7"/>
        <v>2.574166667</v>
      </c>
      <c r="P24" s="75">
        <f t="shared" si="8"/>
        <v>0.3884752347</v>
      </c>
      <c r="Q24" s="73" t="str">
        <f t="shared" si="9"/>
        <v>9h 19m</v>
      </c>
      <c r="R24" s="73">
        <f t="array" ref="R24">IFERROR(INDEX(applied_prod, MATCH('食譜'!P24, ing_name, 0)), "")</f>
        <v>162.39</v>
      </c>
      <c r="S24" s="73">
        <f>IFERROR('食譜'!Q24*3, "")</f>
        <v>33</v>
      </c>
      <c r="T24" s="74">
        <f t="shared" si="10"/>
        <v>4.920909091</v>
      </c>
      <c r="U24" s="75">
        <f t="shared" si="11"/>
        <v>0.2032144837</v>
      </c>
      <c r="V24" s="73" t="str">
        <f t="shared" si="12"/>
        <v>4h 52m</v>
      </c>
      <c r="W24" s="73" t="str">
        <f t="shared" si="13"/>
        <v>35h 42m</v>
      </c>
      <c r="X24" s="75">
        <f t="shared" si="14"/>
        <v>1.487610884</v>
      </c>
      <c r="Y24" s="73">
        <f>IFERROR('食譜'!H24, "")*3</f>
        <v>34977</v>
      </c>
      <c r="Z24" s="73">
        <f t="shared" si="15"/>
        <v>23512.19689</v>
      </c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</row>
    <row r="25" ht="47.25" customHeight="1">
      <c r="A25" s="73" t="str">
        <f>IFERROR(__xludf.DUMMYFUNCTION("""COMPUTED_VALUE"""),"")</f>
        <v/>
      </c>
      <c r="B25" s="73" t="str">
        <f>IFERROR(__xludf.DUMMYFUNCTION("""COMPUTED_VALUE"""),"落英繽紛含羞草蛋沙拉")</f>
        <v>落英繽紛含羞草蛋沙拉</v>
      </c>
      <c r="C25" s="73">
        <f t="array" ref="C25">IFERROR(INDEX(applied_prod, MATCH('食譜'!J25, ing_name, 0)), "")</f>
        <v>127.29</v>
      </c>
      <c r="D25" s="73">
        <f>IFERROR('食譜'!K25*3, "")</f>
        <v>75</v>
      </c>
      <c r="E25" s="74">
        <f t="shared" si="1"/>
        <v>1.6972</v>
      </c>
      <c r="F25" s="75">
        <f t="shared" si="2"/>
        <v>0.5892057506</v>
      </c>
      <c r="G25" s="73" t="str">
        <f t="shared" si="3"/>
        <v>14h 8m</v>
      </c>
      <c r="H25" s="73">
        <f t="array" ref="H25">IFERROR(INDEX(applied_prod, MATCH('食譜'!L25, ing_name, 0)), "")</f>
        <v>111.06</v>
      </c>
      <c r="I25" s="73">
        <f>IFERROR('食譜'!M25*3, "")</f>
        <v>51</v>
      </c>
      <c r="J25" s="74">
        <f t="shared" si="4"/>
        <v>2.177647059</v>
      </c>
      <c r="K25" s="75">
        <f t="shared" si="5"/>
        <v>0.4592112372</v>
      </c>
      <c r="L25" s="73" t="str">
        <f t="shared" si="6"/>
        <v>11h 1m</v>
      </c>
      <c r="M25" s="73">
        <f t="array" ref="M25">IFERROR(INDEX(applied_prod, MATCH('食譜'!N25, ing_name, 0)), "")</f>
        <v>120.45</v>
      </c>
      <c r="N25" s="73">
        <f>IFERROR('食譜'!O25*3, "")</f>
        <v>45</v>
      </c>
      <c r="O25" s="74">
        <f t="shared" si="7"/>
        <v>2.676666667</v>
      </c>
      <c r="P25" s="75">
        <f t="shared" si="8"/>
        <v>0.3735990037</v>
      </c>
      <c r="Q25" s="73" t="str">
        <f t="shared" si="9"/>
        <v>8h 57m</v>
      </c>
      <c r="R25" s="73">
        <f t="array" ref="R25">IFERROR(INDEX(applied_prod, MATCH('食譜'!P25, ing_name, 0)), "")</f>
        <v>157.5</v>
      </c>
      <c r="S25" s="73">
        <f>IFERROR('食譜'!Q25*3, "")</f>
        <v>36</v>
      </c>
      <c r="T25" s="74">
        <f t="shared" si="10"/>
        <v>4.375</v>
      </c>
      <c r="U25" s="75">
        <f t="shared" si="11"/>
        <v>0.2285714286</v>
      </c>
      <c r="V25" s="73" t="str">
        <f t="shared" si="12"/>
        <v>5h 29m</v>
      </c>
      <c r="W25" s="73" t="str">
        <f t="shared" si="13"/>
        <v>39h 36m</v>
      </c>
      <c r="X25" s="75">
        <f t="shared" si="14"/>
        <v>1.65058742</v>
      </c>
      <c r="Y25" s="73">
        <f>IFERROR('食譜'!H25, "")*3</f>
        <v>35643</v>
      </c>
      <c r="Z25" s="73">
        <f t="shared" si="15"/>
        <v>21594.13041</v>
      </c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</row>
    <row r="26" ht="47.25" customHeight="1">
      <c r="A26" s="73" t="str">
        <f>IFERROR(__xludf.DUMMYFUNCTION("""COMPUTED_VALUE"""),"")</f>
        <v/>
      </c>
      <c r="B26" s="73" t="str">
        <f>IFERROR(__xludf.DUMMYFUNCTION("""COMPUTED_VALUE"""),"蘋果酸優格沙拉")</f>
        <v>蘋果酸優格沙拉</v>
      </c>
      <c r="C26" s="73">
        <f t="array" ref="C26">IFERROR(INDEX(applied_prod, MATCH('食譜'!J26, ing_name, 0)), "")</f>
        <v>127.29</v>
      </c>
      <c r="D26" s="73">
        <f>IFERROR('食譜'!K26*3, "")</f>
        <v>105</v>
      </c>
      <c r="E26" s="74">
        <f t="shared" si="1"/>
        <v>1.212285714</v>
      </c>
      <c r="F26" s="75">
        <f t="shared" si="2"/>
        <v>0.8248880509</v>
      </c>
      <c r="G26" s="73" t="str">
        <f t="shared" si="3"/>
        <v>19h 47m</v>
      </c>
      <c r="H26" s="73">
        <f t="array" ref="H26">IFERROR(INDEX(applied_prod, MATCH('食譜'!L26, ing_name, 0)), "")</f>
        <v>163.61</v>
      </c>
      <c r="I26" s="73">
        <f>IFERROR('食譜'!M26*3, "")</f>
        <v>84</v>
      </c>
      <c r="J26" s="74">
        <f t="shared" si="4"/>
        <v>1.947738095</v>
      </c>
      <c r="K26" s="75">
        <f t="shared" si="5"/>
        <v>0.5134160504</v>
      </c>
      <c r="L26" s="73" t="str">
        <f t="shared" si="6"/>
        <v>12h 19m</v>
      </c>
      <c r="M26" s="73">
        <f t="array" ref="M26">IFERROR(INDEX(applied_prod, MATCH('食譜'!N26, ing_name, 0)), "")</f>
        <v>137.56</v>
      </c>
      <c r="N26" s="73">
        <f>IFERROR('食譜'!O26*3, "")</f>
        <v>69</v>
      </c>
      <c r="O26" s="74">
        <f t="shared" si="7"/>
        <v>1.993623188</v>
      </c>
      <c r="P26" s="75">
        <f t="shared" si="8"/>
        <v>0.5015993021</v>
      </c>
      <c r="Q26" s="73" t="str">
        <f t="shared" si="9"/>
        <v>12h 2m</v>
      </c>
      <c r="R26" s="73">
        <f t="array" ref="R26">IFERROR(INDEX(applied_prod, MATCH('食譜'!P26, ing_name, 0)), "")</f>
        <v>161.87</v>
      </c>
      <c r="S26" s="73">
        <f>IFERROR('食譜'!Q26*3, "")</f>
        <v>54</v>
      </c>
      <c r="T26" s="74">
        <f t="shared" si="10"/>
        <v>2.997592593</v>
      </c>
      <c r="U26" s="75">
        <f t="shared" si="11"/>
        <v>0.3336010379</v>
      </c>
      <c r="V26" s="73" t="str">
        <f t="shared" si="12"/>
        <v>8h 0m</v>
      </c>
      <c r="W26" s="73" t="str">
        <f t="shared" si="13"/>
        <v>52h 9m</v>
      </c>
      <c r="X26" s="75">
        <f t="shared" si="14"/>
        <v>2.173504441</v>
      </c>
      <c r="Y26" s="73">
        <f>IFERROR('食譜'!H26, "")*3</f>
        <v>57879</v>
      </c>
      <c r="Z26" s="73">
        <f t="shared" si="15"/>
        <v>26629.34517</v>
      </c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</row>
    <row r="27" ht="47.25" customHeight="1">
      <c r="A27" s="73" t="str">
        <f>IFERROR(__xludf.DUMMYFUNCTION("""COMPUTED_VALUE"""),"")</f>
        <v/>
      </c>
      <c r="B27" s="73" t="str">
        <f>IFERROR(__xludf.DUMMYFUNCTION("""COMPUTED_VALUE"""),"不服輸咖啡沙拉")</f>
        <v>不服輸咖啡沙拉</v>
      </c>
      <c r="C27" s="73">
        <f t="array" ref="C27">IFERROR(INDEX(applied_prod, MATCH('食譜'!J27, ing_name, 0)), "")</f>
        <v>114.19</v>
      </c>
      <c r="D27" s="73">
        <f>IFERROR('食譜'!K27*3, "")</f>
        <v>84</v>
      </c>
      <c r="E27" s="74">
        <f t="shared" si="1"/>
        <v>1.359404762</v>
      </c>
      <c r="F27" s="75">
        <f t="shared" si="2"/>
        <v>0.7356160785</v>
      </c>
      <c r="G27" s="73" t="str">
        <f t="shared" si="3"/>
        <v>17h 39m</v>
      </c>
      <c r="H27" s="73">
        <f t="array" ref="H27">IFERROR(INDEX(applied_prod, MATCH('食譜'!L27, ing_name, 0)), "")</f>
        <v>157.5</v>
      </c>
      <c r="I27" s="73">
        <f>IFERROR('食譜'!M27*3, "")</f>
        <v>84</v>
      </c>
      <c r="J27" s="74">
        <f t="shared" si="4"/>
        <v>1.875</v>
      </c>
      <c r="K27" s="75">
        <f t="shared" si="5"/>
        <v>0.5333333333</v>
      </c>
      <c r="L27" s="73" t="str">
        <f t="shared" si="6"/>
        <v>12h 48m</v>
      </c>
      <c r="M27" s="73">
        <f t="array" ref="M27">IFERROR(INDEX(applied_prod, MATCH('食譜'!N27, ing_name, 0)), "")</f>
        <v>111.06</v>
      </c>
      <c r="N27" s="73">
        <f>IFERROR('食譜'!O27*3, "")</f>
        <v>66</v>
      </c>
      <c r="O27" s="74">
        <f t="shared" si="7"/>
        <v>1.682727273</v>
      </c>
      <c r="P27" s="75">
        <f t="shared" si="8"/>
        <v>0.5942733657</v>
      </c>
      <c r="Q27" s="73" t="str">
        <f t="shared" si="9"/>
        <v>14h 15m</v>
      </c>
      <c r="R27" s="73">
        <f t="array" ref="R27">IFERROR(INDEX(applied_prod, MATCH('食譜'!P27, ing_name, 0)), "")</f>
        <v>120.45</v>
      </c>
      <c r="S27" s="73">
        <f>IFERROR('食譜'!Q27*3, "")</f>
        <v>66</v>
      </c>
      <c r="T27" s="74">
        <f t="shared" si="10"/>
        <v>1.825</v>
      </c>
      <c r="U27" s="75">
        <f t="shared" si="11"/>
        <v>0.5479452055</v>
      </c>
      <c r="V27" s="73" t="str">
        <f t="shared" si="12"/>
        <v>13h 9m</v>
      </c>
      <c r="W27" s="73" t="str">
        <f t="shared" si="13"/>
        <v>57h 52m</v>
      </c>
      <c r="X27" s="75">
        <f t="shared" si="14"/>
        <v>2.411167983</v>
      </c>
      <c r="Y27" s="73">
        <f>IFERROR('食譜'!H27, "")*3</f>
        <v>60654</v>
      </c>
      <c r="Z27" s="73">
        <f t="shared" si="15"/>
        <v>25155.44351</v>
      </c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</row>
    <row r="28" ht="47.25" customHeight="1">
      <c r="A28" s="73" t="str">
        <f>IFERROR(__xludf.DUMMYFUNCTION("""COMPUTED_VALUE"""),"")</f>
        <v/>
      </c>
      <c r="B28" s="73" t="str">
        <f>IFERROR(__xludf.DUMMYFUNCTION("""COMPUTED_VALUE"""),"重踏酪梨醬脆片")</f>
        <v>重踏酪梨醬脆片</v>
      </c>
      <c r="C28" s="73">
        <f t="array" ref="C28">IFERROR(INDEX(applied_prod, MATCH('食譜'!J28, ing_name, 0)), "")</f>
        <v>105.63</v>
      </c>
      <c r="D28" s="73">
        <f>IFERROR('食譜'!K28*3, "")</f>
        <v>84</v>
      </c>
      <c r="E28" s="74">
        <f t="shared" si="1"/>
        <v>1.2575</v>
      </c>
      <c r="F28" s="75">
        <f t="shared" si="2"/>
        <v>0.7952286282</v>
      </c>
      <c r="G28" s="73" t="str">
        <f t="shared" si="3"/>
        <v>19h 5m</v>
      </c>
      <c r="H28" s="73">
        <f t="array" ref="H28">IFERROR(INDEX(applied_prod, MATCH('食譜'!L28, ing_name, 0)), "")</f>
        <v>134.79</v>
      </c>
      <c r="I28" s="73">
        <f>IFERROR('食譜'!M28*3, "")</f>
        <v>75</v>
      </c>
      <c r="J28" s="74">
        <f t="shared" si="4"/>
        <v>1.7972</v>
      </c>
      <c r="K28" s="75">
        <f t="shared" si="5"/>
        <v>0.5564210995</v>
      </c>
      <c r="L28" s="73" t="str">
        <f t="shared" si="6"/>
        <v>13h 21m</v>
      </c>
      <c r="M28" s="73">
        <f t="array" ref="M28">IFERROR(INDEX(applied_prod, MATCH('食譜'!N28, ing_name, 0)), "")</f>
        <v>168.36</v>
      </c>
      <c r="N28" s="73">
        <f>IFERROR('食譜'!O28*3, "")</f>
        <v>90</v>
      </c>
      <c r="O28" s="74">
        <f t="shared" si="7"/>
        <v>1.870666667</v>
      </c>
      <c r="P28" s="75">
        <f t="shared" si="8"/>
        <v>0.5345687812</v>
      </c>
      <c r="Q28" s="73" t="str">
        <f t="shared" si="9"/>
        <v>12h 49m</v>
      </c>
      <c r="R28" s="73">
        <f t="array" ref="R28">IFERROR(INDEX(applied_prod, MATCH('食譜'!P28, ing_name, 0)), "")</f>
        <v>148.65</v>
      </c>
      <c r="S28" s="73">
        <f>IFERROR('食譜'!Q28*3, "")</f>
        <v>66</v>
      </c>
      <c r="T28" s="74">
        <f t="shared" si="10"/>
        <v>2.252272727</v>
      </c>
      <c r="U28" s="75">
        <f t="shared" si="11"/>
        <v>0.4439959637</v>
      </c>
      <c r="V28" s="73" t="str">
        <f t="shared" si="12"/>
        <v>10h 39m</v>
      </c>
      <c r="W28" s="73" t="str">
        <f t="shared" si="13"/>
        <v>55h 55m</v>
      </c>
      <c r="X28" s="75">
        <f t="shared" si="14"/>
        <v>2.330214473</v>
      </c>
      <c r="Y28" s="73">
        <f>IFERROR('食譜'!H28, "")*3</f>
        <v>75486</v>
      </c>
      <c r="Z28" s="73">
        <f t="shared" si="15"/>
        <v>32394.44304</v>
      </c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</row>
    <row r="29" ht="47.25" customHeight="1">
      <c r="A29" s="73" t="str">
        <f>IFERROR(__xludf.DUMMYFUNCTION("""COMPUTED_VALUE"""),"")</f>
        <v/>
      </c>
      <c r="B29" s="73" t="str">
        <f>IFERROR(__xludf.DUMMYFUNCTION("""COMPUTED_VALUE"""),"大塊滿滿熱水沙拉")</f>
        <v>大塊滿滿熱水沙拉</v>
      </c>
      <c r="C29" s="73">
        <f t="array" ref="C29">IFERROR(INDEX(applied_prod, MATCH('食譜'!J29, ing_name, 0)), "")</f>
        <v>63.05</v>
      </c>
      <c r="D29" s="73">
        <f>IFERROR('食譜'!K29*3, "")</f>
        <v>60</v>
      </c>
      <c r="E29" s="74">
        <f t="shared" si="1"/>
        <v>1.050833333</v>
      </c>
      <c r="F29" s="75">
        <f t="shared" si="2"/>
        <v>0.9516256939</v>
      </c>
      <c r="G29" s="73" t="str">
        <f t="shared" si="3"/>
        <v>22h 50m</v>
      </c>
      <c r="H29" s="73">
        <f t="array" ref="H29">IFERROR(INDEX(applied_prod, MATCH('食譜'!L29, ing_name, 0)), "")</f>
        <v>120.45</v>
      </c>
      <c r="I29" s="73">
        <f>IFERROR('食譜'!M29*3, "")</f>
        <v>90</v>
      </c>
      <c r="J29" s="74">
        <f t="shared" si="4"/>
        <v>1.338333333</v>
      </c>
      <c r="K29" s="75">
        <f t="shared" si="5"/>
        <v>0.7471980075</v>
      </c>
      <c r="L29" s="73" t="str">
        <f t="shared" si="6"/>
        <v>17h 55m</v>
      </c>
      <c r="M29" s="73">
        <f t="array" ref="M29">IFERROR(INDEX(applied_prod, MATCH('食譜'!N29, ing_name, 0)), "")</f>
        <v>134.79</v>
      </c>
      <c r="N29" s="73">
        <f>IFERROR('食譜'!O29*3, "")</f>
        <v>54</v>
      </c>
      <c r="O29" s="74">
        <f t="shared" si="7"/>
        <v>2.496111111</v>
      </c>
      <c r="P29" s="75">
        <f t="shared" si="8"/>
        <v>0.4006231916</v>
      </c>
      <c r="Q29" s="73" t="str">
        <f t="shared" si="9"/>
        <v>9h 36m</v>
      </c>
      <c r="R29" s="73">
        <f t="array" ref="R29">IFERROR(INDEX(applied_prod, MATCH('食譜'!P29, ing_name, 0)), "")</f>
        <v>92.67</v>
      </c>
      <c r="S29" s="73">
        <f>IFERROR('食譜'!Q29*3, "")</f>
        <v>81</v>
      </c>
      <c r="T29" s="74">
        <f t="shared" si="10"/>
        <v>1.144074074</v>
      </c>
      <c r="U29" s="75">
        <f t="shared" si="11"/>
        <v>0.8740692781</v>
      </c>
      <c r="V29" s="73" t="str">
        <f t="shared" si="12"/>
        <v>20h 58m</v>
      </c>
      <c r="W29" s="73" t="str">
        <f t="shared" si="13"/>
        <v>71h 21m</v>
      </c>
      <c r="X29" s="75">
        <f t="shared" si="14"/>
        <v>2.973516171</v>
      </c>
      <c r="Y29" s="73">
        <f>IFERROR('食譜'!H29, "")*3</f>
        <v>76068</v>
      </c>
      <c r="Z29" s="73">
        <f t="shared" si="15"/>
        <v>25581.83498</v>
      </c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</row>
    <row r="30" ht="47.25" customHeight="1">
      <c r="A30" s="73" t="str">
        <f>IFERROR(__xludf.DUMMYFUNCTION("""COMPUTED_VALUE"""),"")</f>
        <v/>
      </c>
      <c r="B30" s="73" t="str">
        <f>IFERROR(__xludf.DUMMYFUNCTION("""COMPUTED_VALUE"""),"拌拌咖哩")</f>
        <v>拌拌咖哩</v>
      </c>
      <c r="C30" s="73" t="str">
        <f t="array" ref="C30">IFERROR(INDEX(applied_prod, MATCH('食譜'!J30, ing_name, 0)), "")</f>
        <v/>
      </c>
      <c r="D30" s="73">
        <f>IFERROR('食譜'!K30*3, "")</f>
        <v>0</v>
      </c>
      <c r="E30" s="74" t="str">
        <f t="shared" si="1"/>
        <v/>
      </c>
      <c r="F30" s="75" t="str">
        <f t="shared" si="2"/>
        <v/>
      </c>
      <c r="G30" s="73" t="str">
        <f t="shared" si="3"/>
        <v>0h 0m</v>
      </c>
      <c r="H30" s="73" t="str">
        <f t="array" ref="H30">IFERROR(INDEX(applied_prod, MATCH('食譜'!L30, ing_name, 0)), "")</f>
        <v/>
      </c>
      <c r="I30" s="73">
        <f>IFERROR('食譜'!M30*3, "")</f>
        <v>0</v>
      </c>
      <c r="J30" s="74" t="str">
        <f t="shared" si="4"/>
        <v/>
      </c>
      <c r="K30" s="75" t="str">
        <f t="shared" si="5"/>
        <v/>
      </c>
      <c r="L30" s="73" t="str">
        <f t="shared" si="6"/>
        <v>0h 0m</v>
      </c>
      <c r="M30" s="73" t="str">
        <f t="array" ref="M30">IFERROR(INDEX(applied_prod, MATCH('食譜'!N30, ing_name, 0)), "")</f>
        <v/>
      </c>
      <c r="N30" s="73">
        <f>IFERROR('食譜'!O30*3, "")</f>
        <v>0</v>
      </c>
      <c r="O30" s="74" t="str">
        <f t="shared" si="7"/>
        <v/>
      </c>
      <c r="P30" s="75" t="str">
        <f t="shared" si="8"/>
        <v/>
      </c>
      <c r="Q30" s="73" t="str">
        <f t="shared" si="9"/>
        <v>0h 0m</v>
      </c>
      <c r="R30" s="73" t="str">
        <f t="array" ref="R30">IFERROR(INDEX(applied_prod, MATCH('食譜'!P30, ing_name, 0)), "")</f>
        <v/>
      </c>
      <c r="S30" s="73">
        <f>IFERROR('食譜'!Q30*3, "")</f>
        <v>0</v>
      </c>
      <c r="T30" s="74" t="str">
        <f t="shared" si="10"/>
        <v/>
      </c>
      <c r="U30" s="75" t="str">
        <f t="shared" si="11"/>
        <v/>
      </c>
      <c r="V30" s="73" t="str">
        <f t="shared" si="12"/>
        <v>0h 0m</v>
      </c>
      <c r="W30" s="73" t="str">
        <f t="shared" si="13"/>
        <v>0h 0m</v>
      </c>
      <c r="X30" s="75">
        <f t="shared" si="14"/>
        <v>0</v>
      </c>
      <c r="Y30" s="73">
        <f>IFERROR('食譜'!H30, "")*3</f>
        <v>0</v>
      </c>
      <c r="Z30" s="73" t="str">
        <f t="shared" si="15"/>
        <v/>
      </c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</row>
    <row r="31" ht="47.25" customHeight="1">
      <c r="A31" s="73" t="str">
        <f>IFERROR(__xludf.DUMMYFUNCTION("""COMPUTED_VALUE"""),"")</f>
        <v/>
      </c>
      <c r="B31" s="73" t="str">
        <f>IFERROR(__xludf.DUMMYFUNCTION("""COMPUTED_VALUE"""),"特選蘋果咖哩")</f>
        <v>特選蘋果咖哩</v>
      </c>
      <c r="C31" s="73">
        <f t="array" ref="C31">IFERROR(INDEX(applied_prod, MATCH('食譜'!J31, ing_name, 0)), "")</f>
        <v>163.61</v>
      </c>
      <c r="D31" s="73">
        <f>IFERROR('食譜'!K31*3, "")</f>
        <v>21</v>
      </c>
      <c r="E31" s="74">
        <f t="shared" si="1"/>
        <v>7.790952381</v>
      </c>
      <c r="F31" s="75">
        <f t="shared" si="2"/>
        <v>0.1283540126</v>
      </c>
      <c r="G31" s="73" t="str">
        <f t="shared" si="3"/>
        <v>3h 4m</v>
      </c>
      <c r="H31" s="73" t="str">
        <f t="array" ref="H31">IFERROR(INDEX(applied_prod, MATCH('食譜'!L31, ing_name, 0)), "")</f>
        <v/>
      </c>
      <c r="I31" s="73">
        <f>IFERROR('食譜'!M31*3, "")</f>
        <v>0</v>
      </c>
      <c r="J31" s="74" t="str">
        <f t="shared" si="4"/>
        <v/>
      </c>
      <c r="K31" s="75" t="str">
        <f t="shared" si="5"/>
        <v/>
      </c>
      <c r="L31" s="73" t="str">
        <f t="shared" si="6"/>
        <v>0h 0m</v>
      </c>
      <c r="M31" s="73" t="str">
        <f t="array" ref="M31">IFERROR(INDEX(applied_prod, MATCH('食譜'!N31, ing_name, 0)), "")</f>
        <v/>
      </c>
      <c r="N31" s="73">
        <f>IFERROR('食譜'!O31*3, "")</f>
        <v>0</v>
      </c>
      <c r="O31" s="74" t="str">
        <f t="shared" si="7"/>
        <v/>
      </c>
      <c r="P31" s="75" t="str">
        <f t="shared" si="8"/>
        <v/>
      </c>
      <c r="Q31" s="73" t="str">
        <f t="shared" si="9"/>
        <v>0h 0m</v>
      </c>
      <c r="R31" s="73" t="str">
        <f t="array" ref="R31">IFERROR(INDEX(applied_prod, MATCH('食譜'!P31, ing_name, 0)), "")</f>
        <v/>
      </c>
      <c r="S31" s="73">
        <f>IFERROR('食譜'!Q31*3, "")</f>
        <v>0</v>
      </c>
      <c r="T31" s="74" t="str">
        <f t="shared" si="10"/>
        <v/>
      </c>
      <c r="U31" s="75" t="str">
        <f t="shared" si="11"/>
        <v/>
      </c>
      <c r="V31" s="73" t="str">
        <f t="shared" si="12"/>
        <v>0h 0m</v>
      </c>
      <c r="W31" s="73" t="str">
        <f t="shared" si="13"/>
        <v>3h 4m</v>
      </c>
      <c r="X31" s="75">
        <f t="shared" si="14"/>
        <v>0.1283540126</v>
      </c>
      <c r="Y31" s="73">
        <f>IFERROR('食譜'!H31, "")*3</f>
        <v>2184</v>
      </c>
      <c r="Z31" s="73">
        <f t="shared" si="15"/>
        <v>17015.44</v>
      </c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</row>
    <row r="32" ht="47.25" customHeight="1">
      <c r="A32" s="73" t="str">
        <f>IFERROR(__xludf.DUMMYFUNCTION("""COMPUTED_VALUE"""),"")</f>
        <v/>
      </c>
      <c r="B32" s="73" t="str">
        <f>IFERROR(__xludf.DUMMYFUNCTION("""COMPUTED_VALUE"""),"單純白醬濃湯")</f>
        <v>單純白醬濃湯</v>
      </c>
      <c r="C32" s="73">
        <f t="array" ref="C32">IFERROR(INDEX(applied_prod, MATCH('食譜'!J32, ing_name, 0)), "")</f>
        <v>161.87</v>
      </c>
      <c r="D32" s="73">
        <f>IFERROR('食譜'!K32*3, "")</f>
        <v>21</v>
      </c>
      <c r="E32" s="74">
        <f t="shared" si="1"/>
        <v>7.708095238</v>
      </c>
      <c r="F32" s="75">
        <f t="shared" si="2"/>
        <v>0.1297337369</v>
      </c>
      <c r="G32" s="73" t="str">
        <f t="shared" si="3"/>
        <v>3h 6m</v>
      </c>
      <c r="H32" s="73" t="str">
        <f t="array" ref="H32">IFERROR(INDEX(applied_prod, MATCH('食譜'!L32, ing_name, 0)), "")</f>
        <v/>
      </c>
      <c r="I32" s="73">
        <f>IFERROR('食譜'!M32*3, "")</f>
        <v>0</v>
      </c>
      <c r="J32" s="74" t="str">
        <f t="shared" si="4"/>
        <v/>
      </c>
      <c r="K32" s="75" t="str">
        <f t="shared" si="5"/>
        <v/>
      </c>
      <c r="L32" s="73" t="str">
        <f t="shared" si="6"/>
        <v>0h 0m</v>
      </c>
      <c r="M32" s="73" t="str">
        <f t="array" ref="M32">IFERROR(INDEX(applied_prod, MATCH('食譜'!N32, ing_name, 0)), "")</f>
        <v/>
      </c>
      <c r="N32" s="73">
        <f>IFERROR('食譜'!O32*3, "")</f>
        <v>0</v>
      </c>
      <c r="O32" s="74" t="str">
        <f t="shared" si="7"/>
        <v/>
      </c>
      <c r="P32" s="75" t="str">
        <f t="shared" si="8"/>
        <v/>
      </c>
      <c r="Q32" s="73" t="str">
        <f t="shared" si="9"/>
        <v>0h 0m</v>
      </c>
      <c r="R32" s="73" t="str">
        <f t="array" ref="R32">IFERROR(INDEX(applied_prod, MATCH('食譜'!P32, ing_name, 0)), "")</f>
        <v/>
      </c>
      <c r="S32" s="73">
        <f>IFERROR('食譜'!Q32*3, "")</f>
        <v>0</v>
      </c>
      <c r="T32" s="74" t="str">
        <f t="shared" si="10"/>
        <v/>
      </c>
      <c r="U32" s="75" t="str">
        <f t="shared" si="11"/>
        <v/>
      </c>
      <c r="V32" s="73" t="str">
        <f t="shared" si="12"/>
        <v>0h 0m</v>
      </c>
      <c r="W32" s="73" t="str">
        <f t="shared" si="13"/>
        <v>3h 6m</v>
      </c>
      <c r="X32" s="75">
        <f t="shared" si="14"/>
        <v>0.1297337369</v>
      </c>
      <c r="Y32" s="73">
        <f>IFERROR('食譜'!H32, "")*3</f>
        <v>2442</v>
      </c>
      <c r="Z32" s="73">
        <f t="shared" si="15"/>
        <v>18823.16857</v>
      </c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</row>
    <row r="33" ht="47.25" customHeight="1">
      <c r="A33" s="73" t="str">
        <f>IFERROR(__xludf.DUMMYFUNCTION("""COMPUTED_VALUE"""),"")</f>
        <v/>
      </c>
      <c r="B33" s="73" t="str">
        <f>IFERROR(__xludf.DUMMYFUNCTION("""COMPUTED_VALUE"""),"寶寶甜蜜咖哩")</f>
        <v>寶寶甜蜜咖哩</v>
      </c>
      <c r="C33" s="73">
        <f t="array" ref="C33">IFERROR(INDEX(applied_prod, MATCH('食譜'!J33, ing_name, 0)), "")</f>
        <v>156.57</v>
      </c>
      <c r="D33" s="73">
        <f>IFERROR('食譜'!K33*3, "")</f>
        <v>21</v>
      </c>
      <c r="E33" s="74">
        <f t="shared" si="1"/>
        <v>7.455714286</v>
      </c>
      <c r="F33" s="75">
        <f t="shared" si="2"/>
        <v>0.1341253114</v>
      </c>
      <c r="G33" s="73" t="str">
        <f t="shared" si="3"/>
        <v>3h 13m</v>
      </c>
      <c r="H33" s="73" t="str">
        <f t="array" ref="H33">IFERROR(INDEX(applied_prod, MATCH('食譜'!L33, ing_name, 0)), "")</f>
        <v/>
      </c>
      <c r="I33" s="73">
        <f>IFERROR('食譜'!M33*3, "")</f>
        <v>0</v>
      </c>
      <c r="J33" s="74" t="str">
        <f t="shared" si="4"/>
        <v/>
      </c>
      <c r="K33" s="75" t="str">
        <f t="shared" si="5"/>
        <v/>
      </c>
      <c r="L33" s="73" t="str">
        <f t="shared" si="6"/>
        <v>0h 0m</v>
      </c>
      <c r="M33" s="73" t="str">
        <f t="array" ref="M33">IFERROR(INDEX(applied_prod, MATCH('食譜'!N33, ing_name, 0)), "")</f>
        <v/>
      </c>
      <c r="N33" s="73">
        <f>IFERROR('食譜'!O33*3, "")</f>
        <v>0</v>
      </c>
      <c r="O33" s="74" t="str">
        <f t="shared" si="7"/>
        <v/>
      </c>
      <c r="P33" s="75" t="str">
        <f t="shared" si="8"/>
        <v/>
      </c>
      <c r="Q33" s="73" t="str">
        <f t="shared" si="9"/>
        <v>0h 0m</v>
      </c>
      <c r="R33" s="73" t="str">
        <f t="array" ref="R33">IFERROR(INDEX(applied_prod, MATCH('食譜'!P33, ing_name, 0)), "")</f>
        <v/>
      </c>
      <c r="S33" s="73">
        <f>IFERROR('食譜'!Q33*3, "")</f>
        <v>0</v>
      </c>
      <c r="T33" s="74" t="str">
        <f t="shared" si="10"/>
        <v/>
      </c>
      <c r="U33" s="75" t="str">
        <f t="shared" si="11"/>
        <v/>
      </c>
      <c r="V33" s="73" t="str">
        <f t="shared" si="12"/>
        <v>0h 0m</v>
      </c>
      <c r="W33" s="73" t="str">
        <f t="shared" si="13"/>
        <v>3h 13m</v>
      </c>
      <c r="X33" s="75">
        <f t="shared" si="14"/>
        <v>0.1341253114</v>
      </c>
      <c r="Y33" s="73">
        <f>IFERROR('食譜'!H33, "")*3</f>
        <v>2517</v>
      </c>
      <c r="Z33" s="73">
        <f t="shared" si="15"/>
        <v>18766.03286</v>
      </c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</row>
    <row r="34" ht="47.25" customHeight="1">
      <c r="A34" s="73" t="str">
        <f>IFERROR(__xludf.DUMMYFUNCTION("""COMPUTED_VALUE"""),"")</f>
        <v/>
      </c>
      <c r="B34" s="73" t="str">
        <f>IFERROR(__xludf.DUMMYFUNCTION("""COMPUTED_VALUE"""),"豆製肉排咖哩")</f>
        <v>豆製肉排咖哩</v>
      </c>
      <c r="C34" s="73">
        <f t="array" ref="C34">IFERROR(INDEX(applied_prod, MATCH('食譜'!J34, ing_name, 0)), "")</f>
        <v>157.5</v>
      </c>
      <c r="D34" s="73">
        <f>IFERROR('食譜'!K34*3, "")</f>
        <v>21</v>
      </c>
      <c r="E34" s="74">
        <f t="shared" si="1"/>
        <v>7.5</v>
      </c>
      <c r="F34" s="75">
        <f t="shared" si="2"/>
        <v>0.1333333333</v>
      </c>
      <c r="G34" s="73" t="str">
        <f t="shared" si="3"/>
        <v>3h 12m</v>
      </c>
      <c r="H34" s="73" t="str">
        <f t="array" ref="H34">IFERROR(INDEX(applied_prod, MATCH('食譜'!L34, ing_name, 0)), "")</f>
        <v/>
      </c>
      <c r="I34" s="73">
        <f>IFERROR('食譜'!M34*3, "")</f>
        <v>0</v>
      </c>
      <c r="J34" s="74" t="str">
        <f t="shared" si="4"/>
        <v/>
      </c>
      <c r="K34" s="75" t="str">
        <f t="shared" si="5"/>
        <v/>
      </c>
      <c r="L34" s="73" t="str">
        <f t="shared" si="6"/>
        <v>0h 0m</v>
      </c>
      <c r="M34" s="73" t="str">
        <f t="array" ref="M34">IFERROR(INDEX(applied_prod, MATCH('食譜'!N34, ing_name, 0)), "")</f>
        <v/>
      </c>
      <c r="N34" s="73">
        <f>IFERROR('食譜'!O34*3, "")</f>
        <v>0</v>
      </c>
      <c r="O34" s="74" t="str">
        <f t="shared" si="7"/>
        <v/>
      </c>
      <c r="P34" s="75" t="str">
        <f t="shared" si="8"/>
        <v/>
      </c>
      <c r="Q34" s="73" t="str">
        <f t="shared" si="9"/>
        <v>0h 0m</v>
      </c>
      <c r="R34" s="73" t="str">
        <f t="array" ref="R34">IFERROR(INDEX(applied_prod, MATCH('食譜'!P34, ing_name, 0)), "")</f>
        <v/>
      </c>
      <c r="S34" s="73">
        <f>IFERROR('食譜'!Q34*3, "")</f>
        <v>0</v>
      </c>
      <c r="T34" s="74" t="str">
        <f t="shared" si="10"/>
        <v/>
      </c>
      <c r="U34" s="75" t="str">
        <f t="shared" si="11"/>
        <v/>
      </c>
      <c r="V34" s="73" t="str">
        <f t="shared" si="12"/>
        <v>0h 0m</v>
      </c>
      <c r="W34" s="73" t="str">
        <f t="shared" si="13"/>
        <v>3h 12m</v>
      </c>
      <c r="X34" s="75">
        <f t="shared" si="14"/>
        <v>0.1333333333</v>
      </c>
      <c r="Y34" s="73">
        <f>IFERROR('食譜'!H34, "")*3</f>
        <v>2568</v>
      </c>
      <c r="Z34" s="73">
        <f t="shared" si="15"/>
        <v>19260</v>
      </c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</row>
    <row r="35" ht="47.25" customHeight="1">
      <c r="A35" s="73" t="str">
        <f>IFERROR(__xludf.DUMMYFUNCTION("""COMPUTED_VALUE"""),"")</f>
        <v/>
      </c>
      <c r="B35" s="73" t="str">
        <f>IFERROR(__xludf.DUMMYFUNCTION("""COMPUTED_VALUE"""),"吃飽飽起司肉排咖哩")</f>
        <v>吃飽飽起司肉排咖哩</v>
      </c>
      <c r="C35" s="73">
        <f t="array" ref="C35">IFERROR(INDEX(applied_prod, MATCH('食譜'!J35, ing_name, 0)), "")</f>
        <v>157.5</v>
      </c>
      <c r="D35" s="73">
        <f>IFERROR('食譜'!K35*3, "")</f>
        <v>24</v>
      </c>
      <c r="E35" s="74">
        <f t="shared" si="1"/>
        <v>6.5625</v>
      </c>
      <c r="F35" s="75">
        <f t="shared" si="2"/>
        <v>0.1523809524</v>
      </c>
      <c r="G35" s="73" t="str">
        <f t="shared" si="3"/>
        <v>3h 39m</v>
      </c>
      <c r="H35" s="73">
        <f t="array" ref="H35">IFERROR(INDEX(applied_prod, MATCH('食譜'!L35, ing_name, 0)), "")</f>
        <v>161.87</v>
      </c>
      <c r="I35" s="73">
        <f>IFERROR('食譜'!M35*3, "")</f>
        <v>24</v>
      </c>
      <c r="J35" s="74">
        <f t="shared" si="4"/>
        <v>6.744583333</v>
      </c>
      <c r="K35" s="75">
        <f t="shared" si="5"/>
        <v>0.1482671279</v>
      </c>
      <c r="L35" s="73" t="str">
        <f t="shared" si="6"/>
        <v>3h 33m</v>
      </c>
      <c r="M35" s="73" t="str">
        <f t="array" ref="M35">IFERROR(INDEX(applied_prod, MATCH('食譜'!N35, ing_name, 0)), "")</f>
        <v/>
      </c>
      <c r="N35" s="73">
        <f>IFERROR('食譜'!O35*3, "")</f>
        <v>0</v>
      </c>
      <c r="O35" s="74" t="str">
        <f t="shared" si="7"/>
        <v/>
      </c>
      <c r="P35" s="75" t="str">
        <f t="shared" si="8"/>
        <v/>
      </c>
      <c r="Q35" s="73" t="str">
        <f t="shared" si="9"/>
        <v>0h 0m</v>
      </c>
      <c r="R35" s="73" t="str">
        <f t="array" ref="R35">IFERROR(INDEX(applied_prod, MATCH('食譜'!P35, ing_name, 0)), "")</f>
        <v/>
      </c>
      <c r="S35" s="73">
        <f>IFERROR('食譜'!Q35*3, "")</f>
        <v>0</v>
      </c>
      <c r="T35" s="74" t="str">
        <f t="shared" si="10"/>
        <v/>
      </c>
      <c r="U35" s="75" t="str">
        <f t="shared" si="11"/>
        <v/>
      </c>
      <c r="V35" s="73" t="str">
        <f t="shared" si="12"/>
        <v>0h 0m</v>
      </c>
      <c r="W35" s="73" t="str">
        <f t="shared" si="13"/>
        <v>7h 12m</v>
      </c>
      <c r="X35" s="75">
        <f t="shared" si="14"/>
        <v>0.3006480803</v>
      </c>
      <c r="Y35" s="73">
        <f>IFERROR('食譜'!H35, "")*3</f>
        <v>5730</v>
      </c>
      <c r="Z35" s="73">
        <f t="shared" si="15"/>
        <v>19058.82783</v>
      </c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</row>
    <row r="36" ht="47.25" customHeight="1">
      <c r="A36" s="73" t="str">
        <f>IFERROR(__xludf.DUMMYFUNCTION("""COMPUTED_VALUE"""),"")</f>
        <v/>
      </c>
      <c r="B36" s="73" t="str">
        <f>IFERROR(__xludf.DUMMYFUNCTION("""COMPUTED_VALUE"""),"日照炸肉排咖哩")</f>
        <v>日照炸肉排咖哩</v>
      </c>
      <c r="C36" s="73">
        <f t="array" ref="C36">IFERROR(INDEX(applied_prod, MATCH('食譜'!J36, ing_name, 0)), "")</f>
        <v>157.5</v>
      </c>
      <c r="D36" s="73">
        <f>IFERROR('食譜'!K36*3, "")</f>
        <v>30</v>
      </c>
      <c r="E36" s="74">
        <f t="shared" si="1"/>
        <v>5.25</v>
      </c>
      <c r="F36" s="75">
        <f t="shared" si="2"/>
        <v>0.1904761905</v>
      </c>
      <c r="G36" s="73" t="str">
        <f t="shared" si="3"/>
        <v>4h 34m</v>
      </c>
      <c r="H36" s="73">
        <f t="array" ref="H36">IFERROR(INDEX(applied_prod, MATCH('食譜'!L36, ing_name, 0)), "")</f>
        <v>111.06</v>
      </c>
      <c r="I36" s="73">
        <f>IFERROR('食譜'!M36*3, "")</f>
        <v>15</v>
      </c>
      <c r="J36" s="74">
        <f t="shared" si="4"/>
        <v>7.404</v>
      </c>
      <c r="K36" s="75">
        <f t="shared" si="5"/>
        <v>0.1350621286</v>
      </c>
      <c r="L36" s="73" t="str">
        <f t="shared" si="6"/>
        <v>3h 14m</v>
      </c>
      <c r="M36" s="73" t="str">
        <f t="array" ref="M36">IFERROR(INDEX(applied_prod, MATCH('食譜'!N36, ing_name, 0)), "")</f>
        <v/>
      </c>
      <c r="N36" s="73">
        <f>IFERROR('食譜'!O36*3, "")</f>
        <v>0</v>
      </c>
      <c r="O36" s="74" t="str">
        <f t="shared" si="7"/>
        <v/>
      </c>
      <c r="P36" s="75" t="str">
        <f t="shared" si="8"/>
        <v/>
      </c>
      <c r="Q36" s="73" t="str">
        <f t="shared" si="9"/>
        <v>0h 0m</v>
      </c>
      <c r="R36" s="73" t="str">
        <f t="array" ref="R36">IFERROR(INDEX(applied_prod, MATCH('食譜'!P36, ing_name, 0)), "")</f>
        <v/>
      </c>
      <c r="S36" s="73">
        <f>IFERROR('食譜'!Q36*3, "")</f>
        <v>0</v>
      </c>
      <c r="T36" s="74" t="str">
        <f t="shared" si="10"/>
        <v/>
      </c>
      <c r="U36" s="75" t="str">
        <f t="shared" si="11"/>
        <v/>
      </c>
      <c r="V36" s="73" t="str">
        <f t="shared" si="12"/>
        <v>0h 0m</v>
      </c>
      <c r="W36" s="73" t="str">
        <f t="shared" si="13"/>
        <v>7h 48m</v>
      </c>
      <c r="X36" s="75">
        <f t="shared" si="14"/>
        <v>0.3255383191</v>
      </c>
      <c r="Y36" s="73">
        <f>IFERROR('食譜'!H36, "")*3</f>
        <v>5826</v>
      </c>
      <c r="Z36" s="73">
        <f t="shared" si="15"/>
        <v>17896.51067</v>
      </c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</row>
    <row r="37" ht="47.25" customHeight="1">
      <c r="A37" s="73" t="str">
        <f>IFERROR(__xludf.DUMMYFUNCTION("""COMPUTED_VALUE"""),"")</f>
        <v/>
      </c>
      <c r="B37" s="73" t="str">
        <f>IFERROR(__xludf.DUMMYFUNCTION("""COMPUTED_VALUE"""),"太陽之力番茄咖哩")</f>
        <v>太陽之力番茄咖哩</v>
      </c>
      <c r="C37" s="73">
        <f t="array" ref="C37">IFERROR(INDEX(applied_prod, MATCH('食譜'!J37, ing_name, 0)), "")</f>
        <v>137.56</v>
      </c>
      <c r="D37" s="73">
        <f>IFERROR('食譜'!K37*3, "")</f>
        <v>30</v>
      </c>
      <c r="E37" s="74">
        <f t="shared" si="1"/>
        <v>4.585333333</v>
      </c>
      <c r="F37" s="75">
        <f t="shared" si="2"/>
        <v>0.2180866531</v>
      </c>
      <c r="G37" s="73" t="str">
        <f t="shared" si="3"/>
        <v>5h 14m</v>
      </c>
      <c r="H37" s="73">
        <f t="array" ref="H37">IFERROR(INDEX(applied_prod, MATCH('食譜'!L37, ing_name, 0)), "")</f>
        <v>168.36</v>
      </c>
      <c r="I37" s="73">
        <f>IFERROR('食譜'!M37*3, "")</f>
        <v>15</v>
      </c>
      <c r="J37" s="74">
        <f t="shared" si="4"/>
        <v>11.224</v>
      </c>
      <c r="K37" s="75">
        <f t="shared" si="5"/>
        <v>0.08909479686</v>
      </c>
      <c r="L37" s="73" t="str">
        <f t="shared" si="6"/>
        <v>2h 8m</v>
      </c>
      <c r="M37" s="73" t="str">
        <f t="array" ref="M37">IFERROR(INDEX(applied_prod, MATCH('食譜'!N37, ing_name, 0)), "")</f>
        <v/>
      </c>
      <c r="N37" s="73">
        <f>IFERROR('食譜'!O37*3, "")</f>
        <v>0</v>
      </c>
      <c r="O37" s="74" t="str">
        <f t="shared" si="7"/>
        <v/>
      </c>
      <c r="P37" s="75" t="str">
        <f t="shared" si="8"/>
        <v/>
      </c>
      <c r="Q37" s="73" t="str">
        <f t="shared" si="9"/>
        <v>0h 0m</v>
      </c>
      <c r="R37" s="73" t="str">
        <f t="array" ref="R37">IFERROR(INDEX(applied_prod, MATCH('食譜'!P37, ing_name, 0)), "")</f>
        <v/>
      </c>
      <c r="S37" s="73">
        <f>IFERROR('食譜'!Q37*3, "")</f>
        <v>0</v>
      </c>
      <c r="T37" s="74" t="str">
        <f t="shared" si="10"/>
        <v/>
      </c>
      <c r="U37" s="75" t="str">
        <f t="shared" si="11"/>
        <v/>
      </c>
      <c r="V37" s="73" t="str">
        <f t="shared" si="12"/>
        <v>0h 0m</v>
      </c>
      <c r="W37" s="73" t="str">
        <f t="shared" si="13"/>
        <v>7h 22m</v>
      </c>
      <c r="X37" s="75">
        <f t="shared" si="14"/>
        <v>0.30718145</v>
      </c>
      <c r="Y37" s="73">
        <f>IFERROR('食譜'!H37, "")*3</f>
        <v>6234</v>
      </c>
      <c r="Z37" s="73">
        <f t="shared" si="15"/>
        <v>20294.1942</v>
      </c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</row>
    <row r="38" ht="47.25" customHeight="1">
      <c r="A38" s="73" t="str">
        <f>IFERROR(__xludf.DUMMYFUNCTION("""COMPUTED_VALUE"""),"")</f>
        <v/>
      </c>
      <c r="B38" s="73" t="str">
        <f>IFERROR(__xludf.DUMMYFUNCTION("""COMPUTED_VALUE"""),"入口即化蛋捲咖哩")</f>
        <v>入口即化蛋捲咖哩</v>
      </c>
      <c r="C38" s="73">
        <f t="array" ref="C38">IFERROR(INDEX(applied_prod, MATCH('食譜'!J38, ing_name, 0)), "")</f>
        <v>127.29</v>
      </c>
      <c r="D38" s="73">
        <f>IFERROR('食譜'!K38*3, "")</f>
        <v>30</v>
      </c>
      <c r="E38" s="74">
        <f t="shared" si="1"/>
        <v>4.243</v>
      </c>
      <c r="F38" s="75">
        <f t="shared" si="2"/>
        <v>0.2356823003</v>
      </c>
      <c r="G38" s="73" t="str">
        <f t="shared" si="3"/>
        <v>5h 39m</v>
      </c>
      <c r="H38" s="73">
        <f t="array" ref="H38">IFERROR(INDEX(applied_prod, MATCH('食譜'!L38, ing_name, 0)), "")</f>
        <v>137.56</v>
      </c>
      <c r="I38" s="73">
        <f>IFERROR('食譜'!M38*3, "")</f>
        <v>18</v>
      </c>
      <c r="J38" s="74">
        <f t="shared" si="4"/>
        <v>7.642222222</v>
      </c>
      <c r="K38" s="75">
        <f t="shared" si="5"/>
        <v>0.1308519919</v>
      </c>
      <c r="L38" s="73" t="str">
        <f t="shared" si="6"/>
        <v>3h 8m</v>
      </c>
      <c r="M38" s="73" t="str">
        <f t="array" ref="M38">IFERROR(INDEX(applied_prod, MATCH('食譜'!N38, ing_name, 0)), "")</f>
        <v/>
      </c>
      <c r="N38" s="73">
        <f>IFERROR('食譜'!O38*3, "")</f>
        <v>0</v>
      </c>
      <c r="O38" s="74" t="str">
        <f t="shared" si="7"/>
        <v/>
      </c>
      <c r="P38" s="75" t="str">
        <f t="shared" si="8"/>
        <v/>
      </c>
      <c r="Q38" s="73" t="str">
        <f t="shared" si="9"/>
        <v>0h 0m</v>
      </c>
      <c r="R38" s="73" t="str">
        <f t="array" ref="R38">IFERROR(INDEX(applied_prod, MATCH('食譜'!P38, ing_name, 0)), "")</f>
        <v/>
      </c>
      <c r="S38" s="73">
        <f>IFERROR('食譜'!Q38*3, "")</f>
        <v>0</v>
      </c>
      <c r="T38" s="74" t="str">
        <f t="shared" si="10"/>
        <v/>
      </c>
      <c r="U38" s="75" t="str">
        <f t="shared" si="11"/>
        <v/>
      </c>
      <c r="V38" s="73" t="str">
        <f t="shared" si="12"/>
        <v>0h 0m</v>
      </c>
      <c r="W38" s="73" t="str">
        <f t="shared" si="13"/>
        <v>8h 47m</v>
      </c>
      <c r="X38" s="75">
        <f t="shared" si="14"/>
        <v>0.3665342921</v>
      </c>
      <c r="Y38" s="73">
        <f>IFERROR('食譜'!H38, "")*3</f>
        <v>6450</v>
      </c>
      <c r="Z38" s="73">
        <f t="shared" si="15"/>
        <v>17597.26208</v>
      </c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</row>
    <row r="39" ht="47.25" customHeight="1">
      <c r="A39" s="73" t="str">
        <f>IFERROR(__xludf.DUMMYFUNCTION("""COMPUTED_VALUE"""),"")</f>
        <v/>
      </c>
      <c r="B39" s="73" t="str">
        <f>IFERROR(__xludf.DUMMYFUNCTION("""COMPUTED_VALUE"""),"窩心白醬濃湯")</f>
        <v>窩心白醬濃湯</v>
      </c>
      <c r="C39" s="73">
        <f t="array" ref="C39">IFERROR(INDEX(applied_prod, MATCH('食譜'!J39, ing_name, 0)), "")</f>
        <v>161.87</v>
      </c>
      <c r="D39" s="73">
        <f>IFERROR('食譜'!K39*3, "")</f>
        <v>30</v>
      </c>
      <c r="E39" s="74">
        <f t="shared" si="1"/>
        <v>5.395666667</v>
      </c>
      <c r="F39" s="75">
        <f t="shared" si="2"/>
        <v>0.1853339099</v>
      </c>
      <c r="G39" s="73" t="str">
        <f t="shared" si="3"/>
        <v>4h 26m</v>
      </c>
      <c r="H39" s="73">
        <f t="array" ref="H39">IFERROR(INDEX(applied_prod, MATCH('食譜'!L39, ing_name, 0)), "")</f>
        <v>120.45</v>
      </c>
      <c r="I39" s="73">
        <f>IFERROR('食譜'!M39*3, "")</f>
        <v>24</v>
      </c>
      <c r="J39" s="74">
        <f t="shared" si="4"/>
        <v>5.01875</v>
      </c>
      <c r="K39" s="75">
        <f t="shared" si="5"/>
        <v>0.199252802</v>
      </c>
      <c r="L39" s="73" t="str">
        <f t="shared" si="6"/>
        <v>4h 46m</v>
      </c>
      <c r="M39" s="73">
        <f t="array" ref="M39">IFERROR(INDEX(applied_prod, MATCH('食譜'!N39, ing_name, 0)), "")</f>
        <v>92.67</v>
      </c>
      <c r="N39" s="73">
        <f>IFERROR('食譜'!O39*3, "")</f>
        <v>12</v>
      </c>
      <c r="O39" s="74">
        <f t="shared" si="7"/>
        <v>7.7225</v>
      </c>
      <c r="P39" s="75">
        <f t="shared" si="8"/>
        <v>0.1294917449</v>
      </c>
      <c r="Q39" s="73" t="str">
        <f t="shared" si="9"/>
        <v>3h 6m</v>
      </c>
      <c r="R39" s="73" t="str">
        <f t="array" ref="R39">IFERROR(INDEX(applied_prod, MATCH('食譜'!P39, ing_name, 0)), "")</f>
        <v/>
      </c>
      <c r="S39" s="73">
        <f>IFERROR('食譜'!Q39*3, "")</f>
        <v>0</v>
      </c>
      <c r="T39" s="74" t="str">
        <f t="shared" si="10"/>
        <v/>
      </c>
      <c r="U39" s="75" t="str">
        <f t="shared" si="11"/>
        <v/>
      </c>
      <c r="V39" s="73" t="str">
        <f t="shared" si="12"/>
        <v>0h 0m</v>
      </c>
      <c r="W39" s="73" t="str">
        <f t="shared" si="13"/>
        <v>12h 20m</v>
      </c>
      <c r="X39" s="75">
        <f t="shared" si="14"/>
        <v>0.5140784568</v>
      </c>
      <c r="Y39" s="73">
        <f>IFERROR('食譜'!H39, "")*3</f>
        <v>9543</v>
      </c>
      <c r="Z39" s="73">
        <f t="shared" si="15"/>
        <v>18563.31436</v>
      </c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</row>
    <row r="40" ht="47.25" customHeight="1">
      <c r="A40" s="73" t="str">
        <f>IFERROR(__xludf.DUMMYFUNCTION("""COMPUTED_VALUE"""),"")</f>
        <v/>
      </c>
      <c r="B40" s="73" t="str">
        <f>IFERROR(__xludf.DUMMYFUNCTION("""COMPUTED_VALUE"""),"健美豆子咖哩")</f>
        <v>健美豆子咖哩</v>
      </c>
      <c r="C40" s="73">
        <f t="array" ref="C40">IFERROR(INDEX(applied_prod, MATCH('食譜'!J40, ing_name, 0)), "")</f>
        <v>148.65</v>
      </c>
      <c r="D40" s="73">
        <f>IFERROR('食譜'!K40*3, "")</f>
        <v>36</v>
      </c>
      <c r="E40" s="74">
        <f t="shared" si="1"/>
        <v>4.129166667</v>
      </c>
      <c r="F40" s="75">
        <f t="shared" si="2"/>
        <v>0.2421796165</v>
      </c>
      <c r="G40" s="73" t="str">
        <f t="shared" si="3"/>
        <v>5h 48m</v>
      </c>
      <c r="H40" s="73">
        <f t="array" ref="H40">IFERROR(INDEX(applied_prod, MATCH('食譜'!L40, ing_name, 0)), "")</f>
        <v>157.5</v>
      </c>
      <c r="I40" s="73">
        <f>IFERROR('食譜'!M40*3, "")</f>
        <v>18</v>
      </c>
      <c r="J40" s="74">
        <f t="shared" si="4"/>
        <v>8.75</v>
      </c>
      <c r="K40" s="75">
        <f t="shared" si="5"/>
        <v>0.1142857143</v>
      </c>
      <c r="L40" s="73" t="str">
        <f t="shared" si="6"/>
        <v>2h 44m</v>
      </c>
      <c r="M40" s="73">
        <f t="array" ref="M40">IFERROR(INDEX(applied_prod, MATCH('食譜'!N40, ing_name, 0)), "")</f>
        <v>127.29</v>
      </c>
      <c r="N40" s="73">
        <f>IFERROR('食譜'!O40*3, "")</f>
        <v>12</v>
      </c>
      <c r="O40" s="74">
        <f t="shared" si="7"/>
        <v>10.6075</v>
      </c>
      <c r="P40" s="75">
        <f t="shared" si="8"/>
        <v>0.0942729201</v>
      </c>
      <c r="Q40" s="73" t="str">
        <f t="shared" si="9"/>
        <v>2h 15m</v>
      </c>
      <c r="R40" s="73">
        <f t="array" ref="R40">IFERROR(INDEX(applied_prod, MATCH('食譜'!P40, ing_name, 0)), "")</f>
        <v>168.36</v>
      </c>
      <c r="S40" s="73">
        <f>IFERROR('食譜'!Q40*3, "")</f>
        <v>12</v>
      </c>
      <c r="T40" s="74">
        <f t="shared" si="10"/>
        <v>14.03</v>
      </c>
      <c r="U40" s="75">
        <f t="shared" si="11"/>
        <v>0.07127583749</v>
      </c>
      <c r="V40" s="73" t="str">
        <f t="shared" si="12"/>
        <v>1h 42m</v>
      </c>
      <c r="W40" s="73" t="str">
        <f t="shared" si="13"/>
        <v>12h 31m</v>
      </c>
      <c r="X40" s="75">
        <f t="shared" si="14"/>
        <v>0.5220140884</v>
      </c>
      <c r="Y40" s="73">
        <f>IFERROR('食譜'!H40, "")*3</f>
        <v>10116</v>
      </c>
      <c r="Z40" s="73">
        <f t="shared" si="15"/>
        <v>19378.78732</v>
      </c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</row>
    <row r="41" ht="47.25" customHeight="1">
      <c r="A41" s="73" t="str">
        <f>IFERROR(__xludf.DUMMYFUNCTION("""COMPUTED_VALUE"""),"")</f>
        <v/>
      </c>
      <c r="B41" s="73" t="str">
        <f>IFERROR(__xludf.DUMMYFUNCTION("""COMPUTED_VALUE"""),"蘑菇孢子咖哩")</f>
        <v>蘑菇孢子咖哩</v>
      </c>
      <c r="C41" s="73">
        <f t="array" ref="C41">IFERROR(INDEX(applied_prod, MATCH('食譜'!J41, ing_name, 0)), "")</f>
        <v>92.67</v>
      </c>
      <c r="D41" s="73">
        <f>IFERROR('食譜'!K41*3, "")</f>
        <v>42</v>
      </c>
      <c r="E41" s="74">
        <f t="shared" si="1"/>
        <v>2.206428571</v>
      </c>
      <c r="F41" s="75">
        <f t="shared" si="2"/>
        <v>0.4532211072</v>
      </c>
      <c r="G41" s="73" t="str">
        <f t="shared" si="3"/>
        <v>10h 52m</v>
      </c>
      <c r="H41" s="73">
        <f t="array" ref="H41">IFERROR(INDEX(applied_prod, MATCH('食譜'!L41, ing_name, 0)), "")</f>
        <v>120.45</v>
      </c>
      <c r="I41" s="73">
        <f>IFERROR('食譜'!M41*3, "")</f>
        <v>27</v>
      </c>
      <c r="J41" s="74">
        <f t="shared" si="4"/>
        <v>4.461111111</v>
      </c>
      <c r="K41" s="75">
        <f t="shared" si="5"/>
        <v>0.2241594022</v>
      </c>
      <c r="L41" s="73" t="str">
        <f t="shared" si="6"/>
        <v>5h 22m</v>
      </c>
      <c r="M41" s="73" t="str">
        <f t="array" ref="M41">IFERROR(INDEX(applied_prod, MATCH('食譜'!N41, ing_name, 0)), "")</f>
        <v/>
      </c>
      <c r="N41" s="73">
        <f>IFERROR('食譜'!O41*3, "")</f>
        <v>0</v>
      </c>
      <c r="O41" s="74" t="str">
        <f t="shared" si="7"/>
        <v/>
      </c>
      <c r="P41" s="75" t="str">
        <f t="shared" si="8"/>
        <v/>
      </c>
      <c r="Q41" s="73" t="str">
        <f t="shared" si="9"/>
        <v>0h 0m</v>
      </c>
      <c r="R41" s="73" t="str">
        <f t="array" ref="R41">IFERROR(INDEX(applied_prod, MATCH('食譜'!P41, ing_name, 0)), "")</f>
        <v/>
      </c>
      <c r="S41" s="73">
        <f>IFERROR('食譜'!Q41*3, "")</f>
        <v>0</v>
      </c>
      <c r="T41" s="74" t="str">
        <f t="shared" si="10"/>
        <v/>
      </c>
      <c r="U41" s="75" t="str">
        <f t="shared" si="11"/>
        <v/>
      </c>
      <c r="V41" s="73" t="str">
        <f t="shared" si="12"/>
        <v>0h 0m</v>
      </c>
      <c r="W41" s="73" t="str">
        <f t="shared" si="13"/>
        <v>16h 15m</v>
      </c>
      <c r="X41" s="75">
        <f t="shared" si="14"/>
        <v>0.6773805094</v>
      </c>
      <c r="Y41" s="73">
        <f>IFERROR('食譜'!H41, "")*3</f>
        <v>12486</v>
      </c>
      <c r="Z41" s="73">
        <f t="shared" si="15"/>
        <v>18432.77128</v>
      </c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</row>
    <row r="42" ht="47.25" customHeight="1">
      <c r="A42" s="73" t="str">
        <f>IFERROR(__xludf.DUMMYFUNCTION("""COMPUTED_VALUE"""),"")</f>
        <v/>
      </c>
      <c r="B42" s="73" t="str">
        <f>IFERROR(__xludf.DUMMYFUNCTION("""COMPUTED_VALUE"""),"親子愛咖哩")</f>
        <v>親子愛咖哩</v>
      </c>
      <c r="C42" s="73">
        <f t="array" ref="C42">IFERROR(INDEX(applied_prod, MATCH('食譜'!J42, ing_name, 0)), "")</f>
        <v>156.57</v>
      </c>
      <c r="D42" s="73">
        <f>IFERROR('食譜'!K42*3, "")</f>
        <v>36</v>
      </c>
      <c r="E42" s="74">
        <f t="shared" si="1"/>
        <v>4.349166667</v>
      </c>
      <c r="F42" s="75">
        <f t="shared" si="2"/>
        <v>0.2299291052</v>
      </c>
      <c r="G42" s="73" t="str">
        <f t="shared" si="3"/>
        <v>5h 31m</v>
      </c>
      <c r="H42" s="73">
        <f t="array" ref="H42">IFERROR(INDEX(applied_prod, MATCH('食譜'!L42, ing_name, 0)), "")</f>
        <v>163.61</v>
      </c>
      <c r="I42" s="73">
        <f>IFERROR('食譜'!M42*3, "")</f>
        <v>33</v>
      </c>
      <c r="J42" s="74">
        <f t="shared" si="4"/>
        <v>4.957878788</v>
      </c>
      <c r="K42" s="75">
        <f t="shared" si="5"/>
        <v>0.2016991626</v>
      </c>
      <c r="L42" s="73" t="str">
        <f t="shared" si="6"/>
        <v>4h 50m</v>
      </c>
      <c r="M42" s="73">
        <f t="array" ref="M42">IFERROR(INDEX(applied_prod, MATCH('食譜'!N42, ing_name, 0)), "")</f>
        <v>127.29</v>
      </c>
      <c r="N42" s="73">
        <f>IFERROR('食譜'!O42*3, "")</f>
        <v>24</v>
      </c>
      <c r="O42" s="74">
        <f t="shared" si="7"/>
        <v>5.30375</v>
      </c>
      <c r="P42" s="75">
        <f t="shared" si="8"/>
        <v>0.1885458402</v>
      </c>
      <c r="Q42" s="73" t="str">
        <f t="shared" si="9"/>
        <v>4h 31m</v>
      </c>
      <c r="R42" s="73">
        <f t="array" ref="R42">IFERROR(INDEX(applied_prod, MATCH('食譜'!P42, ing_name, 0)), "")</f>
        <v>120.45</v>
      </c>
      <c r="S42" s="73">
        <f>IFERROR('食譜'!Q42*3, "")</f>
        <v>12</v>
      </c>
      <c r="T42" s="74">
        <f t="shared" si="10"/>
        <v>10.0375</v>
      </c>
      <c r="U42" s="75">
        <f t="shared" si="11"/>
        <v>0.099626401</v>
      </c>
      <c r="V42" s="73" t="str">
        <f t="shared" si="12"/>
        <v>2h 23m</v>
      </c>
      <c r="W42" s="73" t="str">
        <f t="shared" si="13"/>
        <v>17h 16m</v>
      </c>
      <c r="X42" s="75">
        <f t="shared" si="14"/>
        <v>0.719800509</v>
      </c>
      <c r="Y42" s="73">
        <f>IFERROR('食譜'!H42, "")*3</f>
        <v>13569</v>
      </c>
      <c r="Z42" s="73">
        <f t="shared" si="15"/>
        <v>18851.05641</v>
      </c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</row>
    <row r="43" ht="47.25" customHeight="1">
      <c r="A43" s="73" t="str">
        <f>IFERROR(__xludf.DUMMYFUNCTION("""COMPUTED_VALUE"""),"")</f>
        <v/>
      </c>
      <c r="B43" s="73" t="str">
        <f>IFERROR(__xludf.DUMMYFUNCTION("""COMPUTED_VALUE"""),"柔軟玉米濃湯")</f>
        <v>柔軟玉米濃湯</v>
      </c>
      <c r="C43" s="73">
        <f t="array" ref="C43">IFERROR(INDEX(applied_prod, MATCH('食譜'!J43, ing_name, 0)), "")</f>
        <v>134.79</v>
      </c>
      <c r="D43" s="73">
        <f>IFERROR('食譜'!K43*3, "")</f>
        <v>42</v>
      </c>
      <c r="E43" s="74">
        <f t="shared" si="1"/>
        <v>3.209285714</v>
      </c>
      <c r="F43" s="75">
        <f t="shared" si="2"/>
        <v>0.3115958157</v>
      </c>
      <c r="G43" s="73" t="str">
        <f t="shared" si="3"/>
        <v>7h 28m</v>
      </c>
      <c r="H43" s="73">
        <f t="array" ref="H43">IFERROR(INDEX(applied_prod, MATCH('食譜'!L43, ing_name, 0)), "")</f>
        <v>161.87</v>
      </c>
      <c r="I43" s="73">
        <f>IFERROR('食譜'!M43*3, "")</f>
        <v>24</v>
      </c>
      <c r="J43" s="74">
        <f t="shared" si="4"/>
        <v>6.744583333</v>
      </c>
      <c r="K43" s="75">
        <f t="shared" si="5"/>
        <v>0.1482671279</v>
      </c>
      <c r="L43" s="73" t="str">
        <f t="shared" si="6"/>
        <v>3h 33m</v>
      </c>
      <c r="M43" s="73">
        <f t="array" ref="M43">IFERROR(INDEX(applied_prod, MATCH('食譜'!N43, ing_name, 0)), "")</f>
        <v>120.45</v>
      </c>
      <c r="N43" s="73">
        <f>IFERROR('食譜'!O43*3, "")</f>
        <v>24</v>
      </c>
      <c r="O43" s="74">
        <f t="shared" si="7"/>
        <v>5.01875</v>
      </c>
      <c r="P43" s="75">
        <f t="shared" si="8"/>
        <v>0.199252802</v>
      </c>
      <c r="Q43" s="73" t="str">
        <f t="shared" si="9"/>
        <v>4h 46m</v>
      </c>
      <c r="R43" s="73" t="str">
        <f t="array" ref="R43">IFERROR(INDEX(applied_prod, MATCH('食譜'!P43, ing_name, 0)), "")</f>
        <v/>
      </c>
      <c r="S43" s="73">
        <f>IFERROR('食譜'!Q43*3, "")</f>
        <v>0</v>
      </c>
      <c r="T43" s="74" t="str">
        <f t="shared" si="10"/>
        <v/>
      </c>
      <c r="U43" s="75" t="str">
        <f t="shared" si="11"/>
        <v/>
      </c>
      <c r="V43" s="73" t="str">
        <f t="shared" si="12"/>
        <v>0h 0m</v>
      </c>
      <c r="W43" s="73" t="str">
        <f t="shared" si="13"/>
        <v>15h 49m</v>
      </c>
      <c r="X43" s="75">
        <f t="shared" si="14"/>
        <v>0.6591157456</v>
      </c>
      <c r="Y43" s="73">
        <f>IFERROR('食譜'!H43, "")*3</f>
        <v>14010</v>
      </c>
      <c r="Z43" s="73">
        <f t="shared" si="15"/>
        <v>21255.75074</v>
      </c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</row>
    <row r="44" ht="47.25" customHeight="1">
      <c r="A44" s="73" t="str">
        <f>IFERROR(__xludf.DUMMYFUNCTION("""COMPUTED_VALUE"""),"")</f>
        <v/>
      </c>
      <c r="B44" s="73" t="str">
        <f>IFERROR(__xludf.DUMMYFUNCTION("""COMPUTED_VALUE"""),"迷昏拳辣味咖哩")</f>
        <v>迷昏拳辣味咖哩</v>
      </c>
      <c r="C44" s="73">
        <f t="array" ref="C44">IFERROR(INDEX(applied_prod, MATCH('食譜'!J44, ing_name, 0)), "")</f>
        <v>114.19</v>
      </c>
      <c r="D44" s="73">
        <f>IFERROR('食譜'!K44*3, "")</f>
        <v>33</v>
      </c>
      <c r="E44" s="74">
        <f t="shared" si="1"/>
        <v>3.46030303</v>
      </c>
      <c r="F44" s="75">
        <f t="shared" si="2"/>
        <v>0.2889920308</v>
      </c>
      <c r="G44" s="73" t="str">
        <f t="shared" si="3"/>
        <v>6h 56m</v>
      </c>
      <c r="H44" s="73">
        <f t="array" ref="H44">IFERROR(INDEX(applied_prod, MATCH('食譜'!L44, ing_name, 0)), "")</f>
        <v>168.36</v>
      </c>
      <c r="I44" s="73">
        <f>IFERROR('食譜'!M44*3, "")</f>
        <v>33</v>
      </c>
      <c r="J44" s="74">
        <f t="shared" si="4"/>
        <v>5.101818182</v>
      </c>
      <c r="K44" s="75">
        <f t="shared" si="5"/>
        <v>0.1960085531</v>
      </c>
      <c r="L44" s="73" t="str">
        <f t="shared" si="6"/>
        <v>4h 42m</v>
      </c>
      <c r="M44" s="73">
        <f t="array" ref="M44">IFERROR(INDEX(applied_prod, MATCH('食譜'!N44, ing_name, 0)), "")</f>
        <v>156.57</v>
      </c>
      <c r="N44" s="73">
        <f>IFERROR('食譜'!O44*3, "")</f>
        <v>33</v>
      </c>
      <c r="O44" s="74">
        <f t="shared" si="7"/>
        <v>4.744545455</v>
      </c>
      <c r="P44" s="75">
        <f t="shared" si="8"/>
        <v>0.2107683464</v>
      </c>
      <c r="Q44" s="73" t="str">
        <f t="shared" si="9"/>
        <v>5h 3m</v>
      </c>
      <c r="R44" s="73" t="str">
        <f t="array" ref="R44">IFERROR(INDEX(applied_prod, MATCH('食譜'!P44, ing_name, 0)), "")</f>
        <v/>
      </c>
      <c r="S44" s="73">
        <f>IFERROR('食譜'!Q44*3, "")</f>
        <v>0</v>
      </c>
      <c r="T44" s="74" t="str">
        <f t="shared" si="10"/>
        <v/>
      </c>
      <c r="U44" s="75" t="str">
        <f t="shared" si="11"/>
        <v/>
      </c>
      <c r="V44" s="73" t="str">
        <f t="shared" si="12"/>
        <v>0h 0m</v>
      </c>
      <c r="W44" s="73" t="str">
        <f t="shared" si="13"/>
        <v>16h 41m</v>
      </c>
      <c r="X44" s="75">
        <f t="shared" si="14"/>
        <v>0.6957689304</v>
      </c>
      <c r="Y44" s="73">
        <f>IFERROR('食譜'!H44, "")*3</f>
        <v>17106</v>
      </c>
      <c r="Z44" s="73">
        <f t="shared" si="15"/>
        <v>24585.74859</v>
      </c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</row>
    <row r="45" ht="47.25" customHeight="1">
      <c r="A45" s="73" t="str">
        <f>IFERROR(__xludf.DUMMYFUNCTION("""COMPUTED_VALUE"""),"")</f>
        <v/>
      </c>
      <c r="B45" s="73" t="str">
        <f>IFERROR(__xludf.DUMMYFUNCTION("""COMPUTED_VALUE"""),"辣味蔥勁十足咖哩")</f>
        <v>辣味蔥勁十足咖哩</v>
      </c>
      <c r="C45" s="73">
        <f t="array" ref="C45">IFERROR(INDEX(applied_prod, MATCH('食譜'!J45, ing_name, 0)), "")</f>
        <v>87.81</v>
      </c>
      <c r="D45" s="73">
        <f>IFERROR('食譜'!K45*3, "")</f>
        <v>42</v>
      </c>
      <c r="E45" s="74">
        <f t="shared" si="1"/>
        <v>2.090714286</v>
      </c>
      <c r="F45" s="75">
        <f t="shared" si="2"/>
        <v>0.4783054322</v>
      </c>
      <c r="G45" s="73" t="str">
        <f t="shared" si="3"/>
        <v>11h 28m</v>
      </c>
      <c r="H45" s="73">
        <f t="array" ref="H45">IFERROR(INDEX(applied_prod, MATCH('食譜'!L45, ing_name, 0)), "")</f>
        <v>162.39</v>
      </c>
      <c r="I45" s="73">
        <f>IFERROR('食譜'!M45*3, "")</f>
        <v>30</v>
      </c>
      <c r="J45" s="74">
        <f t="shared" si="4"/>
        <v>5.413</v>
      </c>
      <c r="K45" s="75">
        <f t="shared" si="5"/>
        <v>0.1847404397</v>
      </c>
      <c r="L45" s="73" t="str">
        <f t="shared" si="6"/>
        <v>4h 26m</v>
      </c>
      <c r="M45" s="73">
        <f t="array" ref="M45">IFERROR(INDEX(applied_prod, MATCH('食譜'!N45, ing_name, 0)), "")</f>
        <v>168.36</v>
      </c>
      <c r="N45" s="73">
        <f>IFERROR('食譜'!O45*3, "")</f>
        <v>24</v>
      </c>
      <c r="O45" s="74">
        <f t="shared" si="7"/>
        <v>7.015</v>
      </c>
      <c r="P45" s="75">
        <f t="shared" si="8"/>
        <v>0.142551675</v>
      </c>
      <c r="Q45" s="73" t="str">
        <f t="shared" si="9"/>
        <v>3h 25m</v>
      </c>
      <c r="R45" s="73" t="str">
        <f t="array" ref="R45">IFERROR(INDEX(applied_prod, MATCH('食譜'!P45, ing_name, 0)), "")</f>
        <v/>
      </c>
      <c r="S45" s="73">
        <f>IFERROR('食譜'!Q45*3, "")</f>
        <v>0</v>
      </c>
      <c r="T45" s="74" t="str">
        <f t="shared" si="10"/>
        <v/>
      </c>
      <c r="U45" s="75" t="str">
        <f t="shared" si="11"/>
        <v/>
      </c>
      <c r="V45" s="73" t="str">
        <f t="shared" si="12"/>
        <v>0h 0m</v>
      </c>
      <c r="W45" s="73" t="str">
        <f t="shared" si="13"/>
        <v>19h 20m</v>
      </c>
      <c r="X45" s="75">
        <f t="shared" si="14"/>
        <v>0.8055975468</v>
      </c>
      <c r="Y45" s="73">
        <f>IFERROR('食譜'!H45, "")*3</f>
        <v>17700</v>
      </c>
      <c r="Z45" s="73">
        <f t="shared" si="15"/>
        <v>21971.26849</v>
      </c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</row>
    <row r="46" ht="47.25" customHeight="1">
      <c r="A46" s="73" t="str">
        <f>IFERROR(__xludf.DUMMYFUNCTION("""COMPUTED_VALUE"""),"")</f>
        <v/>
      </c>
      <c r="B46" s="73" t="str">
        <f>IFERROR(__xludf.DUMMYFUNCTION("""COMPUTED_VALUE"""),"炙燒尾肉咖哩")</f>
        <v>炙燒尾肉咖哩</v>
      </c>
      <c r="C46" s="73">
        <f t="array" ref="C46">IFERROR(INDEX(applied_prod, MATCH('食譜'!J46, ing_name, 0)), "")</f>
        <v>168.36</v>
      </c>
      <c r="D46" s="73">
        <f>IFERROR('食譜'!K46*3, "")</f>
        <v>75</v>
      </c>
      <c r="E46" s="74">
        <f t="shared" si="1"/>
        <v>2.2448</v>
      </c>
      <c r="F46" s="75">
        <f t="shared" si="2"/>
        <v>0.4454739843</v>
      </c>
      <c r="G46" s="73" t="str">
        <f t="shared" si="3"/>
        <v>10h 41m</v>
      </c>
      <c r="H46" s="73">
        <f t="array" ref="H46">IFERROR(INDEX(applied_prod, MATCH('食譜'!L46, ing_name, 0)), "")</f>
        <v>17.35</v>
      </c>
      <c r="I46" s="73">
        <f>IFERROR('食譜'!M46*3, "")</f>
        <v>24</v>
      </c>
      <c r="J46" s="74">
        <f t="shared" si="4"/>
        <v>0.7229166667</v>
      </c>
      <c r="K46" s="75">
        <f t="shared" si="5"/>
        <v>1.383285303</v>
      </c>
      <c r="L46" s="73" t="str">
        <f t="shared" si="6"/>
        <v>33h 11m</v>
      </c>
      <c r="M46" s="73" t="str">
        <f t="array" ref="M46">IFERROR(INDEX(applied_prod, MATCH('食譜'!N46, ing_name, 0)), "")</f>
        <v/>
      </c>
      <c r="N46" s="73">
        <f>IFERROR('食譜'!O46*3, "")</f>
        <v>0</v>
      </c>
      <c r="O46" s="74" t="str">
        <f t="shared" si="7"/>
        <v/>
      </c>
      <c r="P46" s="75" t="str">
        <f t="shared" si="8"/>
        <v/>
      </c>
      <c r="Q46" s="73" t="str">
        <f t="shared" si="9"/>
        <v>0h 0m</v>
      </c>
      <c r="R46" s="73" t="str">
        <f t="array" ref="R46">IFERROR(INDEX(applied_prod, MATCH('食譜'!P46, ing_name, 0)), "")</f>
        <v/>
      </c>
      <c r="S46" s="73">
        <f>IFERROR('食譜'!Q46*3, "")</f>
        <v>0</v>
      </c>
      <c r="T46" s="74" t="str">
        <f t="shared" si="10"/>
        <v/>
      </c>
      <c r="U46" s="75" t="str">
        <f t="shared" si="11"/>
        <v/>
      </c>
      <c r="V46" s="73" t="str">
        <f t="shared" si="12"/>
        <v>0h 0m</v>
      </c>
      <c r="W46" s="73" t="str">
        <f t="shared" si="13"/>
        <v>43h 53m</v>
      </c>
      <c r="X46" s="75">
        <f t="shared" si="14"/>
        <v>1.828759287</v>
      </c>
      <c r="Y46" s="73">
        <f>IFERROR('食譜'!H46, "")*3</f>
        <v>22449</v>
      </c>
      <c r="Z46" s="73">
        <f t="shared" si="15"/>
        <v>12275.53575</v>
      </c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</row>
    <row r="47" ht="47.25" customHeight="1">
      <c r="A47" s="73" t="str">
        <f>IFERROR(__xludf.DUMMYFUNCTION("""COMPUTED_VALUE"""),"")</f>
        <v/>
      </c>
      <c r="B47" s="73" t="str">
        <f>IFERROR(__xludf.DUMMYFUNCTION("""COMPUTED_VALUE"""),"絕對睡眠奶油咖哩")</f>
        <v>絕對睡眠奶油咖哩</v>
      </c>
      <c r="C47" s="73">
        <f t="array" ref="C47">IFERROR(INDEX(applied_prod, MATCH('食譜'!J47, ing_name, 0)), "")</f>
        <v>120.45</v>
      </c>
      <c r="D47" s="73">
        <f>IFERROR('食譜'!K47*3, "")</f>
        <v>54</v>
      </c>
      <c r="E47" s="74">
        <f t="shared" si="1"/>
        <v>2.230555556</v>
      </c>
      <c r="F47" s="75">
        <f t="shared" si="2"/>
        <v>0.4483188045</v>
      </c>
      <c r="G47" s="73" t="str">
        <f t="shared" si="3"/>
        <v>10h 45m</v>
      </c>
      <c r="H47" s="73">
        <f t="array" ref="H47">IFERROR(INDEX(applied_prod, MATCH('食譜'!L47, ing_name, 0)), "")</f>
        <v>137.56</v>
      </c>
      <c r="I47" s="73">
        <f>IFERROR('食譜'!M47*3, "")</f>
        <v>45</v>
      </c>
      <c r="J47" s="74">
        <f t="shared" si="4"/>
        <v>3.056888889</v>
      </c>
      <c r="K47" s="75">
        <f t="shared" si="5"/>
        <v>0.3271299796</v>
      </c>
      <c r="L47" s="73" t="str">
        <f t="shared" si="6"/>
        <v>7h 51m</v>
      </c>
      <c r="M47" s="73">
        <f t="array" ref="M47">IFERROR(INDEX(applied_prod, MATCH('食譜'!N47, ing_name, 0)), "")</f>
        <v>98.53</v>
      </c>
      <c r="N47" s="73">
        <f>IFERROR('食譜'!O47*3, "")</f>
        <v>36</v>
      </c>
      <c r="O47" s="74">
        <f t="shared" si="7"/>
        <v>2.736944444</v>
      </c>
      <c r="P47" s="75">
        <f t="shared" si="8"/>
        <v>0.365370953</v>
      </c>
      <c r="Q47" s="73" t="str">
        <f t="shared" si="9"/>
        <v>8h 46m</v>
      </c>
      <c r="R47" s="73">
        <f t="array" ref="R47">IFERROR(INDEX(applied_prod, MATCH('食譜'!P47, ing_name, 0)), "")</f>
        <v>161.87</v>
      </c>
      <c r="S47" s="73">
        <f>IFERROR('食譜'!Q47*3, "")</f>
        <v>30</v>
      </c>
      <c r="T47" s="74">
        <f t="shared" si="10"/>
        <v>5.395666667</v>
      </c>
      <c r="U47" s="75">
        <f t="shared" si="11"/>
        <v>0.1853339099</v>
      </c>
      <c r="V47" s="73" t="str">
        <f t="shared" si="12"/>
        <v>4h 26m</v>
      </c>
      <c r="W47" s="73" t="str">
        <f t="shared" si="13"/>
        <v>31h 49m</v>
      </c>
      <c r="X47" s="75">
        <f t="shared" si="14"/>
        <v>1.326153647</v>
      </c>
      <c r="Y47" s="73">
        <f>IFERROR('食譜'!H47, "")*3</f>
        <v>27030</v>
      </c>
      <c r="Z47" s="73">
        <f t="shared" si="15"/>
        <v>20382.25364</v>
      </c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</row>
    <row r="48" ht="47.25" customHeight="1">
      <c r="A48" s="73" t="str">
        <f>IFERROR(__xludf.DUMMYFUNCTION("""COMPUTED_VALUE"""),"")</f>
        <v/>
      </c>
      <c r="B48" s="73" t="str">
        <f>IFERROR(__xludf.DUMMYFUNCTION("""COMPUTED_VALUE"""),"忍者咖哩")</f>
        <v>忍者咖哩</v>
      </c>
      <c r="C48" s="73">
        <f t="array" ref="C48">IFERROR(INDEX(applied_prod, MATCH('食譜'!J48, ing_name, 0)), "")</f>
        <v>148.65</v>
      </c>
      <c r="D48" s="73">
        <f>IFERROR('食譜'!K48*3, "")</f>
        <v>72</v>
      </c>
      <c r="E48" s="74">
        <f t="shared" si="1"/>
        <v>2.064583333</v>
      </c>
      <c r="F48" s="75">
        <f t="shared" si="2"/>
        <v>0.4843592331</v>
      </c>
      <c r="G48" s="73" t="str">
        <f t="shared" si="3"/>
        <v>11h 37m</v>
      </c>
      <c r="H48" s="73">
        <f t="array" ref="H48">IFERROR(INDEX(applied_prod, MATCH('食譜'!L48, ing_name, 0)), "")</f>
        <v>87.81</v>
      </c>
      <c r="I48" s="73">
        <f>IFERROR('食譜'!M48*3, "")</f>
        <v>36</v>
      </c>
      <c r="J48" s="74">
        <f t="shared" si="4"/>
        <v>2.439166667</v>
      </c>
      <c r="K48" s="75">
        <f t="shared" si="5"/>
        <v>0.4099760847</v>
      </c>
      <c r="L48" s="73" t="str">
        <f t="shared" si="6"/>
        <v>9h 50m</v>
      </c>
      <c r="M48" s="73">
        <f t="array" ref="M48">IFERROR(INDEX(applied_prod, MATCH('食譜'!N48, ing_name, 0)), "")</f>
        <v>157.5</v>
      </c>
      <c r="N48" s="73">
        <f>IFERROR('食譜'!O48*3, "")</f>
        <v>27</v>
      </c>
      <c r="O48" s="74">
        <f t="shared" si="7"/>
        <v>5.833333333</v>
      </c>
      <c r="P48" s="75">
        <f t="shared" si="8"/>
        <v>0.1714285714</v>
      </c>
      <c r="Q48" s="73" t="str">
        <f t="shared" si="9"/>
        <v>4h 6m</v>
      </c>
      <c r="R48" s="73">
        <f t="array" ref="R48">IFERROR(INDEX(applied_prod, MATCH('食譜'!P48, ing_name, 0)), "")</f>
        <v>92.67</v>
      </c>
      <c r="S48" s="73">
        <f>IFERROR('食譜'!Q48*3, "")</f>
        <v>15</v>
      </c>
      <c r="T48" s="74">
        <f t="shared" si="10"/>
        <v>6.178</v>
      </c>
      <c r="U48" s="75">
        <f t="shared" si="11"/>
        <v>0.1618646811</v>
      </c>
      <c r="V48" s="73" t="str">
        <f t="shared" si="12"/>
        <v>3h 53m</v>
      </c>
      <c r="W48" s="73" t="str">
        <f t="shared" si="13"/>
        <v>29h 27m</v>
      </c>
      <c r="X48" s="75">
        <f t="shared" si="14"/>
        <v>1.22762857</v>
      </c>
      <c r="Y48" s="73">
        <f>IFERROR('食譜'!H48, "")*3</f>
        <v>28335</v>
      </c>
      <c r="Z48" s="73">
        <f t="shared" si="15"/>
        <v>23081.0855</v>
      </c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</row>
    <row r="49" ht="47.25" customHeight="1">
      <c r="A49" s="73" t="str">
        <f>IFERROR(__xludf.DUMMYFUNCTION("""COMPUTED_VALUE"""),"")</f>
        <v/>
      </c>
      <c r="B49" s="73" t="str">
        <f>IFERROR(__xludf.DUMMYFUNCTION("""COMPUTED_VALUE"""),"煉獄玉米乾咖哩")</f>
        <v>煉獄玉米乾咖哩</v>
      </c>
      <c r="C49" s="73">
        <f t="array" ref="C49">IFERROR(INDEX(applied_prod, MATCH('食譜'!J49, ing_name, 0)), "")</f>
        <v>168.36</v>
      </c>
      <c r="D49" s="73">
        <f>IFERROR('食譜'!K49*3, "")</f>
        <v>81</v>
      </c>
      <c r="E49" s="74">
        <f t="shared" si="1"/>
        <v>2.078518519</v>
      </c>
      <c r="F49" s="75">
        <f t="shared" si="2"/>
        <v>0.4811119031</v>
      </c>
      <c r="G49" s="73" t="str">
        <f t="shared" si="3"/>
        <v>11h 32m</v>
      </c>
      <c r="H49" s="73">
        <f t="array" ref="H49">IFERROR(INDEX(applied_prod, MATCH('食譜'!L49, ing_name, 0)), "")</f>
        <v>157.5</v>
      </c>
      <c r="I49" s="73">
        <f>IFERROR('食譜'!M49*3, "")</f>
        <v>72</v>
      </c>
      <c r="J49" s="74">
        <f t="shared" si="4"/>
        <v>2.1875</v>
      </c>
      <c r="K49" s="75">
        <f t="shared" si="5"/>
        <v>0.4571428571</v>
      </c>
      <c r="L49" s="73" t="str">
        <f t="shared" si="6"/>
        <v>10h 58m</v>
      </c>
      <c r="M49" s="73">
        <f t="array" ref="M49">IFERROR(INDEX(applied_prod, MATCH('食譜'!N49, ing_name, 0)), "")</f>
        <v>134.79</v>
      </c>
      <c r="N49" s="73">
        <f>IFERROR('食譜'!O49*3, "")</f>
        <v>42</v>
      </c>
      <c r="O49" s="74">
        <f t="shared" si="7"/>
        <v>3.209285714</v>
      </c>
      <c r="P49" s="75">
        <f t="shared" si="8"/>
        <v>0.3115958157</v>
      </c>
      <c r="Q49" s="73" t="str">
        <f t="shared" si="9"/>
        <v>7h 28m</v>
      </c>
      <c r="R49" s="73">
        <f t="array" ref="R49">IFERROR(INDEX(applied_prod, MATCH('食譜'!P49, ing_name, 0)), "")</f>
        <v>162.39</v>
      </c>
      <c r="S49" s="73">
        <f>IFERROR('食譜'!Q49*3, "")</f>
        <v>36</v>
      </c>
      <c r="T49" s="74">
        <f t="shared" si="10"/>
        <v>4.510833333</v>
      </c>
      <c r="U49" s="75">
        <f t="shared" si="11"/>
        <v>0.2216885276</v>
      </c>
      <c r="V49" s="73" t="str">
        <f t="shared" si="12"/>
        <v>5h 19m</v>
      </c>
      <c r="W49" s="73" t="str">
        <f t="shared" si="13"/>
        <v>35h 19m</v>
      </c>
      <c r="X49" s="75">
        <f t="shared" si="14"/>
        <v>1.471539104</v>
      </c>
      <c r="Y49" s="73">
        <f>IFERROR('食譜'!H49, "")*3</f>
        <v>41070</v>
      </c>
      <c r="Z49" s="73">
        <f t="shared" si="15"/>
        <v>27909.55395</v>
      </c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</row>
    <row r="50" ht="47.25" customHeight="1">
      <c r="A50" s="73" t="str">
        <f>IFERROR(__xludf.DUMMYFUNCTION("""COMPUTED_VALUE"""),"")</f>
        <v/>
      </c>
      <c r="B50" s="73" t="str">
        <f>IFERROR(__xludf.DUMMYFUNCTION("""COMPUTED_VALUE"""),"扮演南瓜精濃湯")</f>
        <v>扮演南瓜精濃湯</v>
      </c>
      <c r="C50" s="73">
        <f t="array" ref="C50">IFERROR(INDEX(applied_prod, MATCH('食譜'!J50, ing_name, 0)), "")</f>
        <v>63.05</v>
      </c>
      <c r="D50" s="73">
        <f>IFERROR('食譜'!K50*3, "")</f>
        <v>30</v>
      </c>
      <c r="E50" s="74">
        <f t="shared" si="1"/>
        <v>2.101666667</v>
      </c>
      <c r="F50" s="75">
        <f t="shared" si="2"/>
        <v>0.4758128469</v>
      </c>
      <c r="G50" s="73" t="str">
        <f t="shared" si="3"/>
        <v>11h 25m</v>
      </c>
      <c r="H50" s="73">
        <f t="array" ref="H50">IFERROR(INDEX(applied_prod, MATCH('食譜'!L50, ing_name, 0)), "")</f>
        <v>157.5</v>
      </c>
      <c r="I50" s="73">
        <f>IFERROR('食譜'!M50*3, "")</f>
        <v>48</v>
      </c>
      <c r="J50" s="74">
        <f t="shared" si="4"/>
        <v>3.28125</v>
      </c>
      <c r="K50" s="75">
        <f t="shared" si="5"/>
        <v>0.3047619048</v>
      </c>
      <c r="L50" s="73" t="str">
        <f t="shared" si="6"/>
        <v>7h 18m</v>
      </c>
      <c r="M50" s="73">
        <f t="array" ref="M50">IFERROR(INDEX(applied_prod, MATCH('食譜'!N50, ing_name, 0)), "")</f>
        <v>120.45</v>
      </c>
      <c r="N50" s="73">
        <f>IFERROR('食譜'!O50*3, "")</f>
        <v>54</v>
      </c>
      <c r="O50" s="74">
        <f t="shared" si="7"/>
        <v>2.230555556</v>
      </c>
      <c r="P50" s="75">
        <f t="shared" si="8"/>
        <v>0.4483188045</v>
      </c>
      <c r="Q50" s="73" t="str">
        <f t="shared" si="9"/>
        <v>10h 45m</v>
      </c>
      <c r="R50" s="73">
        <f t="array" ref="R50">IFERROR(INDEX(applied_prod, MATCH('食譜'!P50, ing_name, 0)), "")</f>
        <v>92.67</v>
      </c>
      <c r="S50" s="73">
        <f>IFERROR('食譜'!Q50*3, "")</f>
        <v>75</v>
      </c>
      <c r="T50" s="74">
        <f t="shared" si="10"/>
        <v>1.2356</v>
      </c>
      <c r="U50" s="75">
        <f t="shared" si="11"/>
        <v>0.8093234056</v>
      </c>
      <c r="V50" s="73" t="str">
        <f t="shared" si="12"/>
        <v>19h 25m</v>
      </c>
      <c r="W50" s="73" t="str">
        <f t="shared" si="13"/>
        <v>48h 55m</v>
      </c>
      <c r="X50" s="75">
        <f t="shared" si="14"/>
        <v>2.038216962</v>
      </c>
      <c r="Y50" s="73">
        <f>IFERROR('食譜'!H50, "")*3</f>
        <v>46863</v>
      </c>
      <c r="Z50" s="73">
        <f t="shared" si="15"/>
        <v>22992.15485</v>
      </c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</row>
    <row r="51" ht="47.25" customHeight="1">
      <c r="A51" s="73" t="str">
        <f>IFERROR(__xludf.DUMMYFUNCTION("""COMPUTED_VALUE"""),"")</f>
        <v/>
      </c>
      <c r="B51" s="73" t="str">
        <f>IFERROR(__xludf.DUMMYFUNCTION("""COMPUTED_VALUE"""),"覺醒力量濃湯")</f>
        <v>覺醒力量濃湯</v>
      </c>
      <c r="C51" s="73">
        <f t="array" ref="C51">IFERROR(INDEX(applied_prod, MATCH('食譜'!J51, ing_name, 0)), "")</f>
        <v>148.65</v>
      </c>
      <c r="D51" s="73">
        <f>IFERROR('食譜'!K51*3, "")</f>
        <v>84</v>
      </c>
      <c r="E51" s="74">
        <f t="shared" si="1"/>
        <v>1.769642857</v>
      </c>
      <c r="F51" s="75">
        <f t="shared" si="2"/>
        <v>0.5650857719</v>
      </c>
      <c r="G51" s="73" t="str">
        <f t="shared" si="3"/>
        <v>13h 33m</v>
      </c>
      <c r="H51" s="73">
        <f t="array" ref="H51">IFERROR(INDEX(applied_prod, MATCH('食譜'!L51, ing_name, 0)), "")</f>
        <v>137.56</v>
      </c>
      <c r="I51" s="73">
        <f>IFERROR('食譜'!M51*3, "")</f>
        <v>75</v>
      </c>
      <c r="J51" s="74">
        <f t="shared" si="4"/>
        <v>1.834133333</v>
      </c>
      <c r="K51" s="75">
        <f t="shared" si="5"/>
        <v>0.5452166327</v>
      </c>
      <c r="L51" s="73" t="str">
        <f t="shared" si="6"/>
        <v>13h 5m</v>
      </c>
      <c r="M51" s="73">
        <f t="array" ref="M51">IFERROR(INDEX(applied_prod, MATCH('食譜'!N51, ing_name, 0)), "")</f>
        <v>92.67</v>
      </c>
      <c r="N51" s="73">
        <f>IFERROR('食譜'!O51*3, "")</f>
        <v>69</v>
      </c>
      <c r="O51" s="74">
        <f t="shared" si="7"/>
        <v>1.343043478</v>
      </c>
      <c r="P51" s="75">
        <f t="shared" si="8"/>
        <v>0.7445775332</v>
      </c>
      <c r="Q51" s="73" t="str">
        <f t="shared" si="9"/>
        <v>17h 52m</v>
      </c>
      <c r="R51" s="73">
        <f t="array" ref="R51">IFERROR(INDEX(applied_prod, MATCH('食譜'!P51, ing_name, 0)), "")</f>
        <v>114.19</v>
      </c>
      <c r="S51" s="73">
        <f>IFERROR('食譜'!Q51*3, "")</f>
        <v>48</v>
      </c>
      <c r="T51" s="74">
        <f t="shared" si="10"/>
        <v>2.378958333</v>
      </c>
      <c r="U51" s="75">
        <f t="shared" si="11"/>
        <v>0.4203520448</v>
      </c>
      <c r="V51" s="73" t="str">
        <f t="shared" si="12"/>
        <v>10h 5m</v>
      </c>
      <c r="W51" s="73" t="str">
        <f t="shared" si="13"/>
        <v>54h 36m</v>
      </c>
      <c r="X51" s="75">
        <f t="shared" si="14"/>
        <v>2.275231983</v>
      </c>
      <c r="Y51" s="73">
        <f>IFERROR('食譜'!H51, "")*3</f>
        <v>57183</v>
      </c>
      <c r="Z51" s="73">
        <f t="shared" si="15"/>
        <v>25132.82181</v>
      </c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</row>
    <row r="52" ht="47.25" customHeight="1">
      <c r="A52" s="73" t="str">
        <f>IFERROR(__xludf.DUMMYFUNCTION("""COMPUTED_VALUE"""),"")</f>
        <v/>
      </c>
      <c r="B52" s="73" t="str">
        <f>IFERROR(__xludf.DUMMYFUNCTION("""COMPUTED_VALUE"""),"居合斬壽喜燒咖哩")</f>
        <v>居合斬壽喜燒咖哩</v>
      </c>
      <c r="C52" s="73">
        <f t="array" ref="C52">IFERROR(INDEX(applied_prod, MATCH('食譜'!J52, ing_name, 0)), "")</f>
        <v>87.81</v>
      </c>
      <c r="D52" s="73">
        <f>IFERROR('食譜'!K52*3, "")</f>
        <v>81</v>
      </c>
      <c r="E52" s="74">
        <f t="shared" si="1"/>
        <v>1.084074074</v>
      </c>
      <c r="F52" s="75">
        <f t="shared" si="2"/>
        <v>0.9224461906</v>
      </c>
      <c r="G52" s="73" t="str">
        <f t="shared" si="3"/>
        <v>22h 8m</v>
      </c>
      <c r="H52" s="73">
        <f t="array" ref="H52">IFERROR(INDEX(applied_prod, MATCH('食譜'!L52, ing_name, 0)), "")</f>
        <v>157.5</v>
      </c>
      <c r="I52" s="73">
        <f>IFERROR('食譜'!M52*3, "")</f>
        <v>78</v>
      </c>
      <c r="J52" s="74">
        <f t="shared" si="4"/>
        <v>2.019230769</v>
      </c>
      <c r="K52" s="75">
        <f t="shared" si="5"/>
        <v>0.4952380952</v>
      </c>
      <c r="L52" s="73" t="str">
        <f t="shared" si="6"/>
        <v>11h 53m</v>
      </c>
      <c r="M52" s="73">
        <f t="array" ref="M52">IFERROR(INDEX(applied_prod, MATCH('食譜'!N52, ing_name, 0)), "")</f>
        <v>156.57</v>
      </c>
      <c r="N52" s="73">
        <f>IFERROR('食譜'!O52*3, "")</f>
        <v>78</v>
      </c>
      <c r="O52" s="74">
        <f t="shared" si="7"/>
        <v>2.007307692</v>
      </c>
      <c r="P52" s="75">
        <f t="shared" si="8"/>
        <v>0.4981797279</v>
      </c>
      <c r="Q52" s="73" t="str">
        <f t="shared" si="9"/>
        <v>11h 57m</v>
      </c>
      <c r="R52" s="73">
        <f t="array" ref="R52">IFERROR(INDEX(applied_prod, MATCH('食譜'!P52, ing_name, 0)), "")</f>
        <v>127.29</v>
      </c>
      <c r="S52" s="73">
        <f>IFERROR('食譜'!Q52*3, "")</f>
        <v>66</v>
      </c>
      <c r="T52" s="74">
        <f t="shared" si="10"/>
        <v>1.928636364</v>
      </c>
      <c r="U52" s="75">
        <f t="shared" si="11"/>
        <v>0.5185010606</v>
      </c>
      <c r="V52" s="73" t="str">
        <f t="shared" si="12"/>
        <v>12h 26m</v>
      </c>
      <c r="W52" s="73" t="str">
        <f t="shared" si="13"/>
        <v>58h 25m</v>
      </c>
      <c r="X52" s="75">
        <f t="shared" si="14"/>
        <v>2.434365074</v>
      </c>
      <c r="Y52" s="73">
        <f>IFERROR('食譜'!H52, "")*3</f>
        <v>61965</v>
      </c>
      <c r="Z52" s="73">
        <f t="shared" si="15"/>
        <v>25454.2758</v>
      </c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</row>
    <row r="53" ht="47.25" customHeight="1">
      <c r="A53" s="73" t="str">
        <f>IFERROR(__xludf.DUMMYFUNCTION("""COMPUTED_VALUE"""),"")</f>
        <v/>
      </c>
      <c r="B53" s="73" t="str">
        <f>IFERROR(__xludf.DUMMYFUNCTION("""COMPUTED_VALUE"""),"茂盛焗烤酪梨")</f>
        <v>茂盛焗烤酪梨</v>
      </c>
      <c r="C53" s="73">
        <f t="array" ref="C53">IFERROR(INDEX(applied_prod, MATCH('食譜'!J53, ing_name, 0)), "")</f>
        <v>105.63</v>
      </c>
      <c r="D53" s="73">
        <f>IFERROR('食譜'!K53*3, "")</f>
        <v>66</v>
      </c>
      <c r="E53" s="74">
        <f t="shared" si="1"/>
        <v>1.600454545</v>
      </c>
      <c r="F53" s="75">
        <f t="shared" si="2"/>
        <v>0.6248224936</v>
      </c>
      <c r="G53" s="73" t="str">
        <f t="shared" si="3"/>
        <v>14h 59m</v>
      </c>
      <c r="H53" s="73">
        <f t="array" ref="H53">IFERROR(INDEX(applied_prod, MATCH('食譜'!L53, ing_name, 0)), "")</f>
        <v>120.45</v>
      </c>
      <c r="I53" s="73">
        <f>IFERROR('食譜'!M53*3, "")</f>
        <v>60</v>
      </c>
      <c r="J53" s="74">
        <f t="shared" si="4"/>
        <v>2.0075</v>
      </c>
      <c r="K53" s="75">
        <f t="shared" si="5"/>
        <v>0.498132005</v>
      </c>
      <c r="L53" s="73" t="str">
        <f t="shared" si="6"/>
        <v>11h 57m</v>
      </c>
      <c r="M53" s="73">
        <f t="array" ref="M53">IFERROR(INDEX(applied_prod, MATCH('食譜'!N53, ing_name, 0)), "")</f>
        <v>161.87</v>
      </c>
      <c r="N53" s="73">
        <f>IFERROR('食譜'!O53*3, "")</f>
        <v>123</v>
      </c>
      <c r="O53" s="74">
        <f t="shared" si="7"/>
        <v>1.31601626</v>
      </c>
      <c r="P53" s="75">
        <f t="shared" si="8"/>
        <v>0.7598690307</v>
      </c>
      <c r="Q53" s="73" t="str">
        <f t="shared" si="9"/>
        <v>18h 14m</v>
      </c>
      <c r="R53" s="73">
        <f t="array" ref="R53">IFERROR(INDEX(applied_prod, MATCH('食譜'!P53, ing_name, 0)), "")</f>
        <v>111.06</v>
      </c>
      <c r="S53" s="73">
        <f>IFERROR('食譜'!Q53*3, "")</f>
        <v>96</v>
      </c>
      <c r="T53" s="74">
        <f t="shared" si="10"/>
        <v>1.156875</v>
      </c>
      <c r="U53" s="75">
        <f t="shared" si="11"/>
        <v>0.8643976229</v>
      </c>
      <c r="V53" s="73" t="str">
        <f t="shared" si="12"/>
        <v>20h 44m</v>
      </c>
      <c r="W53" s="73" t="str">
        <f t="shared" si="13"/>
        <v>65h 55m</v>
      </c>
      <c r="X53" s="75">
        <f t="shared" si="14"/>
        <v>2.747221152</v>
      </c>
      <c r="Y53" s="73">
        <f>IFERROR('食譜'!H53, "")*3</f>
        <v>74406</v>
      </c>
      <c r="Z53" s="73">
        <f t="shared" si="15"/>
        <v>27084.09548</v>
      </c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</row>
    <row r="54" ht="47.25" customHeight="1">
      <c r="A54" s="73" t="str">
        <f>IFERROR(__xludf.DUMMYFUNCTION("""COMPUTED_VALUE"""),"")</f>
        <v/>
      </c>
      <c r="B54" s="73" t="str">
        <f>IFERROR(__xludf.DUMMYFUNCTION("""COMPUTED_VALUE"""),"拌拌果汁")</f>
        <v>拌拌果汁</v>
      </c>
      <c r="C54" s="73" t="str">
        <f t="array" ref="C54">IFERROR(INDEX(applied_prod, MATCH('食譜'!J54, ing_name, 0)), "")</f>
        <v/>
      </c>
      <c r="D54" s="73">
        <f>IFERROR('食譜'!K54*3, "")</f>
        <v>0</v>
      </c>
      <c r="E54" s="74" t="str">
        <f t="shared" si="1"/>
        <v/>
      </c>
      <c r="F54" s="75" t="str">
        <f t="shared" si="2"/>
        <v/>
      </c>
      <c r="G54" s="73" t="str">
        <f t="shared" si="3"/>
        <v>0h 0m</v>
      </c>
      <c r="H54" s="73" t="str">
        <f t="array" ref="H54">IFERROR(INDEX(applied_prod, MATCH('食譜'!L54, ing_name, 0)), "")</f>
        <v/>
      </c>
      <c r="I54" s="73">
        <f>IFERROR('食譜'!M54*3, "")</f>
        <v>0</v>
      </c>
      <c r="J54" s="74" t="str">
        <f t="shared" si="4"/>
        <v/>
      </c>
      <c r="K54" s="75" t="str">
        <f t="shared" si="5"/>
        <v/>
      </c>
      <c r="L54" s="73" t="str">
        <f t="shared" si="6"/>
        <v>0h 0m</v>
      </c>
      <c r="M54" s="73" t="str">
        <f t="array" ref="M54">IFERROR(INDEX(applied_prod, MATCH('食譜'!N54, ing_name, 0)), "")</f>
        <v/>
      </c>
      <c r="N54" s="73">
        <f>IFERROR('食譜'!O54*3, "")</f>
        <v>0</v>
      </c>
      <c r="O54" s="74" t="str">
        <f t="shared" si="7"/>
        <v/>
      </c>
      <c r="P54" s="75" t="str">
        <f t="shared" si="8"/>
        <v/>
      </c>
      <c r="Q54" s="73" t="str">
        <f t="shared" si="9"/>
        <v>0h 0m</v>
      </c>
      <c r="R54" s="73" t="str">
        <f t="array" ref="R54">IFERROR(INDEX(applied_prod, MATCH('食譜'!P54, ing_name, 0)), "")</f>
        <v/>
      </c>
      <c r="S54" s="73">
        <f>IFERROR('食譜'!Q54*3, "")</f>
        <v>0</v>
      </c>
      <c r="T54" s="74" t="str">
        <f t="shared" si="10"/>
        <v/>
      </c>
      <c r="U54" s="75" t="str">
        <f t="shared" si="11"/>
        <v/>
      </c>
      <c r="V54" s="73" t="str">
        <f t="shared" si="12"/>
        <v>0h 0m</v>
      </c>
      <c r="W54" s="73" t="str">
        <f t="shared" si="13"/>
        <v>0h 0m</v>
      </c>
      <c r="X54" s="75">
        <f t="shared" si="14"/>
        <v>0</v>
      </c>
      <c r="Y54" s="73">
        <f>IFERROR('食譜'!H54, "")*3</f>
        <v>0</v>
      </c>
      <c r="Z54" s="73" t="str">
        <f t="shared" si="15"/>
        <v/>
      </c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</row>
    <row r="55" ht="47.25" customHeight="1">
      <c r="A55" s="73" t="str">
        <f>IFERROR(__xludf.DUMMYFUNCTION("""COMPUTED_VALUE"""),"")</f>
        <v/>
      </c>
      <c r="B55" s="73" t="str">
        <f>IFERROR(__xludf.DUMMYFUNCTION("""COMPUTED_VALUE"""),"哞哞熱鮮奶")</f>
        <v>哞哞熱鮮奶</v>
      </c>
      <c r="C55" s="73">
        <f t="array" ref="C55">IFERROR(INDEX(applied_prod, MATCH('食譜'!J55, ing_name, 0)), "")</f>
        <v>161.87</v>
      </c>
      <c r="D55" s="73">
        <f>IFERROR('食譜'!K55*3, "")</f>
        <v>21</v>
      </c>
      <c r="E55" s="74">
        <f t="shared" si="1"/>
        <v>7.708095238</v>
      </c>
      <c r="F55" s="75">
        <f t="shared" si="2"/>
        <v>0.1297337369</v>
      </c>
      <c r="G55" s="73" t="str">
        <f t="shared" si="3"/>
        <v>3h 6m</v>
      </c>
      <c r="H55" s="73" t="str">
        <f t="array" ref="H55">IFERROR(INDEX(applied_prod, MATCH('食譜'!L55, ing_name, 0)), "")</f>
        <v/>
      </c>
      <c r="I55" s="73">
        <f>IFERROR('食譜'!M55*3, "")</f>
        <v>0</v>
      </c>
      <c r="J55" s="74" t="str">
        <f t="shared" si="4"/>
        <v/>
      </c>
      <c r="K55" s="75" t="str">
        <f t="shared" si="5"/>
        <v/>
      </c>
      <c r="L55" s="73" t="str">
        <f t="shared" si="6"/>
        <v>0h 0m</v>
      </c>
      <c r="M55" s="73" t="str">
        <f t="array" ref="M55">IFERROR(INDEX(applied_prod, MATCH('食譜'!N55, ing_name, 0)), "")</f>
        <v/>
      </c>
      <c r="N55" s="73">
        <f>IFERROR('食譜'!O55*3, "")</f>
        <v>0</v>
      </c>
      <c r="O55" s="74" t="str">
        <f t="shared" si="7"/>
        <v/>
      </c>
      <c r="P55" s="75" t="str">
        <f t="shared" si="8"/>
        <v/>
      </c>
      <c r="Q55" s="73" t="str">
        <f t="shared" si="9"/>
        <v>0h 0m</v>
      </c>
      <c r="R55" s="73" t="str">
        <f t="array" ref="R55">IFERROR(INDEX(applied_prod, MATCH('食譜'!P55, ing_name, 0)), "")</f>
        <v/>
      </c>
      <c r="S55" s="73">
        <f>IFERROR('食譜'!Q55*3, "")</f>
        <v>0</v>
      </c>
      <c r="T55" s="74" t="str">
        <f t="shared" si="10"/>
        <v/>
      </c>
      <c r="U55" s="75" t="str">
        <f t="shared" si="11"/>
        <v/>
      </c>
      <c r="V55" s="73" t="str">
        <f t="shared" si="12"/>
        <v>0h 0m</v>
      </c>
      <c r="W55" s="73" t="str">
        <f t="shared" si="13"/>
        <v>3h 6m</v>
      </c>
      <c r="X55" s="75">
        <f t="shared" si="14"/>
        <v>0.1297337369</v>
      </c>
      <c r="Y55" s="73">
        <f>IFERROR('食譜'!H55, "")*3</f>
        <v>2442</v>
      </c>
      <c r="Z55" s="73">
        <f t="shared" si="15"/>
        <v>18823.16857</v>
      </c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</row>
    <row r="56" ht="47.25" customHeight="1">
      <c r="A56" s="73" t="str">
        <f>IFERROR(__xludf.DUMMYFUNCTION("""COMPUTED_VALUE"""),"")</f>
        <v/>
      </c>
      <c r="B56" s="73" t="str">
        <f>IFERROR(__xludf.DUMMYFUNCTION("""COMPUTED_VALUE"""),"特選蘋果汁")</f>
        <v>特選蘋果汁</v>
      </c>
      <c r="C56" s="73">
        <f t="array" ref="C56">IFERROR(INDEX(applied_prod, MATCH('食譜'!J56, ing_name, 0)), "")</f>
        <v>163.61</v>
      </c>
      <c r="D56" s="73">
        <f>IFERROR('食譜'!K56*3, "")</f>
        <v>24</v>
      </c>
      <c r="E56" s="74">
        <f t="shared" si="1"/>
        <v>6.817083333</v>
      </c>
      <c r="F56" s="75">
        <f t="shared" si="2"/>
        <v>0.1466903001</v>
      </c>
      <c r="G56" s="73" t="str">
        <f t="shared" si="3"/>
        <v>3h 31m</v>
      </c>
      <c r="H56" s="73" t="str">
        <f t="array" ref="H56">IFERROR(INDEX(applied_prod, MATCH('食譜'!L56, ing_name, 0)), "")</f>
        <v/>
      </c>
      <c r="I56" s="73">
        <f>IFERROR('食譜'!M56*3, "")</f>
        <v>0</v>
      </c>
      <c r="J56" s="74" t="str">
        <f t="shared" si="4"/>
        <v/>
      </c>
      <c r="K56" s="75" t="str">
        <f t="shared" si="5"/>
        <v/>
      </c>
      <c r="L56" s="73" t="str">
        <f t="shared" si="6"/>
        <v>0h 0m</v>
      </c>
      <c r="M56" s="73" t="str">
        <f t="array" ref="M56">IFERROR(INDEX(applied_prod, MATCH('食譜'!N56, ing_name, 0)), "")</f>
        <v/>
      </c>
      <c r="N56" s="73">
        <f>IFERROR('食譜'!O56*3, "")</f>
        <v>0</v>
      </c>
      <c r="O56" s="74" t="str">
        <f t="shared" si="7"/>
        <v/>
      </c>
      <c r="P56" s="75" t="str">
        <f t="shared" si="8"/>
        <v/>
      </c>
      <c r="Q56" s="73" t="str">
        <f t="shared" si="9"/>
        <v>0h 0m</v>
      </c>
      <c r="R56" s="73" t="str">
        <f t="array" ref="R56">IFERROR(INDEX(applied_prod, MATCH('食譜'!P56, ing_name, 0)), "")</f>
        <v/>
      </c>
      <c r="S56" s="73">
        <f>IFERROR('食譜'!Q56*3, "")</f>
        <v>0</v>
      </c>
      <c r="T56" s="74" t="str">
        <f t="shared" si="10"/>
        <v/>
      </c>
      <c r="U56" s="75" t="str">
        <f t="shared" si="11"/>
        <v/>
      </c>
      <c r="V56" s="73" t="str">
        <f t="shared" si="12"/>
        <v>0h 0m</v>
      </c>
      <c r="W56" s="73" t="str">
        <f t="shared" si="13"/>
        <v>3h 31m</v>
      </c>
      <c r="X56" s="75">
        <f t="shared" si="14"/>
        <v>0.1466903001</v>
      </c>
      <c r="Y56" s="73">
        <f>IFERROR('食譜'!H56, "")*3</f>
        <v>2565</v>
      </c>
      <c r="Z56" s="73">
        <f t="shared" si="15"/>
        <v>17485.81875</v>
      </c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</row>
    <row r="57" ht="47.25" customHeight="1">
      <c r="A57" s="73" t="str">
        <f>IFERROR(__xludf.DUMMYFUNCTION("""COMPUTED_VALUE"""),"")</f>
        <v/>
      </c>
      <c r="B57" s="73" t="str">
        <f>IFERROR(__xludf.DUMMYFUNCTION("""COMPUTED_VALUE"""),"手製勁爽汽水")</f>
        <v>手製勁爽汽水</v>
      </c>
      <c r="C57" s="73">
        <f t="array" ref="C57">IFERROR(INDEX(applied_prod, MATCH('食譜'!J57, ing_name, 0)), "")</f>
        <v>156.57</v>
      </c>
      <c r="D57" s="73">
        <f>IFERROR('食譜'!K57*3, "")</f>
        <v>27</v>
      </c>
      <c r="E57" s="74">
        <f t="shared" si="1"/>
        <v>5.798888889</v>
      </c>
      <c r="F57" s="75">
        <f t="shared" si="2"/>
        <v>0.1724468289</v>
      </c>
      <c r="G57" s="73" t="str">
        <f t="shared" si="3"/>
        <v>4h 8m</v>
      </c>
      <c r="H57" s="73" t="str">
        <f t="array" ref="H57">IFERROR(INDEX(applied_prod, MATCH('食譜'!L57, ing_name, 0)), "")</f>
        <v/>
      </c>
      <c r="I57" s="73">
        <f>IFERROR('食譜'!M57*3, "")</f>
        <v>0</v>
      </c>
      <c r="J57" s="74" t="str">
        <f t="shared" si="4"/>
        <v/>
      </c>
      <c r="K57" s="75" t="str">
        <f t="shared" si="5"/>
        <v/>
      </c>
      <c r="L57" s="73" t="str">
        <f t="shared" si="6"/>
        <v>0h 0m</v>
      </c>
      <c r="M57" s="73" t="str">
        <f t="array" ref="M57">IFERROR(INDEX(applied_prod, MATCH('食譜'!N57, ing_name, 0)), "")</f>
        <v/>
      </c>
      <c r="N57" s="73">
        <f>IFERROR('食譜'!O57*3, "")</f>
        <v>0</v>
      </c>
      <c r="O57" s="74" t="str">
        <f t="shared" si="7"/>
        <v/>
      </c>
      <c r="P57" s="75" t="str">
        <f t="shared" si="8"/>
        <v/>
      </c>
      <c r="Q57" s="73" t="str">
        <f t="shared" si="9"/>
        <v>0h 0m</v>
      </c>
      <c r="R57" s="73" t="str">
        <f t="array" ref="R57">IFERROR(INDEX(applied_prod, MATCH('食譜'!P57, ing_name, 0)), "")</f>
        <v/>
      </c>
      <c r="S57" s="73">
        <f>IFERROR('食譜'!Q57*3, "")</f>
        <v>0</v>
      </c>
      <c r="T57" s="74" t="str">
        <f t="shared" si="10"/>
        <v/>
      </c>
      <c r="U57" s="75" t="str">
        <f t="shared" si="11"/>
        <v/>
      </c>
      <c r="V57" s="73" t="str">
        <f t="shared" si="12"/>
        <v>0h 0m</v>
      </c>
      <c r="W57" s="73" t="str">
        <f t="shared" si="13"/>
        <v>4h 8m</v>
      </c>
      <c r="X57" s="75">
        <f t="shared" si="14"/>
        <v>0.1724468289</v>
      </c>
      <c r="Y57" s="73">
        <f>IFERROR('食譜'!H57, "")*3</f>
        <v>3237</v>
      </c>
      <c r="Z57" s="73">
        <f t="shared" si="15"/>
        <v>18771.00333</v>
      </c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</row>
    <row r="58" ht="47.25" customHeight="1">
      <c r="A58" s="73" t="str">
        <f>IFERROR(__xludf.DUMMYFUNCTION("""COMPUTED_VALUE"""),"")</f>
        <v/>
      </c>
      <c r="B58" s="73" t="str">
        <f>IFERROR(__xludf.DUMMYFUNCTION("""COMPUTED_VALUE"""),"祈願蘋果派")</f>
        <v>祈願蘋果派</v>
      </c>
      <c r="C58" s="73">
        <f t="array" ref="C58">IFERROR(INDEX(applied_prod, MATCH('食譜'!J58, ing_name, 0)), "")</f>
        <v>163.61</v>
      </c>
      <c r="D58" s="73">
        <f>IFERROR('食譜'!K58*3, "")</f>
        <v>36</v>
      </c>
      <c r="E58" s="74">
        <f t="shared" si="1"/>
        <v>4.544722222</v>
      </c>
      <c r="F58" s="75">
        <f t="shared" si="2"/>
        <v>0.2200354502</v>
      </c>
      <c r="G58" s="73" t="str">
        <f t="shared" si="3"/>
        <v>5h 16m</v>
      </c>
      <c r="H58" s="73">
        <f t="array" ref="H58">IFERROR(INDEX(applied_prod, MATCH('食譜'!L58, ing_name, 0)), "")</f>
        <v>161.87</v>
      </c>
      <c r="I58" s="73">
        <f>IFERROR('食譜'!M58*3, "")</f>
        <v>12</v>
      </c>
      <c r="J58" s="74">
        <f t="shared" si="4"/>
        <v>13.48916667</v>
      </c>
      <c r="K58" s="75">
        <f t="shared" si="5"/>
        <v>0.07413356397</v>
      </c>
      <c r="L58" s="73" t="str">
        <f t="shared" si="6"/>
        <v>1h 46m</v>
      </c>
      <c r="M58" s="73" t="str">
        <f t="array" ref="M58">IFERROR(INDEX(applied_prod, MATCH('食譜'!N58, ing_name, 0)), "")</f>
        <v/>
      </c>
      <c r="N58" s="73">
        <f>IFERROR('食譜'!O58*3, "")</f>
        <v>0</v>
      </c>
      <c r="O58" s="74" t="str">
        <f t="shared" si="7"/>
        <v/>
      </c>
      <c r="P58" s="75" t="str">
        <f t="shared" si="8"/>
        <v/>
      </c>
      <c r="Q58" s="73" t="str">
        <f t="shared" si="9"/>
        <v>0h 0m</v>
      </c>
      <c r="R58" s="73" t="str">
        <f t="array" ref="R58">IFERROR(INDEX(applied_prod, MATCH('食譜'!P58, ing_name, 0)), "")</f>
        <v/>
      </c>
      <c r="S58" s="73">
        <f>IFERROR('食譜'!Q58*3, "")</f>
        <v>0</v>
      </c>
      <c r="T58" s="74" t="str">
        <f t="shared" si="10"/>
        <v/>
      </c>
      <c r="U58" s="75" t="str">
        <f t="shared" si="11"/>
        <v/>
      </c>
      <c r="V58" s="73" t="str">
        <f t="shared" si="12"/>
        <v>0h 0m</v>
      </c>
      <c r="W58" s="73" t="str">
        <f t="shared" si="13"/>
        <v>7h 3m</v>
      </c>
      <c r="X58" s="75">
        <f t="shared" si="14"/>
        <v>0.2941690141</v>
      </c>
      <c r="Y58" s="73">
        <f>IFERROR('食譜'!H58, "")*3</f>
        <v>5244</v>
      </c>
      <c r="Z58" s="73">
        <f t="shared" si="15"/>
        <v>17826.48664</v>
      </c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</row>
    <row r="59" ht="47.25" customHeight="1">
      <c r="A59" s="73" t="str">
        <f>IFERROR(__xludf.DUMMYFUNCTION("""COMPUTED_VALUE"""),"")</f>
        <v/>
      </c>
      <c r="B59" s="73" t="str">
        <f>IFERROR(__xludf.DUMMYFUNCTION("""COMPUTED_VALUE"""),"熟成甜薯燒")</f>
        <v>熟成甜薯燒</v>
      </c>
      <c r="C59" s="73">
        <f t="array" ref="C59">IFERROR(INDEX(applied_prod, MATCH('食譜'!J59, ing_name, 0)), "")</f>
        <v>120.45</v>
      </c>
      <c r="D59" s="73">
        <f>IFERROR('食譜'!K59*3, "")</f>
        <v>27</v>
      </c>
      <c r="E59" s="74">
        <f t="shared" si="1"/>
        <v>4.461111111</v>
      </c>
      <c r="F59" s="75">
        <f t="shared" si="2"/>
        <v>0.2241594022</v>
      </c>
      <c r="G59" s="73" t="str">
        <f t="shared" si="3"/>
        <v>5h 22m</v>
      </c>
      <c r="H59" s="73">
        <f t="array" ref="H59">IFERROR(INDEX(applied_prod, MATCH('食譜'!L59, ing_name, 0)), "")</f>
        <v>161.87</v>
      </c>
      <c r="I59" s="73">
        <f>IFERROR('食譜'!M59*3, "")</f>
        <v>15</v>
      </c>
      <c r="J59" s="74">
        <f t="shared" si="4"/>
        <v>10.79133333</v>
      </c>
      <c r="K59" s="75">
        <f t="shared" si="5"/>
        <v>0.09266695496</v>
      </c>
      <c r="L59" s="73" t="str">
        <f t="shared" si="6"/>
        <v>2h 13m</v>
      </c>
      <c r="M59" s="73" t="str">
        <f t="array" ref="M59">IFERROR(INDEX(applied_prod, MATCH('食譜'!N59, ing_name, 0)), "")</f>
        <v/>
      </c>
      <c r="N59" s="73">
        <f>IFERROR('食譜'!O59*3, "")</f>
        <v>0</v>
      </c>
      <c r="O59" s="74" t="str">
        <f t="shared" si="7"/>
        <v/>
      </c>
      <c r="P59" s="75" t="str">
        <f t="shared" si="8"/>
        <v/>
      </c>
      <c r="Q59" s="73" t="str">
        <f t="shared" si="9"/>
        <v>0h 0m</v>
      </c>
      <c r="R59" s="73" t="str">
        <f t="array" ref="R59">IFERROR(INDEX(applied_prod, MATCH('食譜'!P59, ing_name, 0)), "")</f>
        <v/>
      </c>
      <c r="S59" s="73">
        <f>IFERROR('食譜'!Q59*3, "")</f>
        <v>0</v>
      </c>
      <c r="T59" s="74" t="str">
        <f t="shared" si="10"/>
        <v/>
      </c>
      <c r="U59" s="75" t="str">
        <f t="shared" si="11"/>
        <v/>
      </c>
      <c r="V59" s="73" t="str">
        <f t="shared" si="12"/>
        <v>0h 0m</v>
      </c>
      <c r="W59" s="73" t="str">
        <f t="shared" si="13"/>
        <v>7h 36m</v>
      </c>
      <c r="X59" s="75">
        <f t="shared" si="14"/>
        <v>0.3168263572</v>
      </c>
      <c r="Y59" s="73">
        <f>IFERROR('食譜'!H59, "")*3</f>
        <v>5721</v>
      </c>
      <c r="Z59" s="73">
        <f t="shared" si="15"/>
        <v>18057.20979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</row>
    <row r="60" ht="47.25" customHeight="1">
      <c r="A60" s="73" t="str">
        <f>IFERROR(__xludf.DUMMYFUNCTION("""COMPUTED_VALUE"""),"")</f>
        <v/>
      </c>
      <c r="B60" s="73" t="str">
        <f>IFERROR(__xludf.DUMMYFUNCTION("""COMPUTED_VALUE"""),"火花薑茶")</f>
        <v>火花薑茶</v>
      </c>
      <c r="C60" s="73">
        <f t="array" ref="C60">IFERROR(INDEX(applied_prod, MATCH('食譜'!J60, ing_name, 0)), "")</f>
        <v>162.39</v>
      </c>
      <c r="D60" s="73">
        <f>IFERROR('食譜'!K60*3, "")</f>
        <v>27</v>
      </c>
      <c r="E60" s="74">
        <f t="shared" si="1"/>
        <v>6.014444444</v>
      </c>
      <c r="F60" s="75">
        <f t="shared" si="2"/>
        <v>0.1662663957</v>
      </c>
      <c r="G60" s="73" t="str">
        <f t="shared" si="3"/>
        <v>3h 59m</v>
      </c>
      <c r="H60" s="73">
        <f t="array" ref="H60">IFERROR(INDEX(applied_prod, MATCH('食譜'!L60, ing_name, 0)), "")</f>
        <v>163.61</v>
      </c>
      <c r="I60" s="73">
        <f>IFERROR('食譜'!M60*3, "")</f>
        <v>21</v>
      </c>
      <c r="J60" s="74">
        <f t="shared" si="4"/>
        <v>7.790952381</v>
      </c>
      <c r="K60" s="75">
        <f t="shared" si="5"/>
        <v>0.1283540126</v>
      </c>
      <c r="L60" s="73" t="str">
        <f t="shared" si="6"/>
        <v>3h 4m</v>
      </c>
      <c r="M60" s="73" t="str">
        <f t="array" ref="M60">IFERROR(INDEX(applied_prod, MATCH('食譜'!N60, ing_name, 0)), "")</f>
        <v/>
      </c>
      <c r="N60" s="73">
        <f>IFERROR('食譜'!O60*3, "")</f>
        <v>0</v>
      </c>
      <c r="O60" s="74" t="str">
        <f t="shared" si="7"/>
        <v/>
      </c>
      <c r="P60" s="75" t="str">
        <f t="shared" si="8"/>
        <v/>
      </c>
      <c r="Q60" s="73" t="str">
        <f t="shared" si="9"/>
        <v>0h 0m</v>
      </c>
      <c r="R60" s="73" t="str">
        <f t="array" ref="R60">IFERROR(INDEX(applied_prod, MATCH('食譜'!P60, ing_name, 0)), "")</f>
        <v/>
      </c>
      <c r="S60" s="73">
        <f>IFERROR('食譜'!Q60*3, "")</f>
        <v>0</v>
      </c>
      <c r="T60" s="74" t="str">
        <f t="shared" si="10"/>
        <v/>
      </c>
      <c r="U60" s="75" t="str">
        <f t="shared" si="11"/>
        <v/>
      </c>
      <c r="V60" s="73" t="str">
        <f t="shared" si="12"/>
        <v>0h 0m</v>
      </c>
      <c r="W60" s="73" t="str">
        <f t="shared" si="13"/>
        <v>7h 4m</v>
      </c>
      <c r="X60" s="75">
        <f t="shared" si="14"/>
        <v>0.2946204083</v>
      </c>
      <c r="Y60" s="73">
        <f>IFERROR('食譜'!H60, "")*3</f>
        <v>5739</v>
      </c>
      <c r="Z60" s="73">
        <f t="shared" si="15"/>
        <v>19479.30231</v>
      </c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</row>
    <row r="61" ht="47.25" customHeight="1">
      <c r="A61" s="73" t="str">
        <f>IFERROR(__xludf.DUMMYFUNCTION("""COMPUTED_VALUE"""),"")</f>
        <v/>
      </c>
      <c r="B61" s="73" t="str">
        <f>IFERROR(__xludf.DUMMYFUNCTION("""COMPUTED_VALUE"""),"輕裝豆香蛋糕")</f>
        <v>輕裝豆香蛋糕</v>
      </c>
      <c r="C61" s="73">
        <f t="array" ref="C61">IFERROR(INDEX(applied_prod, MATCH('食譜'!J61, ing_name, 0)), "")</f>
        <v>127.29</v>
      </c>
      <c r="D61" s="73">
        <f>IFERROR('食譜'!K61*3, "")</f>
        <v>24</v>
      </c>
      <c r="E61" s="74">
        <f t="shared" si="1"/>
        <v>5.30375</v>
      </c>
      <c r="F61" s="75">
        <f t="shared" si="2"/>
        <v>0.1885458402</v>
      </c>
      <c r="G61" s="73" t="str">
        <f t="shared" si="3"/>
        <v>4h 31m</v>
      </c>
      <c r="H61" s="73">
        <f t="array" ref="H61">IFERROR(INDEX(applied_prod, MATCH('食譜'!L61, ing_name, 0)), "")</f>
        <v>148.65</v>
      </c>
      <c r="I61" s="73">
        <f>IFERROR('食譜'!M61*3, "")</f>
        <v>21</v>
      </c>
      <c r="J61" s="74">
        <f t="shared" si="4"/>
        <v>7.078571429</v>
      </c>
      <c r="K61" s="75">
        <f t="shared" si="5"/>
        <v>0.141271443</v>
      </c>
      <c r="L61" s="73" t="str">
        <f t="shared" si="6"/>
        <v>3h 23m</v>
      </c>
      <c r="M61" s="73" t="str">
        <f t="array" ref="M61">IFERROR(INDEX(applied_prod, MATCH('食譜'!N61, ing_name, 0)), "")</f>
        <v/>
      </c>
      <c r="N61" s="73">
        <f>IFERROR('食譜'!O61*3, "")</f>
        <v>0</v>
      </c>
      <c r="O61" s="74" t="str">
        <f t="shared" si="7"/>
        <v/>
      </c>
      <c r="P61" s="75" t="str">
        <f t="shared" si="8"/>
        <v/>
      </c>
      <c r="Q61" s="73" t="str">
        <f t="shared" si="9"/>
        <v>0h 0m</v>
      </c>
      <c r="R61" s="73" t="str">
        <f t="array" ref="R61">IFERROR(INDEX(applied_prod, MATCH('食譜'!P61, ing_name, 0)), "")</f>
        <v/>
      </c>
      <c r="S61" s="73">
        <f>IFERROR('食譜'!Q61*3, "")</f>
        <v>0</v>
      </c>
      <c r="T61" s="74" t="str">
        <f t="shared" si="10"/>
        <v/>
      </c>
      <c r="U61" s="75" t="str">
        <f t="shared" si="11"/>
        <v/>
      </c>
      <c r="V61" s="73" t="str">
        <f t="shared" si="12"/>
        <v>0h 0m</v>
      </c>
      <c r="W61" s="73" t="str">
        <f t="shared" si="13"/>
        <v>7h 54m</v>
      </c>
      <c r="X61" s="75">
        <f t="shared" si="14"/>
        <v>0.3298172832</v>
      </c>
      <c r="Y61" s="73">
        <f>IFERROR('食譜'!H61, "")*3</f>
        <v>5772</v>
      </c>
      <c r="Z61" s="73">
        <f t="shared" si="15"/>
        <v>17500.59895</v>
      </c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</row>
    <row r="62" ht="47.25" customHeight="1">
      <c r="A62" s="73" t="str">
        <f>IFERROR(__xludf.DUMMYFUNCTION("""COMPUTED_VALUE"""),"")</f>
        <v/>
      </c>
      <c r="B62" s="73" t="str">
        <f>IFERROR(__xludf.DUMMYFUNCTION("""COMPUTED_VALUE"""),"我行我素蔬菜汁")</f>
        <v>我行我素蔬菜汁</v>
      </c>
      <c r="C62" s="73">
        <f t="array" ref="C62">IFERROR(INDEX(applied_prod, MATCH('食譜'!J62, ing_name, 0)), "")</f>
        <v>137.56</v>
      </c>
      <c r="D62" s="73">
        <f>IFERROR('食譜'!K62*3, "")</f>
        <v>27</v>
      </c>
      <c r="E62" s="74">
        <f t="shared" si="1"/>
        <v>5.094814815</v>
      </c>
      <c r="F62" s="75">
        <f t="shared" si="2"/>
        <v>0.1962779878</v>
      </c>
      <c r="G62" s="73" t="str">
        <f t="shared" si="3"/>
        <v>4h 42m</v>
      </c>
      <c r="H62" s="73">
        <f t="array" ref="H62">IFERROR(INDEX(applied_prod, MATCH('食譜'!L62, ing_name, 0)), "")</f>
        <v>163.61</v>
      </c>
      <c r="I62" s="73">
        <f>IFERROR('食譜'!M62*3, "")</f>
        <v>21</v>
      </c>
      <c r="J62" s="74">
        <f t="shared" si="4"/>
        <v>7.790952381</v>
      </c>
      <c r="K62" s="75">
        <f t="shared" si="5"/>
        <v>0.1283540126</v>
      </c>
      <c r="L62" s="73" t="str">
        <f t="shared" si="6"/>
        <v>3h 4m</v>
      </c>
      <c r="M62" s="73" t="str">
        <f t="array" ref="M62">IFERROR(INDEX(applied_prod, MATCH('食譜'!N62, ing_name, 0)), "")</f>
        <v/>
      </c>
      <c r="N62" s="73">
        <f>IFERROR('食譜'!O62*3, "")</f>
        <v>0</v>
      </c>
      <c r="O62" s="74" t="str">
        <f t="shared" si="7"/>
        <v/>
      </c>
      <c r="P62" s="75" t="str">
        <f t="shared" si="8"/>
        <v/>
      </c>
      <c r="Q62" s="73" t="str">
        <f t="shared" si="9"/>
        <v>0h 0m</v>
      </c>
      <c r="R62" s="73" t="str">
        <f t="array" ref="R62">IFERROR(INDEX(applied_prod, MATCH('食譜'!P62, ing_name, 0)), "")</f>
        <v/>
      </c>
      <c r="S62" s="73">
        <f>IFERROR('食譜'!Q62*3, "")</f>
        <v>0</v>
      </c>
      <c r="T62" s="74" t="str">
        <f t="shared" si="10"/>
        <v/>
      </c>
      <c r="U62" s="75" t="str">
        <f t="shared" si="11"/>
        <v/>
      </c>
      <c r="V62" s="73" t="str">
        <f t="shared" si="12"/>
        <v>0h 0m</v>
      </c>
      <c r="W62" s="73" t="str">
        <f t="shared" si="13"/>
        <v>7h 47m</v>
      </c>
      <c r="X62" s="75">
        <f t="shared" si="14"/>
        <v>0.3246320004</v>
      </c>
      <c r="Y62" s="73">
        <f>IFERROR('食譜'!H62, "")*3</f>
        <v>5772</v>
      </c>
      <c r="Z62" s="73">
        <f t="shared" si="15"/>
        <v>17780.13256</v>
      </c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</row>
    <row r="63" ht="47.25" customHeight="1">
      <c r="A63" s="73" t="str">
        <f>IFERROR(__xludf.DUMMYFUNCTION("""COMPUTED_VALUE"""),"")</f>
        <v/>
      </c>
      <c r="B63" s="73" t="str">
        <f>IFERROR(__xludf.DUMMYFUNCTION("""COMPUTED_VALUE"""),"大馬拉薩達")</f>
        <v>大馬拉薩達</v>
      </c>
      <c r="C63" s="73">
        <f t="array" ref="C63">IFERROR(INDEX(applied_prod, MATCH('食譜'!J63, ing_name, 0)), "")</f>
        <v>111.06</v>
      </c>
      <c r="D63" s="73">
        <f>IFERROR('食譜'!K63*3, "")</f>
        <v>30</v>
      </c>
      <c r="E63" s="74">
        <f t="shared" si="1"/>
        <v>3.702</v>
      </c>
      <c r="F63" s="75">
        <f t="shared" si="2"/>
        <v>0.2701242572</v>
      </c>
      <c r="G63" s="73" t="str">
        <f t="shared" si="3"/>
        <v>6h 28m</v>
      </c>
      <c r="H63" s="73">
        <f t="array" ref="H63">IFERROR(INDEX(applied_prod, MATCH('食譜'!L63, ing_name, 0)), "")</f>
        <v>161.87</v>
      </c>
      <c r="I63" s="73">
        <f>IFERROR('食譜'!M63*3, "")</f>
        <v>21</v>
      </c>
      <c r="J63" s="74">
        <f t="shared" si="4"/>
        <v>7.708095238</v>
      </c>
      <c r="K63" s="75">
        <f t="shared" si="5"/>
        <v>0.1297337369</v>
      </c>
      <c r="L63" s="73" t="str">
        <f t="shared" si="6"/>
        <v>3h 6m</v>
      </c>
      <c r="M63" s="73">
        <f t="array" ref="M63">IFERROR(INDEX(applied_prod, MATCH('食譜'!N63, ing_name, 0)), "")</f>
        <v>156.57</v>
      </c>
      <c r="N63" s="73">
        <f>IFERROR('食譜'!O63*3, "")</f>
        <v>18</v>
      </c>
      <c r="O63" s="74">
        <f t="shared" si="7"/>
        <v>8.698333333</v>
      </c>
      <c r="P63" s="75">
        <f t="shared" si="8"/>
        <v>0.1149645526</v>
      </c>
      <c r="Q63" s="73" t="str">
        <f t="shared" si="9"/>
        <v>2h 45m</v>
      </c>
      <c r="R63" s="73" t="str">
        <f t="array" ref="R63">IFERROR(INDEX(applied_prod, MATCH('食譜'!P63, ing_name, 0)), "")</f>
        <v/>
      </c>
      <c r="S63" s="73">
        <f>IFERROR('食譜'!Q63*3, "")</f>
        <v>0</v>
      </c>
      <c r="T63" s="74" t="str">
        <f t="shared" si="10"/>
        <v/>
      </c>
      <c r="U63" s="75" t="str">
        <f t="shared" si="11"/>
        <v/>
      </c>
      <c r="V63" s="73" t="str">
        <f t="shared" si="12"/>
        <v>0h 0m</v>
      </c>
      <c r="W63" s="73" t="str">
        <f t="shared" si="13"/>
        <v>12h 21m</v>
      </c>
      <c r="X63" s="75">
        <f t="shared" si="14"/>
        <v>0.5148225467</v>
      </c>
      <c r="Y63" s="73">
        <f>IFERROR('食譜'!H63, "")*3</f>
        <v>9045</v>
      </c>
      <c r="Z63" s="73">
        <f t="shared" si="15"/>
        <v>17569.16059</v>
      </c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</row>
    <row r="64" ht="47.25" customHeight="1">
      <c r="A64" s="73" t="str">
        <f>IFERROR(__xludf.DUMMYFUNCTION("""COMPUTED_VALUE"""),"")</f>
        <v/>
      </c>
      <c r="B64" s="73" t="str">
        <f>IFERROR(__xludf.DUMMYFUNCTION("""COMPUTED_VALUE"""),"活力蛋白飲")</f>
        <v>活力蛋白飲</v>
      </c>
      <c r="C64" s="73">
        <f t="array" ref="C64">IFERROR(INDEX(applied_prod, MATCH('食譜'!J64, ing_name, 0)), "")</f>
        <v>148.65</v>
      </c>
      <c r="D64" s="73">
        <f>IFERROR('食譜'!K64*3, "")</f>
        <v>45</v>
      </c>
      <c r="E64" s="74">
        <f t="shared" si="1"/>
        <v>3.303333333</v>
      </c>
      <c r="F64" s="75">
        <f t="shared" si="2"/>
        <v>0.3027245207</v>
      </c>
      <c r="G64" s="73" t="str">
        <f t="shared" si="3"/>
        <v>7h 15m</v>
      </c>
      <c r="H64" s="73">
        <f t="array" ref="H64">IFERROR(INDEX(applied_prod, MATCH('食譜'!L64, ing_name, 0)), "")</f>
        <v>98.53</v>
      </c>
      <c r="I64" s="73">
        <f>IFERROR('食譜'!M64*3, "")</f>
        <v>24</v>
      </c>
      <c r="J64" s="74">
        <f t="shared" si="4"/>
        <v>4.105416667</v>
      </c>
      <c r="K64" s="75">
        <f t="shared" si="5"/>
        <v>0.2435806353</v>
      </c>
      <c r="L64" s="73" t="str">
        <f t="shared" si="6"/>
        <v>5h 50m</v>
      </c>
      <c r="M64" s="73" t="str">
        <f t="array" ref="M64">IFERROR(INDEX(applied_prod, MATCH('食譜'!N64, ing_name, 0)), "")</f>
        <v/>
      </c>
      <c r="N64" s="73">
        <f>IFERROR('食譜'!O64*3, "")</f>
        <v>0</v>
      </c>
      <c r="O64" s="74" t="str">
        <f t="shared" si="7"/>
        <v/>
      </c>
      <c r="P64" s="75" t="str">
        <f t="shared" si="8"/>
        <v/>
      </c>
      <c r="Q64" s="73" t="str">
        <f t="shared" si="9"/>
        <v>0h 0m</v>
      </c>
      <c r="R64" s="73" t="str">
        <f t="array" ref="R64">IFERROR(INDEX(applied_prod, MATCH('食譜'!P64, ing_name, 0)), "")</f>
        <v/>
      </c>
      <c r="S64" s="73">
        <f>IFERROR('食譜'!Q64*3, "")</f>
        <v>0</v>
      </c>
      <c r="T64" s="74" t="str">
        <f t="shared" si="10"/>
        <v/>
      </c>
      <c r="U64" s="75" t="str">
        <f t="shared" si="11"/>
        <v/>
      </c>
      <c r="V64" s="73" t="str">
        <f t="shared" si="12"/>
        <v>0h 0m</v>
      </c>
      <c r="W64" s="73" t="str">
        <f t="shared" si="13"/>
        <v>13h 6m</v>
      </c>
      <c r="X64" s="75">
        <f t="shared" si="14"/>
        <v>0.546305156</v>
      </c>
      <c r="Y64" s="73">
        <f>IFERROR('食譜'!H64, "")*3</f>
        <v>9789</v>
      </c>
      <c r="Z64" s="73">
        <f t="shared" si="15"/>
        <v>17918.55686</v>
      </c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</row>
    <row r="65" ht="47.25" customHeight="1">
      <c r="A65" s="73" t="str">
        <f>IFERROR(__xludf.DUMMYFUNCTION("""COMPUTED_VALUE"""),"")</f>
        <v/>
      </c>
      <c r="B65" s="73" t="str">
        <f>IFERROR(__xludf.DUMMYFUNCTION("""COMPUTED_VALUE"""),"花瓣舞巧克力塔")</f>
        <v>花瓣舞巧克力塔</v>
      </c>
      <c r="C65" s="73">
        <f t="array" ref="C65">IFERROR(INDEX(applied_prod, MATCH('食譜'!J65, ing_name, 0)), "")</f>
        <v>163.61</v>
      </c>
      <c r="D65" s="73">
        <f>IFERROR('食譜'!K65*3, "")</f>
        <v>33</v>
      </c>
      <c r="E65" s="74">
        <f t="shared" si="1"/>
        <v>4.957878788</v>
      </c>
      <c r="F65" s="75">
        <f t="shared" si="2"/>
        <v>0.2016991626</v>
      </c>
      <c r="G65" s="73" t="str">
        <f t="shared" si="3"/>
        <v>4h 50m</v>
      </c>
      <c r="H65" s="73">
        <f t="array" ref="H65">IFERROR(INDEX(applied_prod, MATCH('食譜'!L65, ing_name, 0)), "")</f>
        <v>98.53</v>
      </c>
      <c r="I65" s="73">
        <f>IFERROR('食譜'!M65*3, "")</f>
        <v>33</v>
      </c>
      <c r="J65" s="74">
        <f t="shared" si="4"/>
        <v>2.985757576</v>
      </c>
      <c r="K65" s="75">
        <f t="shared" si="5"/>
        <v>0.3349233736</v>
      </c>
      <c r="L65" s="73" t="str">
        <f t="shared" si="6"/>
        <v>8h 2m</v>
      </c>
      <c r="M65" s="73" t="str">
        <f t="array" ref="M65">IFERROR(INDEX(applied_prod, MATCH('食譜'!N65, ing_name, 0)), "")</f>
        <v/>
      </c>
      <c r="N65" s="73">
        <f>IFERROR('食譜'!O65*3, "")</f>
        <v>0</v>
      </c>
      <c r="O65" s="74" t="str">
        <f t="shared" si="7"/>
        <v/>
      </c>
      <c r="P65" s="75" t="str">
        <f t="shared" si="8"/>
        <v/>
      </c>
      <c r="Q65" s="73" t="str">
        <f t="shared" si="9"/>
        <v>0h 0m</v>
      </c>
      <c r="R65" s="73" t="str">
        <f t="array" ref="R65">IFERROR(INDEX(applied_prod, MATCH('食譜'!P65, ing_name, 0)), "")</f>
        <v/>
      </c>
      <c r="S65" s="73">
        <f>IFERROR('食譜'!Q65*3, "")</f>
        <v>0</v>
      </c>
      <c r="T65" s="74" t="str">
        <f t="shared" si="10"/>
        <v/>
      </c>
      <c r="U65" s="75" t="str">
        <f t="shared" si="11"/>
        <v/>
      </c>
      <c r="V65" s="73" t="str">
        <f t="shared" si="12"/>
        <v>0h 0m</v>
      </c>
      <c r="W65" s="73" t="str">
        <f t="shared" si="13"/>
        <v>12h 52m</v>
      </c>
      <c r="X65" s="75">
        <f t="shared" si="14"/>
        <v>0.5366225362</v>
      </c>
      <c r="Y65" s="73">
        <f>IFERROR('食譜'!H65, "")*3</f>
        <v>9942</v>
      </c>
      <c r="Z65" s="73">
        <f t="shared" si="15"/>
        <v>18526.98932</v>
      </c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</row>
    <row r="66" ht="47.25" customHeight="1">
      <c r="A66" s="73" t="str">
        <f>IFERROR(__xludf.DUMMYFUNCTION("""COMPUTED_VALUE"""),"")</f>
        <v/>
      </c>
      <c r="B66" s="73" t="str">
        <f>IFERROR(__xludf.DUMMYFUNCTION("""COMPUTED_VALUE"""),"甜甜香氣巧克力蛋糕")</f>
        <v>甜甜香氣巧克力蛋糕</v>
      </c>
      <c r="C66" s="73">
        <f t="array" ref="C66">IFERROR(INDEX(applied_prod, MATCH('食譜'!J66, ing_name, 0)), "")</f>
        <v>156.57</v>
      </c>
      <c r="D66" s="73">
        <f>IFERROR('食譜'!K66*3, "")</f>
        <v>27</v>
      </c>
      <c r="E66" s="74">
        <f t="shared" si="1"/>
        <v>5.798888889</v>
      </c>
      <c r="F66" s="75">
        <f t="shared" si="2"/>
        <v>0.1724468289</v>
      </c>
      <c r="G66" s="73" t="str">
        <f t="shared" si="3"/>
        <v>4h 8m</v>
      </c>
      <c r="H66" s="73">
        <f t="array" ref="H66">IFERROR(INDEX(applied_prod, MATCH('食譜'!L66, ing_name, 0)), "")</f>
        <v>98.53</v>
      </c>
      <c r="I66" s="73">
        <f>IFERROR('食譜'!M66*3, "")</f>
        <v>24</v>
      </c>
      <c r="J66" s="74">
        <f t="shared" si="4"/>
        <v>4.105416667</v>
      </c>
      <c r="K66" s="75">
        <f t="shared" si="5"/>
        <v>0.2435806353</v>
      </c>
      <c r="L66" s="73" t="str">
        <f t="shared" si="6"/>
        <v>5h 50m</v>
      </c>
      <c r="M66" s="73">
        <f t="array" ref="M66">IFERROR(INDEX(applied_prod, MATCH('食譜'!N66, ing_name, 0)), "")</f>
        <v>161.87</v>
      </c>
      <c r="N66" s="73">
        <f>IFERROR('食譜'!O66*3, "")</f>
        <v>21</v>
      </c>
      <c r="O66" s="74">
        <f t="shared" si="7"/>
        <v>7.708095238</v>
      </c>
      <c r="P66" s="75">
        <f t="shared" si="8"/>
        <v>0.1297337369</v>
      </c>
      <c r="Q66" s="73" t="str">
        <f t="shared" si="9"/>
        <v>3h 6m</v>
      </c>
      <c r="R66" s="73" t="str">
        <f t="array" ref="R66">IFERROR(INDEX(applied_prod, MATCH('食譜'!P66, ing_name, 0)), "")</f>
        <v/>
      </c>
      <c r="S66" s="73">
        <f>IFERROR('食譜'!Q66*3, "")</f>
        <v>0</v>
      </c>
      <c r="T66" s="74" t="str">
        <f t="shared" si="10"/>
        <v/>
      </c>
      <c r="U66" s="75" t="str">
        <f t="shared" si="11"/>
        <v/>
      </c>
      <c r="V66" s="73" t="str">
        <f t="shared" si="12"/>
        <v>0h 0m</v>
      </c>
      <c r="W66" s="73" t="str">
        <f t="shared" si="13"/>
        <v>13h 5m</v>
      </c>
      <c r="X66" s="75">
        <f t="shared" si="14"/>
        <v>0.5457612012</v>
      </c>
      <c r="Y66" s="73">
        <f>IFERROR('食譜'!H66, "")*3</f>
        <v>10134</v>
      </c>
      <c r="Z66" s="73">
        <f t="shared" si="15"/>
        <v>18568.56071</v>
      </c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</row>
    <row r="67" ht="47.25" customHeight="1">
      <c r="A67" s="73" t="str">
        <f>IFERROR(__xludf.DUMMYFUNCTION("""COMPUTED_VALUE"""),"")</f>
        <v/>
      </c>
      <c r="B67" s="73" t="str">
        <f>IFERROR(__xludf.DUMMYFUNCTION("""COMPUTED_VALUE"""),"惡魔之吻水果牛奶")</f>
        <v>惡魔之吻水果牛奶</v>
      </c>
      <c r="C67" s="73">
        <f t="array" ref="C67">IFERROR(INDEX(applied_prod, MATCH('食譜'!J67, ing_name, 0)), "")</f>
        <v>163.61</v>
      </c>
      <c r="D67" s="73">
        <f>IFERROR('食譜'!K67*3, "")</f>
        <v>33</v>
      </c>
      <c r="E67" s="74">
        <f t="shared" si="1"/>
        <v>4.957878788</v>
      </c>
      <c r="F67" s="75">
        <f t="shared" si="2"/>
        <v>0.2016991626</v>
      </c>
      <c r="G67" s="73" t="str">
        <f t="shared" si="3"/>
        <v>4h 50m</v>
      </c>
      <c r="H67" s="73">
        <f t="array" ref="H67">IFERROR(INDEX(applied_prod, MATCH('食譜'!L67, ing_name, 0)), "")</f>
        <v>161.87</v>
      </c>
      <c r="I67" s="73">
        <f>IFERROR('食譜'!M67*3, "")</f>
        <v>27</v>
      </c>
      <c r="J67" s="74">
        <f t="shared" si="4"/>
        <v>5.995185185</v>
      </c>
      <c r="K67" s="75">
        <f t="shared" si="5"/>
        <v>0.1668005189</v>
      </c>
      <c r="L67" s="73" t="str">
        <f t="shared" si="6"/>
        <v>4h 0m</v>
      </c>
      <c r="M67" s="73">
        <f t="array" ref="M67">IFERROR(INDEX(applied_prod, MATCH('食譜'!N67, ing_name, 0)), "")</f>
        <v>98.53</v>
      </c>
      <c r="N67" s="73">
        <f>IFERROR('食譜'!O67*3, "")</f>
        <v>24</v>
      </c>
      <c r="O67" s="74">
        <f t="shared" si="7"/>
        <v>4.105416667</v>
      </c>
      <c r="P67" s="75">
        <f t="shared" si="8"/>
        <v>0.2435806353</v>
      </c>
      <c r="Q67" s="73" t="str">
        <f t="shared" si="9"/>
        <v>5h 50m</v>
      </c>
      <c r="R67" s="73">
        <f t="array" ref="R67">IFERROR(INDEX(applied_prod, MATCH('食譜'!P67, ing_name, 0)), "")</f>
        <v>156.57</v>
      </c>
      <c r="S67" s="73">
        <f>IFERROR('食譜'!Q67*3, "")</f>
        <v>21</v>
      </c>
      <c r="T67" s="74">
        <f t="shared" si="10"/>
        <v>7.455714286</v>
      </c>
      <c r="U67" s="75">
        <f t="shared" si="11"/>
        <v>0.1341253114</v>
      </c>
      <c r="V67" s="73" t="str">
        <f t="shared" si="12"/>
        <v>3h 13m</v>
      </c>
      <c r="W67" s="73" t="str">
        <f t="shared" si="13"/>
        <v>17h 54m</v>
      </c>
      <c r="X67" s="75">
        <f t="shared" si="14"/>
        <v>0.7462056283</v>
      </c>
      <c r="Y67" s="73">
        <f>IFERROR('食譜'!H67, "")*3</f>
        <v>14202</v>
      </c>
      <c r="Z67" s="73">
        <f t="shared" si="15"/>
        <v>19032.28743</v>
      </c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</row>
    <row r="68" ht="47.25" customHeight="1">
      <c r="A68" s="73" t="str">
        <f>IFERROR(__xludf.DUMMYFUNCTION("""COMPUTED_VALUE"""),"")</f>
        <v/>
      </c>
      <c r="B68" s="73" t="str">
        <f>IFERROR(__xludf.DUMMYFUNCTION("""COMPUTED_VALUE"""),"不屈薑餅")</f>
        <v>不屈薑餅</v>
      </c>
      <c r="C68" s="73">
        <f t="array" ref="C68">IFERROR(INDEX(applied_prod, MATCH('食譜'!J68, ing_name, 0)), "")</f>
        <v>156.57</v>
      </c>
      <c r="D68" s="73">
        <f>IFERROR('食譜'!K68*3, "")</f>
        <v>42</v>
      </c>
      <c r="E68" s="74">
        <f t="shared" si="1"/>
        <v>3.727857143</v>
      </c>
      <c r="F68" s="75">
        <f t="shared" si="2"/>
        <v>0.2682506227</v>
      </c>
      <c r="G68" s="73" t="str">
        <f t="shared" si="3"/>
        <v>6h 26m</v>
      </c>
      <c r="H68" s="73">
        <f t="array" ref="H68">IFERROR(INDEX(applied_prod, MATCH('食譜'!L68, ing_name, 0)), "")</f>
        <v>162.39</v>
      </c>
      <c r="I68" s="73">
        <f>IFERROR('食譜'!M68*3, "")</f>
        <v>36</v>
      </c>
      <c r="J68" s="74">
        <f t="shared" si="4"/>
        <v>4.510833333</v>
      </c>
      <c r="K68" s="75">
        <f t="shared" si="5"/>
        <v>0.2216885276</v>
      </c>
      <c r="L68" s="73" t="str">
        <f t="shared" si="6"/>
        <v>5h 19m</v>
      </c>
      <c r="M68" s="73">
        <f t="array" ref="M68">IFERROR(INDEX(applied_prod, MATCH('食譜'!N68, ing_name, 0)), "")</f>
        <v>98.53</v>
      </c>
      <c r="N68" s="73">
        <f>IFERROR('食譜'!O68*3, "")</f>
        <v>15</v>
      </c>
      <c r="O68" s="74">
        <f t="shared" si="7"/>
        <v>6.568666667</v>
      </c>
      <c r="P68" s="75">
        <f t="shared" si="8"/>
        <v>0.1522378971</v>
      </c>
      <c r="Q68" s="73" t="str">
        <f t="shared" si="9"/>
        <v>3h 39m</v>
      </c>
      <c r="R68" s="73">
        <f t="array" ref="R68">IFERROR(INDEX(applied_prod, MATCH('食譜'!P68, ing_name, 0)), "")</f>
        <v>127.29</v>
      </c>
      <c r="S68" s="73">
        <f>IFERROR('食譜'!Q68*3, "")</f>
        <v>12</v>
      </c>
      <c r="T68" s="74">
        <f t="shared" si="10"/>
        <v>10.6075</v>
      </c>
      <c r="U68" s="75">
        <f t="shared" si="11"/>
        <v>0.0942729201</v>
      </c>
      <c r="V68" s="73" t="str">
        <f t="shared" si="12"/>
        <v>2h 15m</v>
      </c>
      <c r="W68" s="73" t="str">
        <f t="shared" si="13"/>
        <v>17h 40m</v>
      </c>
      <c r="X68" s="75">
        <f t="shared" si="14"/>
        <v>0.7364499675</v>
      </c>
      <c r="Y68" s="73">
        <f>IFERROR('食譜'!H68, "")*3</f>
        <v>14763</v>
      </c>
      <c r="Z68" s="73">
        <f t="shared" si="15"/>
        <v>20046.16831</v>
      </c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</row>
    <row r="69" ht="47.25" customHeight="1">
      <c r="A69" s="73" t="str">
        <f>IFERROR(__xludf.DUMMYFUNCTION("""COMPUTED_VALUE"""),"")</f>
        <v/>
      </c>
      <c r="B69" s="73" t="str">
        <f>IFERROR(__xludf.DUMMYFUNCTION("""COMPUTED_VALUE"""),"橙夢的排毒茶")</f>
        <v>橙夢的排毒茶</v>
      </c>
      <c r="C69" s="73">
        <f t="array" ref="C69">IFERROR(INDEX(applied_prod, MATCH('食譜'!J69, ing_name, 0)), "")</f>
        <v>163.61</v>
      </c>
      <c r="D69" s="73">
        <f>IFERROR('食譜'!K69*3, "")</f>
        <v>45</v>
      </c>
      <c r="E69" s="74">
        <f t="shared" si="1"/>
        <v>3.635777778</v>
      </c>
      <c r="F69" s="75">
        <f t="shared" si="2"/>
        <v>0.2750443127</v>
      </c>
      <c r="G69" s="73" t="str">
        <f t="shared" si="3"/>
        <v>6h 36m</v>
      </c>
      <c r="H69" s="73">
        <f t="array" ref="H69">IFERROR(INDEX(applied_prod, MATCH('食譜'!L69, ing_name, 0)), "")</f>
        <v>162.39</v>
      </c>
      <c r="I69" s="73">
        <f>IFERROR('食譜'!M69*3, "")</f>
        <v>33</v>
      </c>
      <c r="J69" s="74">
        <f t="shared" si="4"/>
        <v>4.920909091</v>
      </c>
      <c r="K69" s="75">
        <f t="shared" si="5"/>
        <v>0.2032144837</v>
      </c>
      <c r="L69" s="73" t="str">
        <f t="shared" si="6"/>
        <v>4h 52m</v>
      </c>
      <c r="M69" s="73">
        <f t="array" ref="M69">IFERROR(INDEX(applied_prod, MATCH('食譜'!N69, ing_name, 0)), "")</f>
        <v>92.67</v>
      </c>
      <c r="N69" s="73">
        <f>IFERROR('食譜'!O69*3, "")</f>
        <v>27</v>
      </c>
      <c r="O69" s="74">
        <f t="shared" si="7"/>
        <v>3.432222222</v>
      </c>
      <c r="P69" s="75">
        <f t="shared" si="8"/>
        <v>0.291356426</v>
      </c>
      <c r="Q69" s="73" t="str">
        <f t="shared" si="9"/>
        <v>6h 59m</v>
      </c>
      <c r="R69" s="73" t="str">
        <f t="array" ref="R69">IFERROR(INDEX(applied_prod, MATCH('食譜'!P69, ing_name, 0)), "")</f>
        <v/>
      </c>
      <c r="S69" s="73">
        <f>IFERROR('食譜'!Q69*3, "")</f>
        <v>0</v>
      </c>
      <c r="T69" s="74" t="str">
        <f t="shared" si="10"/>
        <v/>
      </c>
      <c r="U69" s="75" t="str">
        <f t="shared" si="11"/>
        <v/>
      </c>
      <c r="V69" s="73" t="str">
        <f t="shared" si="12"/>
        <v>0h 0m</v>
      </c>
      <c r="W69" s="73" t="str">
        <f t="shared" si="13"/>
        <v>18h 28m</v>
      </c>
      <c r="X69" s="75">
        <f t="shared" si="14"/>
        <v>0.7696152224</v>
      </c>
      <c r="Y69" s="73">
        <f>IFERROR('食譜'!H69, "")*3</f>
        <v>15195</v>
      </c>
      <c r="Z69" s="73">
        <f t="shared" si="15"/>
        <v>19743.63235</v>
      </c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</row>
    <row r="70" ht="47.25" customHeight="1">
      <c r="A70" s="73" t="str">
        <f>IFERROR(__xludf.DUMMYFUNCTION("""COMPUTED_VALUE"""),"")</f>
        <v/>
      </c>
      <c r="B70" s="73" t="str">
        <f>IFERROR(__xludf.DUMMYFUNCTION("""COMPUTED_VALUE"""),"大力士豆香甜甜圈")</f>
        <v>大力士豆香甜甜圈</v>
      </c>
      <c r="C70" s="73">
        <f t="array" ref="C70">IFERROR(INDEX(applied_prod, MATCH('食譜'!J70, ing_name, 0)), "")</f>
        <v>148.65</v>
      </c>
      <c r="D70" s="73">
        <f>IFERROR('食譜'!K70*3, "")</f>
        <v>48</v>
      </c>
      <c r="E70" s="74">
        <f t="shared" si="1"/>
        <v>3.096875</v>
      </c>
      <c r="F70" s="75">
        <f t="shared" si="2"/>
        <v>0.3229061554</v>
      </c>
      <c r="G70" s="73" t="str">
        <f t="shared" si="3"/>
        <v>7h 44m</v>
      </c>
      <c r="H70" s="73">
        <f t="array" ref="H70">IFERROR(INDEX(applied_prod, MATCH('食譜'!L70, ing_name, 0)), "")</f>
        <v>111.06</v>
      </c>
      <c r="I70" s="73">
        <f>IFERROR('食譜'!M70*3, "")</f>
        <v>36</v>
      </c>
      <c r="J70" s="74">
        <f t="shared" si="4"/>
        <v>3.085</v>
      </c>
      <c r="K70" s="75">
        <f t="shared" si="5"/>
        <v>0.3241491086</v>
      </c>
      <c r="L70" s="73" t="str">
        <f t="shared" si="6"/>
        <v>7h 46m</v>
      </c>
      <c r="M70" s="73">
        <f t="array" ref="M70">IFERROR(INDEX(applied_prod, MATCH('食譜'!N70, ing_name, 0)), "")</f>
        <v>98.53</v>
      </c>
      <c r="N70" s="73">
        <f>IFERROR('食譜'!O70*3, "")</f>
        <v>21</v>
      </c>
      <c r="O70" s="74">
        <f t="shared" si="7"/>
        <v>4.691904762</v>
      </c>
      <c r="P70" s="75">
        <f t="shared" si="8"/>
        <v>0.2131330559</v>
      </c>
      <c r="Q70" s="73" t="str">
        <f t="shared" si="9"/>
        <v>5h 6m</v>
      </c>
      <c r="R70" s="73" t="str">
        <f t="array" ref="R70">IFERROR(INDEX(applied_prod, MATCH('食譜'!P70, ing_name, 0)), "")</f>
        <v/>
      </c>
      <c r="S70" s="73">
        <f>IFERROR('食譜'!Q70*3, "")</f>
        <v>0</v>
      </c>
      <c r="T70" s="74" t="str">
        <f t="shared" si="10"/>
        <v/>
      </c>
      <c r="U70" s="75" t="str">
        <f t="shared" si="11"/>
        <v/>
      </c>
      <c r="V70" s="73" t="str">
        <f t="shared" si="12"/>
        <v>0h 0m</v>
      </c>
      <c r="W70" s="73" t="str">
        <f t="shared" si="13"/>
        <v>20h 38m</v>
      </c>
      <c r="X70" s="75">
        <f t="shared" si="14"/>
        <v>0.8601883199</v>
      </c>
      <c r="Y70" s="73">
        <f>IFERROR('食譜'!H70, "")*3</f>
        <v>16641</v>
      </c>
      <c r="Z70" s="73">
        <f t="shared" si="15"/>
        <v>19345.76373</v>
      </c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</row>
    <row r="71" ht="47.25" customHeight="1">
      <c r="A71" s="73" t="str">
        <f>IFERROR(__xludf.DUMMYFUNCTION("""COMPUTED_VALUE"""),"")</f>
        <v/>
      </c>
      <c r="B71" s="73" t="str">
        <f>IFERROR(__xludf.DUMMYFUNCTION("""COMPUTED_VALUE"""),"大爆炸爆米花")</f>
        <v>大爆炸爆米花</v>
      </c>
      <c r="C71" s="73">
        <f t="array" ref="C71">IFERROR(INDEX(applied_prod, MATCH('食譜'!J71, ing_name, 0)), "")</f>
        <v>134.79</v>
      </c>
      <c r="D71" s="73">
        <f>IFERROR('食譜'!K71*3, "")</f>
        <v>45</v>
      </c>
      <c r="E71" s="74">
        <f t="shared" si="1"/>
        <v>2.995333333</v>
      </c>
      <c r="F71" s="75">
        <f t="shared" si="2"/>
        <v>0.3338526597</v>
      </c>
      <c r="G71" s="73" t="str">
        <f t="shared" si="3"/>
        <v>8h 0m</v>
      </c>
      <c r="H71" s="73">
        <f t="array" ref="H71">IFERROR(INDEX(applied_prod, MATCH('食譜'!L71, ing_name, 0)), "")</f>
        <v>111.06</v>
      </c>
      <c r="I71" s="73">
        <f>IFERROR('食譜'!M71*3, "")</f>
        <v>42</v>
      </c>
      <c r="J71" s="74">
        <f t="shared" si="4"/>
        <v>2.644285714</v>
      </c>
      <c r="K71" s="75">
        <f t="shared" si="5"/>
        <v>0.37817396</v>
      </c>
      <c r="L71" s="73" t="str">
        <f t="shared" si="6"/>
        <v>9h 4m</v>
      </c>
      <c r="M71" s="73">
        <f t="array" ref="M71">IFERROR(INDEX(applied_prod, MATCH('食譜'!N71, ing_name, 0)), "")</f>
        <v>161.87</v>
      </c>
      <c r="N71" s="73">
        <f>IFERROR('食譜'!O71*3, "")</f>
        <v>21</v>
      </c>
      <c r="O71" s="74">
        <f t="shared" si="7"/>
        <v>7.708095238</v>
      </c>
      <c r="P71" s="75">
        <f t="shared" si="8"/>
        <v>0.1297337369</v>
      </c>
      <c r="Q71" s="73" t="str">
        <f t="shared" si="9"/>
        <v>3h 6m</v>
      </c>
      <c r="R71" s="73" t="str">
        <f t="array" ref="R71">IFERROR(INDEX(applied_prod, MATCH('食譜'!P71, ing_name, 0)), "")</f>
        <v/>
      </c>
      <c r="S71" s="73">
        <f>IFERROR('食譜'!Q71*3, "")</f>
        <v>0</v>
      </c>
      <c r="T71" s="74" t="str">
        <f t="shared" si="10"/>
        <v/>
      </c>
      <c r="U71" s="75" t="str">
        <f t="shared" si="11"/>
        <v/>
      </c>
      <c r="V71" s="73" t="str">
        <f t="shared" si="12"/>
        <v>0h 0m</v>
      </c>
      <c r="W71" s="73" t="str">
        <f t="shared" si="13"/>
        <v>20h 12m</v>
      </c>
      <c r="X71" s="75">
        <f t="shared" si="14"/>
        <v>0.8417603567</v>
      </c>
      <c r="Y71" s="73">
        <f>IFERROR('食譜'!H71, "")*3</f>
        <v>18144</v>
      </c>
      <c r="Z71" s="73">
        <f t="shared" si="15"/>
        <v>21554.82835</v>
      </c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</row>
    <row r="72" ht="47.25" customHeight="1">
      <c r="A72" s="73" t="str">
        <f>IFERROR(__xludf.DUMMYFUNCTION("""COMPUTED_VALUE"""),"")</f>
        <v/>
      </c>
      <c r="B72" s="73" t="str">
        <f>IFERROR(__xludf.DUMMYFUNCTION("""COMPUTED_VALUE"""),"早起咖啡凍")</f>
        <v>早起咖啡凍</v>
      </c>
      <c r="C72" s="73">
        <f t="array" ref="C72">IFERROR(INDEX(applied_prod, MATCH('食譜'!J72, ing_name, 0)), "")</f>
        <v>114.19</v>
      </c>
      <c r="D72" s="73">
        <f>IFERROR('食譜'!K72*3, "")</f>
        <v>48</v>
      </c>
      <c r="E72" s="74">
        <f t="shared" si="1"/>
        <v>2.378958333</v>
      </c>
      <c r="F72" s="75">
        <f t="shared" si="2"/>
        <v>0.4203520448</v>
      </c>
      <c r="G72" s="73" t="str">
        <f t="shared" si="3"/>
        <v>10h 5m</v>
      </c>
      <c r="H72" s="73">
        <f t="array" ref="H72">IFERROR(INDEX(applied_prod, MATCH('食譜'!L72, ing_name, 0)), "")</f>
        <v>161.87</v>
      </c>
      <c r="I72" s="73">
        <f>IFERROR('食譜'!M72*3, "")</f>
        <v>42</v>
      </c>
      <c r="J72" s="74">
        <f t="shared" si="4"/>
        <v>3.854047619</v>
      </c>
      <c r="K72" s="75">
        <f t="shared" si="5"/>
        <v>0.2594674739</v>
      </c>
      <c r="L72" s="73" t="str">
        <f t="shared" si="6"/>
        <v>6h 13m</v>
      </c>
      <c r="M72" s="73">
        <f t="array" ref="M72">IFERROR(INDEX(applied_prod, MATCH('食譜'!N72, ing_name, 0)), "")</f>
        <v>156.57</v>
      </c>
      <c r="N72" s="73">
        <f>IFERROR('食譜'!O72*3, "")</f>
        <v>36</v>
      </c>
      <c r="O72" s="74">
        <f t="shared" si="7"/>
        <v>4.349166667</v>
      </c>
      <c r="P72" s="75">
        <f t="shared" si="8"/>
        <v>0.2299291052</v>
      </c>
      <c r="Q72" s="73" t="str">
        <f t="shared" si="9"/>
        <v>5h 31m</v>
      </c>
      <c r="R72" s="73" t="str">
        <f t="array" ref="R72">IFERROR(INDEX(applied_prod, MATCH('食譜'!P72, ing_name, 0)), "")</f>
        <v/>
      </c>
      <c r="S72" s="73">
        <f>IFERROR('食譜'!Q72*3, "")</f>
        <v>0</v>
      </c>
      <c r="T72" s="74" t="str">
        <f t="shared" si="10"/>
        <v/>
      </c>
      <c r="U72" s="75" t="str">
        <f t="shared" si="11"/>
        <v/>
      </c>
      <c r="V72" s="73" t="str">
        <f t="shared" si="12"/>
        <v>0h 0m</v>
      </c>
      <c r="W72" s="73" t="str">
        <f t="shared" si="13"/>
        <v>21h 50m</v>
      </c>
      <c r="X72" s="75">
        <f t="shared" si="14"/>
        <v>0.9097486239</v>
      </c>
      <c r="Y72" s="73">
        <f>IFERROR('食譜'!H72, "")*3</f>
        <v>20379</v>
      </c>
      <c r="Z72" s="73">
        <f t="shared" si="15"/>
        <v>22400.6934</v>
      </c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</row>
    <row r="73" ht="47.25" customHeight="1">
      <c r="A73" s="73" t="str">
        <f>IFERROR(__xludf.DUMMYFUNCTION("""COMPUTED_VALUE"""),"")</f>
        <v/>
      </c>
      <c r="B73" s="73" t="str">
        <f>IFERROR(__xludf.DUMMYFUNCTION("""COMPUTED_VALUE"""),"破格玉米香提拉米蘇")</f>
        <v>破格玉米香提拉米蘇</v>
      </c>
      <c r="C73" s="73">
        <f t="array" ref="C73">IFERROR(INDEX(applied_prod, MATCH('食譜'!J73, ing_name, 0)), "")</f>
        <v>134.79</v>
      </c>
      <c r="D73" s="73">
        <f>IFERROR('食譜'!K73*3, "")</f>
        <v>42</v>
      </c>
      <c r="E73" s="74">
        <f t="shared" si="1"/>
        <v>3.209285714</v>
      </c>
      <c r="F73" s="75">
        <f t="shared" si="2"/>
        <v>0.3115958157</v>
      </c>
      <c r="G73" s="73" t="str">
        <f t="shared" si="3"/>
        <v>7h 28m</v>
      </c>
      <c r="H73" s="73">
        <f t="array" ref="H73">IFERROR(INDEX(applied_prod, MATCH('食譜'!L73, ing_name, 0)), "")</f>
        <v>114.19</v>
      </c>
      <c r="I73" s="73">
        <f>IFERROR('食譜'!M73*3, "")</f>
        <v>42</v>
      </c>
      <c r="J73" s="74">
        <f t="shared" si="4"/>
        <v>2.718809524</v>
      </c>
      <c r="K73" s="75">
        <f t="shared" si="5"/>
        <v>0.3678080392</v>
      </c>
      <c r="L73" s="73" t="str">
        <f t="shared" si="6"/>
        <v>8h 49m</v>
      </c>
      <c r="M73" s="73">
        <f t="array" ref="M73">IFERROR(INDEX(applied_prod, MATCH('食譜'!N73, ing_name, 0)), "")</f>
        <v>161.87</v>
      </c>
      <c r="N73" s="73">
        <f>IFERROR('食譜'!O73*3, "")</f>
        <v>36</v>
      </c>
      <c r="O73" s="74">
        <f t="shared" si="7"/>
        <v>4.496388889</v>
      </c>
      <c r="P73" s="75">
        <f t="shared" si="8"/>
        <v>0.2224006919</v>
      </c>
      <c r="Q73" s="73" t="str">
        <f t="shared" si="9"/>
        <v>5h 20m</v>
      </c>
      <c r="R73" s="73" t="str">
        <f t="array" ref="R73">IFERROR(INDEX(applied_prod, MATCH('食譜'!P73, ing_name, 0)), "")</f>
        <v/>
      </c>
      <c r="S73" s="73">
        <f>IFERROR('食譜'!Q73*3, "")</f>
        <v>0</v>
      </c>
      <c r="T73" s="74" t="str">
        <f t="shared" si="10"/>
        <v/>
      </c>
      <c r="U73" s="75" t="str">
        <f t="shared" si="11"/>
        <v/>
      </c>
      <c r="V73" s="73" t="str">
        <f t="shared" si="12"/>
        <v>0h 0m</v>
      </c>
      <c r="W73" s="73" t="str">
        <f t="shared" si="13"/>
        <v>21h 38m</v>
      </c>
      <c r="X73" s="75">
        <f t="shared" si="14"/>
        <v>0.9018045469</v>
      </c>
      <c r="Y73" s="73">
        <f>IFERROR('食譜'!H73, "")*3</f>
        <v>21375</v>
      </c>
      <c r="Z73" s="73">
        <f t="shared" si="15"/>
        <v>23702.4753</v>
      </c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</row>
    <row r="74" ht="47.25" customHeight="1">
      <c r="A74" s="73" t="str">
        <f>IFERROR(__xludf.DUMMYFUNCTION("""COMPUTED_VALUE"""),"")</f>
        <v/>
      </c>
      <c r="B74" s="73" t="str">
        <f>IFERROR(__xludf.DUMMYFUNCTION("""COMPUTED_VALUE"""),"胖丁百匯布丁")</f>
        <v>胖丁百匯布丁</v>
      </c>
      <c r="C74" s="73">
        <f t="array" ref="C74">IFERROR(INDEX(applied_prod, MATCH('食譜'!J74, ing_name, 0)), "")</f>
        <v>156.57</v>
      </c>
      <c r="D74" s="73">
        <f>IFERROR('食譜'!K74*3, "")</f>
        <v>60</v>
      </c>
      <c r="E74" s="74">
        <f t="shared" si="1"/>
        <v>2.6095</v>
      </c>
      <c r="F74" s="75">
        <f t="shared" si="2"/>
        <v>0.3832151753</v>
      </c>
      <c r="G74" s="73" t="str">
        <f t="shared" si="3"/>
        <v>9h 11m</v>
      </c>
      <c r="H74" s="73">
        <f t="array" ref="H74">IFERROR(INDEX(applied_prod, MATCH('食譜'!L74, ing_name, 0)), "")</f>
        <v>127.29</v>
      </c>
      <c r="I74" s="73">
        <f>IFERROR('食譜'!M74*3, "")</f>
        <v>45</v>
      </c>
      <c r="J74" s="74">
        <f t="shared" si="4"/>
        <v>2.828666667</v>
      </c>
      <c r="K74" s="75">
        <f t="shared" si="5"/>
        <v>0.3535234504</v>
      </c>
      <c r="L74" s="73" t="str">
        <f t="shared" si="6"/>
        <v>8h 29m</v>
      </c>
      <c r="M74" s="73">
        <f t="array" ref="M74">IFERROR(INDEX(applied_prod, MATCH('食譜'!N74, ing_name, 0)), "")</f>
        <v>163.61</v>
      </c>
      <c r="N74" s="73">
        <f>IFERROR('食譜'!O74*3, "")</f>
        <v>30</v>
      </c>
      <c r="O74" s="74">
        <f t="shared" si="7"/>
        <v>5.453666667</v>
      </c>
      <c r="P74" s="75">
        <f t="shared" si="8"/>
        <v>0.1833628751</v>
      </c>
      <c r="Q74" s="73" t="str">
        <f t="shared" si="9"/>
        <v>4h 24m</v>
      </c>
      <c r="R74" s="73">
        <f t="array" ref="R74">IFERROR(INDEX(applied_prod, MATCH('食譜'!P74, ing_name, 0)), "")</f>
        <v>161.87</v>
      </c>
      <c r="S74" s="73">
        <f>IFERROR('食譜'!Q74*3, "")</f>
        <v>30</v>
      </c>
      <c r="T74" s="74">
        <f t="shared" si="10"/>
        <v>5.395666667</v>
      </c>
      <c r="U74" s="75">
        <f t="shared" si="11"/>
        <v>0.1853339099</v>
      </c>
      <c r="V74" s="73" t="str">
        <f t="shared" si="12"/>
        <v>4h 26m</v>
      </c>
      <c r="W74" s="73" t="str">
        <f t="shared" si="13"/>
        <v>26h 31m</v>
      </c>
      <c r="X74" s="75">
        <f t="shared" si="14"/>
        <v>1.105435411</v>
      </c>
      <c r="Y74" s="73">
        <f>IFERROR('食譜'!H74, "")*3</f>
        <v>22782</v>
      </c>
      <c r="Z74" s="73">
        <f t="shared" si="15"/>
        <v>20609.07383</v>
      </c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</row>
    <row r="75" ht="47.25" customHeight="1">
      <c r="A75" s="73" t="str">
        <f>IFERROR(__xludf.DUMMYFUNCTION("""COMPUTED_VALUE"""),"")</f>
        <v/>
      </c>
      <c r="B75" s="73" t="str">
        <f>IFERROR(__xludf.DUMMYFUNCTION("""COMPUTED_VALUE"""),"青草攪拌器冰沙")</f>
        <v>青草攪拌器冰沙</v>
      </c>
      <c r="C75" s="73">
        <f t="array" ref="C75">IFERROR(INDEX(applied_prod, MATCH('食譜'!J75, ing_name, 0)), "")</f>
        <v>105.63</v>
      </c>
      <c r="D75" s="73">
        <f>IFERROR('食譜'!K75*3, "")</f>
        <v>54</v>
      </c>
      <c r="E75" s="74">
        <f t="shared" si="1"/>
        <v>1.956111111</v>
      </c>
      <c r="F75" s="75">
        <f t="shared" si="2"/>
        <v>0.5112184039</v>
      </c>
      <c r="G75" s="73" t="str">
        <f t="shared" si="3"/>
        <v>12h 16m</v>
      </c>
      <c r="H75" s="73">
        <f t="array" ref="H75">IFERROR(INDEX(applied_prod, MATCH('食譜'!L75, ing_name, 0)), "")</f>
        <v>137.56</v>
      </c>
      <c r="I75" s="73">
        <f>IFERROR('食譜'!M75*3, "")</f>
        <v>48</v>
      </c>
      <c r="J75" s="74">
        <f t="shared" si="4"/>
        <v>2.865833333</v>
      </c>
      <c r="K75" s="75">
        <f t="shared" si="5"/>
        <v>0.348938645</v>
      </c>
      <c r="L75" s="73" t="str">
        <f t="shared" si="6"/>
        <v>8h 22m</v>
      </c>
      <c r="M75" s="73">
        <f t="array" ref="M75">IFERROR(INDEX(applied_prod, MATCH('食譜'!N75, ing_name, 0)), "")</f>
        <v>161.87</v>
      </c>
      <c r="N75" s="73">
        <f>IFERROR('食譜'!O75*3, "")</f>
        <v>42</v>
      </c>
      <c r="O75" s="74">
        <f t="shared" si="7"/>
        <v>3.854047619</v>
      </c>
      <c r="P75" s="75">
        <f t="shared" si="8"/>
        <v>0.2594674739</v>
      </c>
      <c r="Q75" s="73" t="str">
        <f t="shared" si="9"/>
        <v>6h 13m</v>
      </c>
      <c r="R75" s="73" t="str">
        <f t="array" ref="R75">IFERROR(INDEX(applied_prod, MATCH('食譜'!P75, ing_name, 0)), "")</f>
        <v/>
      </c>
      <c r="S75" s="73">
        <f>IFERROR('食譜'!Q75*3, "")</f>
        <v>0</v>
      </c>
      <c r="T75" s="74" t="str">
        <f t="shared" si="10"/>
        <v/>
      </c>
      <c r="U75" s="75" t="str">
        <f t="shared" si="11"/>
        <v/>
      </c>
      <c r="V75" s="73" t="str">
        <f t="shared" si="12"/>
        <v>0h 0m</v>
      </c>
      <c r="W75" s="73" t="str">
        <f t="shared" si="13"/>
        <v>26h 52m</v>
      </c>
      <c r="X75" s="75">
        <f t="shared" si="14"/>
        <v>1.119624523</v>
      </c>
      <c r="Y75" s="73">
        <f>IFERROR('食譜'!H75, "")*3</f>
        <v>24495</v>
      </c>
      <c r="Z75" s="73">
        <f t="shared" si="15"/>
        <v>21877.87022</v>
      </c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</row>
    <row r="76" ht="47.25" customHeight="1">
      <c r="A76" s="73" t="str">
        <f>IFERROR(__xludf.DUMMYFUNCTION("""COMPUTED_VALUE"""),"")</f>
        <v/>
      </c>
      <c r="B76" s="73" t="str">
        <f>IFERROR(__xludf.DUMMYFUNCTION("""COMPUTED_VALUE"""),"茶會玉米司康")</f>
        <v>茶會玉米司康</v>
      </c>
      <c r="C76" s="73">
        <f t="array" ref="C76">IFERROR(INDEX(applied_prod, MATCH('食譜'!J76, ing_name, 0)), "")</f>
        <v>163.61</v>
      </c>
      <c r="D76" s="73">
        <f>IFERROR('食譜'!K76*3, "")</f>
        <v>60</v>
      </c>
      <c r="E76" s="74">
        <f t="shared" si="1"/>
        <v>2.726833333</v>
      </c>
      <c r="F76" s="75">
        <f t="shared" si="2"/>
        <v>0.3667257503</v>
      </c>
      <c r="G76" s="73" t="str">
        <f t="shared" si="3"/>
        <v>8h 48m</v>
      </c>
      <c r="H76" s="73">
        <f t="array" ref="H76">IFERROR(INDEX(applied_prod, MATCH('食譜'!L76, ing_name, 0)), "")</f>
        <v>162.39</v>
      </c>
      <c r="I76" s="73">
        <f>IFERROR('食譜'!M76*3, "")</f>
        <v>60</v>
      </c>
      <c r="J76" s="74">
        <f t="shared" si="4"/>
        <v>2.7065</v>
      </c>
      <c r="K76" s="75">
        <f t="shared" si="5"/>
        <v>0.3694808794</v>
      </c>
      <c r="L76" s="73" t="str">
        <f t="shared" si="6"/>
        <v>8h 52m</v>
      </c>
      <c r="M76" s="73">
        <f t="array" ref="M76">IFERROR(INDEX(applied_prod, MATCH('食譜'!N76, ing_name, 0)), "")</f>
        <v>134.79</v>
      </c>
      <c r="N76" s="73">
        <f>IFERROR('食譜'!O76*3, "")</f>
        <v>54</v>
      </c>
      <c r="O76" s="74">
        <f t="shared" si="7"/>
        <v>2.496111111</v>
      </c>
      <c r="P76" s="75">
        <f t="shared" si="8"/>
        <v>0.4006231916</v>
      </c>
      <c r="Q76" s="73" t="str">
        <f t="shared" si="9"/>
        <v>9h 36m</v>
      </c>
      <c r="R76" s="73">
        <f t="array" ref="R76">IFERROR(INDEX(applied_prod, MATCH('食譜'!P76, ing_name, 0)), "")</f>
        <v>161.87</v>
      </c>
      <c r="S76" s="73">
        <f>IFERROR('食譜'!Q76*3, "")</f>
        <v>27</v>
      </c>
      <c r="T76" s="74">
        <f t="shared" si="10"/>
        <v>5.995185185</v>
      </c>
      <c r="U76" s="75">
        <f t="shared" si="11"/>
        <v>0.1668005189</v>
      </c>
      <c r="V76" s="73" t="str">
        <f t="shared" si="12"/>
        <v>4h 0m</v>
      </c>
      <c r="W76" s="73" t="str">
        <f t="shared" si="13"/>
        <v>31h 17m</v>
      </c>
      <c r="X76" s="75">
        <f t="shared" si="14"/>
        <v>1.30363034</v>
      </c>
      <c r="Y76" s="73">
        <f>IFERROR('食譜'!H76, "")*3</f>
        <v>32775</v>
      </c>
      <c r="Z76" s="73">
        <f t="shared" si="15"/>
        <v>25141.32955</v>
      </c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</row>
    <row r="77" ht="47.25" customHeight="1">
      <c r="A77" s="73" t="str">
        <f>IFERROR(__xludf.DUMMYFUNCTION("""COMPUTED_VALUE"""),"")</f>
        <v/>
      </c>
      <c r="B77" s="73" t="str">
        <f>IFERROR(__xludf.DUMMYFUNCTION("""COMPUTED_VALUE"""),"花之禮馬卡龍")</f>
        <v>花之禮馬卡龍</v>
      </c>
      <c r="C77" s="73">
        <f t="array" ref="C77">IFERROR(INDEX(applied_prod, MATCH('食譜'!J77, ing_name, 0)), "")</f>
        <v>98.53</v>
      </c>
      <c r="D77" s="73">
        <f>IFERROR('食譜'!K77*3, "")</f>
        <v>75</v>
      </c>
      <c r="E77" s="74">
        <f t="shared" si="1"/>
        <v>1.313733333</v>
      </c>
      <c r="F77" s="75">
        <f t="shared" si="2"/>
        <v>0.7611894854</v>
      </c>
      <c r="G77" s="73" t="str">
        <f t="shared" si="3"/>
        <v>18h 16m</v>
      </c>
      <c r="H77" s="73">
        <f t="array" ref="H77">IFERROR(INDEX(applied_prod, MATCH('食譜'!L77, ing_name, 0)), "")</f>
        <v>127.29</v>
      </c>
      <c r="I77" s="73">
        <f>IFERROR('食譜'!M77*3, "")</f>
        <v>75</v>
      </c>
      <c r="J77" s="74">
        <f t="shared" si="4"/>
        <v>1.6972</v>
      </c>
      <c r="K77" s="75">
        <f t="shared" si="5"/>
        <v>0.5892057506</v>
      </c>
      <c r="L77" s="73" t="str">
        <f t="shared" si="6"/>
        <v>14h 8m</v>
      </c>
      <c r="M77" s="73">
        <f t="array" ref="M77">IFERROR(INDEX(applied_prod, MATCH('食譜'!N77, ing_name, 0)), "")</f>
        <v>156.57</v>
      </c>
      <c r="N77" s="73">
        <f>IFERROR('食譜'!O77*3, "")</f>
        <v>51</v>
      </c>
      <c r="O77" s="74">
        <f t="shared" si="7"/>
        <v>3.07</v>
      </c>
      <c r="P77" s="75">
        <f t="shared" si="8"/>
        <v>0.325732899</v>
      </c>
      <c r="Q77" s="73" t="str">
        <f t="shared" si="9"/>
        <v>7h 49m</v>
      </c>
      <c r="R77" s="73">
        <f t="array" ref="R77">IFERROR(INDEX(applied_prod, MATCH('食譜'!P77, ing_name, 0)), "")</f>
        <v>161.87</v>
      </c>
      <c r="S77" s="73">
        <f>IFERROR('食譜'!Q77*3, "")</f>
        <v>30</v>
      </c>
      <c r="T77" s="74">
        <f t="shared" si="10"/>
        <v>5.395666667</v>
      </c>
      <c r="U77" s="75">
        <f t="shared" si="11"/>
        <v>0.1853339099</v>
      </c>
      <c r="V77" s="73" t="str">
        <f t="shared" si="12"/>
        <v>4h 26m</v>
      </c>
      <c r="W77" s="73" t="str">
        <f t="shared" si="13"/>
        <v>44h 40m</v>
      </c>
      <c r="X77" s="75">
        <f t="shared" si="14"/>
        <v>1.861462045</v>
      </c>
      <c r="Y77" s="73">
        <f>IFERROR('食譜'!H77, "")*3</f>
        <v>41502</v>
      </c>
      <c r="Z77" s="73">
        <f t="shared" si="15"/>
        <v>22295.37804</v>
      </c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</row>
    <row r="78" ht="47.25" customHeight="1">
      <c r="A78" s="73" t="str">
        <f>IFERROR(__xludf.DUMMYFUNCTION("""COMPUTED_VALUE"""),"")</f>
        <v/>
      </c>
      <c r="B78" s="73" t="str">
        <f>IFERROR(__xludf.DUMMYFUNCTION("""COMPUTED_VALUE"""),"電光香料可樂")</f>
        <v>電光香料可樂</v>
      </c>
      <c r="C78" s="73">
        <f t="array" ref="C78">IFERROR(INDEX(applied_prod, MATCH('食譜'!J78, ing_name, 0)), "")</f>
        <v>163.61</v>
      </c>
      <c r="D78" s="73">
        <f>IFERROR('食譜'!K78*3, "")</f>
        <v>105</v>
      </c>
      <c r="E78" s="74">
        <f t="shared" si="1"/>
        <v>1.558190476</v>
      </c>
      <c r="F78" s="75">
        <f t="shared" si="2"/>
        <v>0.641770063</v>
      </c>
      <c r="G78" s="73" t="str">
        <f t="shared" si="3"/>
        <v>15h 24m</v>
      </c>
      <c r="H78" s="73">
        <f t="array" ref="H78">IFERROR(INDEX(applied_prod, MATCH('食譜'!L78, ing_name, 0)), "")</f>
        <v>162.39</v>
      </c>
      <c r="I78" s="73">
        <f>IFERROR('食譜'!M78*3, "")</f>
        <v>60</v>
      </c>
      <c r="J78" s="74">
        <f t="shared" si="4"/>
        <v>2.7065</v>
      </c>
      <c r="K78" s="75">
        <f t="shared" si="5"/>
        <v>0.3694808794</v>
      </c>
      <c r="L78" s="73" t="str">
        <f t="shared" si="6"/>
        <v>8h 52m</v>
      </c>
      <c r="M78" s="73">
        <f t="array" ref="M78">IFERROR(INDEX(applied_prod, MATCH('食譜'!N78, ing_name, 0)), "")</f>
        <v>87.81</v>
      </c>
      <c r="N78" s="73">
        <f>IFERROR('食譜'!O78*3, "")</f>
        <v>60</v>
      </c>
      <c r="O78" s="74">
        <f t="shared" si="7"/>
        <v>1.4635</v>
      </c>
      <c r="P78" s="75">
        <f t="shared" si="8"/>
        <v>0.6832934745</v>
      </c>
      <c r="Q78" s="73" t="str">
        <f t="shared" si="9"/>
        <v>16h 23m</v>
      </c>
      <c r="R78" s="73">
        <f t="array" ref="R78">IFERROR(INDEX(applied_prod, MATCH('食譜'!P78, ing_name, 0)), "")</f>
        <v>114.19</v>
      </c>
      <c r="S78" s="73">
        <f>IFERROR('食譜'!Q78*3, "")</f>
        <v>36</v>
      </c>
      <c r="T78" s="74">
        <f t="shared" si="10"/>
        <v>3.171944444</v>
      </c>
      <c r="U78" s="75">
        <f t="shared" si="11"/>
        <v>0.3152640336</v>
      </c>
      <c r="V78" s="73" t="str">
        <f t="shared" si="12"/>
        <v>7h 33m</v>
      </c>
      <c r="W78" s="73" t="str">
        <f t="shared" si="13"/>
        <v>48h 14m</v>
      </c>
      <c r="X78" s="75">
        <f t="shared" si="14"/>
        <v>2.00980845</v>
      </c>
      <c r="Y78" s="73">
        <f>IFERROR('食譜'!H78, "")*3</f>
        <v>52482</v>
      </c>
      <c r="Z78" s="73">
        <f t="shared" si="15"/>
        <v>26112.93628</v>
      </c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</row>
    <row r="79" ht="47.25" customHeight="1">
      <c r="A79" s="73" t="str">
        <f>IFERROR(__xludf.DUMMYFUNCTION("""COMPUTED_VALUE"""),"")</f>
        <v/>
      </c>
      <c r="B79" s="73" t="str">
        <f>IFERROR(__xludf.DUMMYFUNCTION("""COMPUTED_VALUE"""),"土王閃電泡芙")</f>
        <v>土王閃電泡芙</v>
      </c>
      <c r="C79" s="73">
        <f t="array" ref="C79">IFERROR(INDEX(applied_prod, MATCH('食譜'!J79, ing_name, 0)), "")</f>
        <v>98.53</v>
      </c>
      <c r="D79" s="73">
        <f>IFERROR('食譜'!K79*3, "")</f>
        <v>90</v>
      </c>
      <c r="E79" s="74">
        <f t="shared" si="1"/>
        <v>1.094777778</v>
      </c>
      <c r="F79" s="75">
        <f t="shared" si="2"/>
        <v>0.9134273825</v>
      </c>
      <c r="G79" s="73" t="str">
        <f t="shared" si="3"/>
        <v>21h 55m</v>
      </c>
      <c r="H79" s="73">
        <f t="array" ref="H79">IFERROR(INDEX(applied_prod, MATCH('食譜'!L79, ing_name, 0)), "")</f>
        <v>161.87</v>
      </c>
      <c r="I79" s="73">
        <f>IFERROR('食譜'!M79*3, "")</f>
        <v>78</v>
      </c>
      <c r="J79" s="74">
        <f t="shared" si="4"/>
        <v>2.07525641</v>
      </c>
      <c r="K79" s="75">
        <f t="shared" si="5"/>
        <v>0.4818681658</v>
      </c>
      <c r="L79" s="73" t="str">
        <f t="shared" si="6"/>
        <v>11h 33m</v>
      </c>
      <c r="M79" s="73">
        <f t="array" ref="M79">IFERROR(INDEX(applied_prod, MATCH('食譜'!N79, ing_name, 0)), "")</f>
        <v>114.19</v>
      </c>
      <c r="N79" s="73">
        <f>IFERROR('食譜'!O79*3, "")</f>
        <v>72</v>
      </c>
      <c r="O79" s="74">
        <f t="shared" si="7"/>
        <v>1.585972222</v>
      </c>
      <c r="P79" s="75">
        <f t="shared" si="8"/>
        <v>0.6305280673</v>
      </c>
      <c r="Q79" s="73" t="str">
        <f t="shared" si="9"/>
        <v>15h 7m</v>
      </c>
      <c r="R79" s="73">
        <f t="array" ref="R79">IFERROR(INDEX(applied_prod, MATCH('食譜'!P79, ing_name, 0)), "")</f>
        <v>156.57</v>
      </c>
      <c r="S79" s="73">
        <f>IFERROR('食譜'!Q79*3, "")</f>
        <v>66</v>
      </c>
      <c r="T79" s="74">
        <f t="shared" si="10"/>
        <v>2.372272727</v>
      </c>
      <c r="U79" s="75">
        <f t="shared" si="11"/>
        <v>0.4215366929</v>
      </c>
      <c r="V79" s="73" t="str">
        <f t="shared" si="12"/>
        <v>10h 7m</v>
      </c>
      <c r="W79" s="73" t="str">
        <f t="shared" si="13"/>
        <v>58h 44m</v>
      </c>
      <c r="X79" s="75">
        <f t="shared" si="14"/>
        <v>2.447360308</v>
      </c>
      <c r="Y79" s="73">
        <f>IFERROR('食譜'!H79, "")*3</f>
        <v>62655</v>
      </c>
      <c r="Z79" s="73">
        <f t="shared" si="15"/>
        <v>25601.05261</v>
      </c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</row>
    <row r="80" ht="47.25" customHeight="1">
      <c r="A80" s="73" t="str">
        <f>IFERROR(__xludf.DUMMYFUNCTION("""COMPUTED_VALUE"""),"")</f>
        <v/>
      </c>
      <c r="B80" s="73" t="str">
        <f>IFERROR(__xludf.DUMMYFUNCTION("""COMPUTED_VALUE"""),"心跳加速鬼面鬆餅")</f>
        <v>心跳加速鬼面鬆餅</v>
      </c>
      <c r="C80" s="73">
        <f t="array" ref="C80">IFERROR(INDEX(applied_prod, MATCH('食譜'!J80, ing_name, 0)), "")</f>
        <v>63.05</v>
      </c>
      <c r="D80" s="73">
        <f>IFERROR('食譜'!K80*3, "")</f>
        <v>54</v>
      </c>
      <c r="E80" s="74">
        <f t="shared" si="1"/>
        <v>1.167592593</v>
      </c>
      <c r="F80" s="75">
        <f t="shared" si="2"/>
        <v>0.8564631245</v>
      </c>
      <c r="G80" s="73" t="str">
        <f t="shared" si="3"/>
        <v>20h 33m</v>
      </c>
      <c r="H80" s="73">
        <f t="array" ref="H80">IFERROR(INDEX(applied_prod, MATCH('食譜'!L80, ing_name, 0)), "")</f>
        <v>127.29</v>
      </c>
      <c r="I80" s="73">
        <f>IFERROR('食譜'!M80*3, "")</f>
        <v>72</v>
      </c>
      <c r="J80" s="74">
        <f t="shared" si="4"/>
        <v>1.767916667</v>
      </c>
      <c r="K80" s="75">
        <f t="shared" si="5"/>
        <v>0.5656375206</v>
      </c>
      <c r="L80" s="73" t="str">
        <f t="shared" si="6"/>
        <v>13h 34m</v>
      </c>
      <c r="M80" s="73">
        <f t="array" ref="M80">IFERROR(INDEX(applied_prod, MATCH('食譜'!N80, ing_name, 0)), "")</f>
        <v>156.57</v>
      </c>
      <c r="N80" s="73">
        <f>IFERROR('食譜'!O80*3, "")</f>
        <v>96</v>
      </c>
      <c r="O80" s="74">
        <f t="shared" si="7"/>
        <v>1.6309375</v>
      </c>
      <c r="P80" s="75">
        <f t="shared" si="8"/>
        <v>0.6131442805</v>
      </c>
      <c r="Q80" s="73" t="str">
        <f t="shared" si="9"/>
        <v>14h 42m</v>
      </c>
      <c r="R80" s="73">
        <f t="array" ref="R80">IFERROR(INDEX(applied_prod, MATCH('食譜'!P80, ing_name, 0)), "")</f>
        <v>137.56</v>
      </c>
      <c r="S80" s="73">
        <f>IFERROR('食譜'!Q80*3, "")</f>
        <v>87</v>
      </c>
      <c r="T80" s="74">
        <f t="shared" si="10"/>
        <v>1.581149425</v>
      </c>
      <c r="U80" s="75">
        <f t="shared" si="11"/>
        <v>0.632451294</v>
      </c>
      <c r="V80" s="73" t="str">
        <f t="shared" si="12"/>
        <v>15h 10m</v>
      </c>
      <c r="W80" s="73" t="str">
        <f t="shared" si="13"/>
        <v>64h 1m</v>
      </c>
      <c r="X80" s="75">
        <f t="shared" si="14"/>
        <v>2.66769622</v>
      </c>
      <c r="Y80" s="73">
        <f>IFERROR('食譜'!H80, "")*3</f>
        <v>73062</v>
      </c>
      <c r="Z80" s="73">
        <f t="shared" si="15"/>
        <v>27387.6761</v>
      </c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</row>
    <row r="81" ht="47.25" customHeight="1">
      <c r="A81" s="73" t="str">
        <f>IFERROR(__xludf.DUMMYFUNCTION("""COMPUTED_VALUE"""),"")</f>
        <v/>
      </c>
      <c r="B81" s="73" t="str">
        <f>IFERROR(__xludf.DUMMYFUNCTION("""COMPUTED_VALUE"""),"採蜜巧克力格子鬆餅")</f>
        <v>採蜜巧克力格子鬆餅</v>
      </c>
      <c r="C81" s="73">
        <f t="array" ref="C81">IFERROR(INDEX(applied_prod, MATCH('食譜'!J81, ing_name, 0)), "")</f>
        <v>156.57</v>
      </c>
      <c r="D81" s="73">
        <f>IFERROR('食譜'!K81*3, "")</f>
        <v>114</v>
      </c>
      <c r="E81" s="74">
        <f t="shared" si="1"/>
        <v>1.373421053</v>
      </c>
      <c r="F81" s="75">
        <f t="shared" si="2"/>
        <v>0.7281088331</v>
      </c>
      <c r="G81" s="73" t="str">
        <f t="shared" si="3"/>
        <v>17h 28m</v>
      </c>
      <c r="H81" s="73">
        <f t="array" ref="H81">IFERROR(INDEX(applied_prod, MATCH('食譜'!L81, ing_name, 0)), "")</f>
        <v>134.79</v>
      </c>
      <c r="I81" s="73">
        <f>IFERROR('食譜'!M81*3, "")</f>
        <v>84</v>
      </c>
      <c r="J81" s="74">
        <f t="shared" si="4"/>
        <v>1.604642857</v>
      </c>
      <c r="K81" s="75">
        <f t="shared" si="5"/>
        <v>0.6231916314</v>
      </c>
      <c r="L81" s="73" t="str">
        <f t="shared" si="6"/>
        <v>14h 57m</v>
      </c>
      <c r="M81" s="73">
        <f t="array" ref="M81">IFERROR(INDEX(applied_prod, MATCH('食譜'!N81, ing_name, 0)), "")</f>
        <v>111.06</v>
      </c>
      <c r="N81" s="73">
        <f>IFERROR('食譜'!O81*3, "")</f>
        <v>84</v>
      </c>
      <c r="O81" s="74">
        <f t="shared" si="7"/>
        <v>1.322142857</v>
      </c>
      <c r="P81" s="75">
        <f t="shared" si="8"/>
        <v>0.75634792</v>
      </c>
      <c r="Q81" s="73" t="str">
        <f t="shared" si="9"/>
        <v>18h 9m</v>
      </c>
      <c r="R81" s="73">
        <f t="array" ref="R81">IFERROR(INDEX(applied_prod, MATCH('食譜'!P81, ing_name, 0)), "")</f>
        <v>98.53</v>
      </c>
      <c r="S81" s="73">
        <f>IFERROR('食譜'!Q81*3, "")</f>
        <v>63</v>
      </c>
      <c r="T81" s="74">
        <f t="shared" si="10"/>
        <v>1.563968254</v>
      </c>
      <c r="U81" s="75">
        <f t="shared" si="11"/>
        <v>0.6393991678</v>
      </c>
      <c r="V81" s="73" t="str">
        <f t="shared" si="12"/>
        <v>15h 20m</v>
      </c>
      <c r="W81" s="73" t="str">
        <f t="shared" si="13"/>
        <v>65h 55m</v>
      </c>
      <c r="X81" s="75">
        <f t="shared" si="14"/>
        <v>2.747047552</v>
      </c>
      <c r="Y81" s="73">
        <f>IFERROR('食譜'!H81, "")*3</f>
        <v>76452</v>
      </c>
      <c r="Z81" s="73">
        <f t="shared" si="15"/>
        <v>27830.60669</v>
      </c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</row>
    <row r="82" ht="47.25" customHeight="1">
      <c r="A82" s="73"/>
      <c r="B82" s="73"/>
      <c r="C82" s="73" t="str">
        <f t="array" ref="C82">IFERROR(INDEX(applied_prod, MATCH('食譜'!J82, ing_name, 0)), "")</f>
        <v/>
      </c>
      <c r="D82" s="73">
        <f>IFERROR('食譜'!K82*3, "")</f>
        <v>0</v>
      </c>
      <c r="E82" s="74" t="str">
        <f t="shared" si="1"/>
        <v/>
      </c>
      <c r="F82" s="75" t="str">
        <f t="shared" si="2"/>
        <v/>
      </c>
      <c r="G82" s="73" t="str">
        <f t="shared" si="3"/>
        <v>0h 0m</v>
      </c>
      <c r="H82" s="73" t="str">
        <f t="array" ref="H82">IFERROR(INDEX(applied_prod, MATCH('食譜'!L82, ing_name, 0)), "")</f>
        <v/>
      </c>
      <c r="I82" s="73">
        <f>IFERROR('食譜'!M82*3, "")</f>
        <v>0</v>
      </c>
      <c r="J82" s="74" t="str">
        <f t="shared" si="4"/>
        <v/>
      </c>
      <c r="K82" s="75" t="str">
        <f t="shared" si="5"/>
        <v/>
      </c>
      <c r="L82" s="73" t="str">
        <f t="shared" si="6"/>
        <v>0h 0m</v>
      </c>
      <c r="M82" s="73" t="str">
        <f t="array" ref="M82">IFERROR(INDEX(applied_prod, MATCH('食譜'!N82, ing_name, 0)), "")</f>
        <v/>
      </c>
      <c r="N82" s="73">
        <f>IFERROR('食譜'!O82*3, "")</f>
        <v>0</v>
      </c>
      <c r="O82" s="74" t="str">
        <f t="shared" si="7"/>
        <v/>
      </c>
      <c r="P82" s="75" t="str">
        <f t="shared" si="8"/>
        <v/>
      </c>
      <c r="Q82" s="73" t="str">
        <f t="shared" si="9"/>
        <v>0h 0m</v>
      </c>
      <c r="R82" s="73" t="str">
        <f t="array" ref="R82">IFERROR(INDEX(applied_prod, MATCH('食譜'!P82, ing_name, 0)), "")</f>
        <v/>
      </c>
      <c r="S82" s="73">
        <f>IFERROR('食譜'!Q82*3, "")</f>
        <v>0</v>
      </c>
      <c r="T82" s="74" t="str">
        <f t="shared" si="10"/>
        <v/>
      </c>
      <c r="U82" s="75" t="str">
        <f t="shared" si="11"/>
        <v/>
      </c>
      <c r="V82" s="73" t="str">
        <f t="shared" si="12"/>
        <v>0h 0m</v>
      </c>
      <c r="W82" s="73" t="str">
        <f t="shared" si="13"/>
        <v>0h 0m</v>
      </c>
      <c r="X82" s="75">
        <f t="shared" si="14"/>
        <v>0</v>
      </c>
      <c r="Y82" s="73">
        <f>IFERROR('食譜'!H82, "")*3</f>
        <v>0</v>
      </c>
      <c r="Z82" s="73" t="str">
        <f t="shared" si="15"/>
        <v/>
      </c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</row>
    <row r="83" ht="47.25" customHeight="1">
      <c r="A83" s="73"/>
      <c r="B83" s="73"/>
      <c r="C83" s="73" t="str">
        <f t="array" ref="C83">IFERROR(INDEX(applied_prod, MATCH('食譜'!J83, ing_name, 0)), "")</f>
        <v/>
      </c>
      <c r="D83" s="73">
        <f>IFERROR('食譜'!K83*3, "")</f>
        <v>0</v>
      </c>
      <c r="E83" s="74" t="str">
        <f t="shared" si="1"/>
        <v/>
      </c>
      <c r="F83" s="75" t="str">
        <f t="shared" si="2"/>
        <v/>
      </c>
      <c r="G83" s="73" t="str">
        <f t="shared" si="3"/>
        <v>0h 0m</v>
      </c>
      <c r="H83" s="73" t="str">
        <f t="array" ref="H83">IFERROR(INDEX(applied_prod, MATCH('食譜'!L83, ing_name, 0)), "")</f>
        <v/>
      </c>
      <c r="I83" s="73">
        <f>IFERROR('食譜'!M83*3, "")</f>
        <v>0</v>
      </c>
      <c r="J83" s="74" t="str">
        <f t="shared" si="4"/>
        <v/>
      </c>
      <c r="K83" s="75" t="str">
        <f t="shared" si="5"/>
        <v/>
      </c>
      <c r="L83" s="73" t="str">
        <f t="shared" si="6"/>
        <v>0h 0m</v>
      </c>
      <c r="M83" s="73" t="str">
        <f t="array" ref="M83">IFERROR(INDEX(applied_prod, MATCH('食譜'!N83, ing_name, 0)), "")</f>
        <v/>
      </c>
      <c r="N83" s="73">
        <f>IFERROR('食譜'!O83*3, "")</f>
        <v>0</v>
      </c>
      <c r="O83" s="74" t="str">
        <f t="shared" si="7"/>
        <v/>
      </c>
      <c r="P83" s="75" t="str">
        <f t="shared" si="8"/>
        <v/>
      </c>
      <c r="Q83" s="73" t="str">
        <f t="shared" si="9"/>
        <v>0h 0m</v>
      </c>
      <c r="R83" s="73" t="str">
        <f t="array" ref="R83">IFERROR(INDEX(applied_prod, MATCH('食譜'!P83, ing_name, 0)), "")</f>
        <v/>
      </c>
      <c r="S83" s="73">
        <f>IFERROR('食譜'!Q83*3, "")</f>
        <v>0</v>
      </c>
      <c r="T83" s="74" t="str">
        <f t="shared" si="10"/>
        <v/>
      </c>
      <c r="U83" s="75" t="str">
        <f t="shared" si="11"/>
        <v/>
      </c>
      <c r="V83" s="73" t="str">
        <f t="shared" si="12"/>
        <v>0h 0m</v>
      </c>
      <c r="W83" s="73" t="str">
        <f t="shared" si="13"/>
        <v>0h 0m</v>
      </c>
      <c r="X83" s="75">
        <f t="shared" si="14"/>
        <v>0</v>
      </c>
      <c r="Y83" s="73">
        <f>IFERROR('食譜'!H83, "")*3</f>
        <v>0</v>
      </c>
      <c r="Z83" s="73" t="str">
        <f t="shared" si="15"/>
        <v/>
      </c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</row>
    <row r="84" ht="47.25" customHeight="1">
      <c r="A84" s="73"/>
      <c r="B84" s="73"/>
      <c r="C84" s="73" t="str">
        <f t="array" ref="C84">IFERROR(INDEX(applied_prod, MATCH('食譜'!J84, ing_name, 0)), "")</f>
        <v/>
      </c>
      <c r="D84" s="73">
        <f>IFERROR('食譜'!K84*3, "")</f>
        <v>0</v>
      </c>
      <c r="E84" s="74" t="str">
        <f t="shared" si="1"/>
        <v/>
      </c>
      <c r="F84" s="75" t="str">
        <f t="shared" si="2"/>
        <v/>
      </c>
      <c r="G84" s="73" t="str">
        <f t="shared" si="3"/>
        <v>0h 0m</v>
      </c>
      <c r="H84" s="73" t="str">
        <f t="array" ref="H84">IFERROR(INDEX(applied_prod, MATCH('食譜'!L84, ing_name, 0)), "")</f>
        <v/>
      </c>
      <c r="I84" s="73">
        <f>IFERROR('食譜'!M84*3, "")</f>
        <v>0</v>
      </c>
      <c r="J84" s="74" t="str">
        <f t="shared" si="4"/>
        <v/>
      </c>
      <c r="K84" s="75" t="str">
        <f t="shared" si="5"/>
        <v/>
      </c>
      <c r="L84" s="73" t="str">
        <f t="shared" si="6"/>
        <v>0h 0m</v>
      </c>
      <c r="M84" s="73" t="str">
        <f t="array" ref="M84">IFERROR(INDEX(applied_prod, MATCH('食譜'!N84, ing_name, 0)), "")</f>
        <v/>
      </c>
      <c r="N84" s="73">
        <f>IFERROR('食譜'!O84*3, "")</f>
        <v>0</v>
      </c>
      <c r="O84" s="74" t="str">
        <f t="shared" si="7"/>
        <v/>
      </c>
      <c r="P84" s="75" t="str">
        <f t="shared" si="8"/>
        <v/>
      </c>
      <c r="Q84" s="73" t="str">
        <f t="shared" si="9"/>
        <v>0h 0m</v>
      </c>
      <c r="R84" s="73" t="str">
        <f t="array" ref="R84">IFERROR(INDEX(applied_prod, MATCH('食譜'!P84, ing_name, 0)), "")</f>
        <v/>
      </c>
      <c r="S84" s="73">
        <f>IFERROR('食譜'!Q84*3, "")</f>
        <v>0</v>
      </c>
      <c r="T84" s="74" t="str">
        <f t="shared" si="10"/>
        <v/>
      </c>
      <c r="U84" s="75" t="str">
        <f t="shared" si="11"/>
        <v/>
      </c>
      <c r="V84" s="73" t="str">
        <f t="shared" si="12"/>
        <v>0h 0m</v>
      </c>
      <c r="W84" s="73" t="str">
        <f t="shared" si="13"/>
        <v>0h 0m</v>
      </c>
      <c r="X84" s="75">
        <f t="shared" si="14"/>
        <v>0</v>
      </c>
      <c r="Y84" s="73">
        <f>IFERROR('食譜'!H84, "")*3</f>
        <v>0</v>
      </c>
      <c r="Z84" s="73" t="str">
        <f t="shared" si="15"/>
        <v/>
      </c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</row>
    <row r="85" ht="47.25" customHeight="1">
      <c r="A85" s="73"/>
      <c r="B85" s="73"/>
      <c r="C85" s="73" t="str">
        <f t="array" ref="C85">IFERROR(INDEX(applied_prod, MATCH('食譜'!J85, ing_name, 0)), "")</f>
        <v/>
      </c>
      <c r="D85" s="73">
        <f>IFERROR('食譜'!K85*3, "")</f>
        <v>0</v>
      </c>
      <c r="E85" s="74" t="str">
        <f t="shared" si="1"/>
        <v/>
      </c>
      <c r="F85" s="75" t="str">
        <f t="shared" si="2"/>
        <v/>
      </c>
      <c r="G85" s="73" t="str">
        <f t="shared" si="3"/>
        <v>0h 0m</v>
      </c>
      <c r="H85" s="73" t="str">
        <f t="array" ref="H85">IFERROR(INDEX(applied_prod, MATCH('食譜'!L85, ing_name, 0)), "")</f>
        <v/>
      </c>
      <c r="I85" s="73">
        <f>IFERROR('食譜'!M85*3, "")</f>
        <v>0</v>
      </c>
      <c r="J85" s="74" t="str">
        <f t="shared" si="4"/>
        <v/>
      </c>
      <c r="K85" s="75" t="str">
        <f t="shared" si="5"/>
        <v/>
      </c>
      <c r="L85" s="73" t="str">
        <f t="shared" si="6"/>
        <v>0h 0m</v>
      </c>
      <c r="M85" s="73" t="str">
        <f t="array" ref="M85">IFERROR(INDEX(applied_prod, MATCH('食譜'!N85, ing_name, 0)), "")</f>
        <v/>
      </c>
      <c r="N85" s="73">
        <f>IFERROR('食譜'!O85*3, "")</f>
        <v>0</v>
      </c>
      <c r="O85" s="74" t="str">
        <f t="shared" si="7"/>
        <v/>
      </c>
      <c r="P85" s="75" t="str">
        <f t="shared" si="8"/>
        <v/>
      </c>
      <c r="Q85" s="73" t="str">
        <f t="shared" si="9"/>
        <v>0h 0m</v>
      </c>
      <c r="R85" s="73" t="str">
        <f t="array" ref="R85">IFERROR(INDEX(applied_prod, MATCH('食譜'!P85, ing_name, 0)), "")</f>
        <v/>
      </c>
      <c r="S85" s="73">
        <f>IFERROR('食譜'!Q85*3, "")</f>
        <v>0</v>
      </c>
      <c r="T85" s="74" t="str">
        <f t="shared" si="10"/>
        <v/>
      </c>
      <c r="U85" s="75" t="str">
        <f t="shared" si="11"/>
        <v/>
      </c>
      <c r="V85" s="73" t="str">
        <f t="shared" si="12"/>
        <v>0h 0m</v>
      </c>
      <c r="W85" s="73" t="str">
        <f t="shared" si="13"/>
        <v>0h 0m</v>
      </c>
      <c r="X85" s="75">
        <f t="shared" si="14"/>
        <v>0</v>
      </c>
      <c r="Y85" s="73">
        <f>IFERROR('食譜'!H85, "")*3</f>
        <v>0</v>
      </c>
      <c r="Z85" s="73" t="str">
        <f t="shared" si="15"/>
        <v/>
      </c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</row>
    <row r="86" ht="47.25" customHeight="1">
      <c r="A86" s="73"/>
      <c r="B86" s="73"/>
      <c r="C86" s="73" t="str">
        <f t="array" ref="C86">IFERROR(INDEX(applied_prod, MATCH('食譜'!J86, ing_name, 0)), "")</f>
        <v/>
      </c>
      <c r="D86" s="73">
        <f>IFERROR('食譜'!K86*3, "")</f>
        <v>0</v>
      </c>
      <c r="E86" s="74" t="str">
        <f t="shared" si="1"/>
        <v/>
      </c>
      <c r="F86" s="75" t="str">
        <f t="shared" si="2"/>
        <v/>
      </c>
      <c r="G86" s="73" t="str">
        <f t="shared" si="3"/>
        <v>0h 0m</v>
      </c>
      <c r="H86" s="73" t="str">
        <f t="array" ref="H86">IFERROR(INDEX(applied_prod, MATCH('食譜'!L86, ing_name, 0)), "")</f>
        <v/>
      </c>
      <c r="I86" s="73">
        <f>IFERROR('食譜'!M86*3, "")</f>
        <v>0</v>
      </c>
      <c r="J86" s="74" t="str">
        <f t="shared" si="4"/>
        <v/>
      </c>
      <c r="K86" s="75" t="str">
        <f t="shared" si="5"/>
        <v/>
      </c>
      <c r="L86" s="73" t="str">
        <f t="shared" si="6"/>
        <v>0h 0m</v>
      </c>
      <c r="M86" s="73" t="str">
        <f t="array" ref="M86">IFERROR(INDEX(applied_prod, MATCH('食譜'!N86, ing_name, 0)), "")</f>
        <v/>
      </c>
      <c r="N86" s="73">
        <f>IFERROR('食譜'!O86*3, "")</f>
        <v>0</v>
      </c>
      <c r="O86" s="74" t="str">
        <f t="shared" si="7"/>
        <v/>
      </c>
      <c r="P86" s="75" t="str">
        <f t="shared" si="8"/>
        <v/>
      </c>
      <c r="Q86" s="73" t="str">
        <f t="shared" si="9"/>
        <v>0h 0m</v>
      </c>
      <c r="R86" s="73" t="str">
        <f t="array" ref="R86">IFERROR(INDEX(applied_prod, MATCH('食譜'!P86, ing_name, 0)), "")</f>
        <v/>
      </c>
      <c r="S86" s="73">
        <f>IFERROR('食譜'!Q86*3, "")</f>
        <v>0</v>
      </c>
      <c r="T86" s="74" t="str">
        <f t="shared" si="10"/>
        <v/>
      </c>
      <c r="U86" s="75" t="str">
        <f t="shared" si="11"/>
        <v/>
      </c>
      <c r="V86" s="73" t="str">
        <f t="shared" si="12"/>
        <v>0h 0m</v>
      </c>
      <c r="W86" s="73" t="str">
        <f t="shared" si="13"/>
        <v>0h 0m</v>
      </c>
      <c r="X86" s="75">
        <f t="shared" si="14"/>
        <v>0</v>
      </c>
      <c r="Y86" s="73">
        <f>IFERROR('食譜'!H86, "")*3</f>
        <v>0</v>
      </c>
      <c r="Z86" s="73" t="str">
        <f t="shared" si="15"/>
        <v/>
      </c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</row>
    <row r="87" ht="47.25" customHeight="1">
      <c r="A87" s="73"/>
      <c r="B87" s="73"/>
      <c r="C87" s="73" t="str">
        <f t="array" ref="C87">IFERROR(INDEX(applied_prod, MATCH('食譜'!J87, ing_name, 0)), "")</f>
        <v/>
      </c>
      <c r="D87" s="73">
        <f>IFERROR('食譜'!K87*3, "")</f>
        <v>0</v>
      </c>
      <c r="E87" s="74" t="str">
        <f t="shared" si="1"/>
        <v/>
      </c>
      <c r="F87" s="75" t="str">
        <f t="shared" si="2"/>
        <v/>
      </c>
      <c r="G87" s="73" t="str">
        <f t="shared" si="3"/>
        <v>0h 0m</v>
      </c>
      <c r="H87" s="73" t="str">
        <f t="array" ref="H87">IFERROR(INDEX(applied_prod, MATCH('食譜'!L87, ing_name, 0)), "")</f>
        <v/>
      </c>
      <c r="I87" s="73">
        <f>IFERROR('食譜'!M87*3, "")</f>
        <v>0</v>
      </c>
      <c r="J87" s="74" t="str">
        <f t="shared" si="4"/>
        <v/>
      </c>
      <c r="K87" s="75" t="str">
        <f t="shared" si="5"/>
        <v/>
      </c>
      <c r="L87" s="73" t="str">
        <f t="shared" si="6"/>
        <v>0h 0m</v>
      </c>
      <c r="M87" s="73" t="str">
        <f t="array" ref="M87">IFERROR(INDEX(applied_prod, MATCH('食譜'!N87, ing_name, 0)), "")</f>
        <v/>
      </c>
      <c r="N87" s="73">
        <f>IFERROR('食譜'!O87*3, "")</f>
        <v>0</v>
      </c>
      <c r="O87" s="74" t="str">
        <f t="shared" si="7"/>
        <v/>
      </c>
      <c r="P87" s="75" t="str">
        <f t="shared" si="8"/>
        <v/>
      </c>
      <c r="Q87" s="73" t="str">
        <f t="shared" si="9"/>
        <v>0h 0m</v>
      </c>
      <c r="R87" s="73" t="str">
        <f t="array" ref="R87">IFERROR(INDEX(applied_prod, MATCH('食譜'!P87, ing_name, 0)), "")</f>
        <v/>
      </c>
      <c r="S87" s="73">
        <f>IFERROR('食譜'!Q87*3, "")</f>
        <v>0</v>
      </c>
      <c r="T87" s="74" t="str">
        <f t="shared" si="10"/>
        <v/>
      </c>
      <c r="U87" s="75" t="str">
        <f t="shared" si="11"/>
        <v/>
      </c>
      <c r="V87" s="73" t="str">
        <f t="shared" si="12"/>
        <v>0h 0m</v>
      </c>
      <c r="W87" s="73" t="str">
        <f t="shared" si="13"/>
        <v>0h 0m</v>
      </c>
      <c r="X87" s="75">
        <f t="shared" si="14"/>
        <v>0</v>
      </c>
      <c r="Y87" s="73">
        <f>IFERROR('食譜'!H87, "")*3</f>
        <v>0</v>
      </c>
      <c r="Z87" s="73" t="str">
        <f t="shared" si="15"/>
        <v/>
      </c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</row>
    <row r="88" ht="47.25" customHeight="1">
      <c r="A88" s="73"/>
      <c r="B88" s="73"/>
      <c r="C88" s="73" t="str">
        <f t="array" ref="C88">IFERROR(INDEX(applied_prod, MATCH('食譜'!J88, ing_name, 0)), "")</f>
        <v/>
      </c>
      <c r="D88" s="73">
        <f>IFERROR('食譜'!K88*3, "")</f>
        <v>0</v>
      </c>
      <c r="E88" s="74" t="str">
        <f t="shared" si="1"/>
        <v/>
      </c>
      <c r="F88" s="75" t="str">
        <f t="shared" si="2"/>
        <v/>
      </c>
      <c r="G88" s="73" t="str">
        <f t="shared" si="3"/>
        <v>0h 0m</v>
      </c>
      <c r="H88" s="73" t="str">
        <f t="array" ref="H88">IFERROR(INDEX(applied_prod, MATCH('食譜'!L88, ing_name, 0)), "")</f>
        <v/>
      </c>
      <c r="I88" s="73">
        <f>IFERROR('食譜'!M88*3, "")</f>
        <v>0</v>
      </c>
      <c r="J88" s="74" t="str">
        <f t="shared" si="4"/>
        <v/>
      </c>
      <c r="K88" s="75" t="str">
        <f t="shared" si="5"/>
        <v/>
      </c>
      <c r="L88" s="73" t="str">
        <f t="shared" si="6"/>
        <v>0h 0m</v>
      </c>
      <c r="M88" s="73" t="str">
        <f t="array" ref="M88">IFERROR(INDEX(applied_prod, MATCH('食譜'!N88, ing_name, 0)), "")</f>
        <v/>
      </c>
      <c r="N88" s="73">
        <f>IFERROR('食譜'!O88*3, "")</f>
        <v>0</v>
      </c>
      <c r="O88" s="74" t="str">
        <f t="shared" si="7"/>
        <v/>
      </c>
      <c r="P88" s="75" t="str">
        <f t="shared" si="8"/>
        <v/>
      </c>
      <c r="Q88" s="73" t="str">
        <f t="shared" si="9"/>
        <v>0h 0m</v>
      </c>
      <c r="R88" s="73" t="str">
        <f t="array" ref="R88">IFERROR(INDEX(applied_prod, MATCH('食譜'!P88, ing_name, 0)), "")</f>
        <v/>
      </c>
      <c r="S88" s="73">
        <f>IFERROR('食譜'!Q88*3, "")</f>
        <v>0</v>
      </c>
      <c r="T88" s="74" t="str">
        <f t="shared" si="10"/>
        <v/>
      </c>
      <c r="U88" s="75" t="str">
        <f t="shared" si="11"/>
        <v/>
      </c>
      <c r="V88" s="73" t="str">
        <f t="shared" si="12"/>
        <v>0h 0m</v>
      </c>
      <c r="W88" s="73" t="str">
        <f t="shared" si="13"/>
        <v>0h 0m</v>
      </c>
      <c r="X88" s="75">
        <f t="shared" si="14"/>
        <v>0</v>
      </c>
      <c r="Y88" s="73">
        <f>IFERROR('食譜'!H88, "")*3</f>
        <v>0</v>
      </c>
      <c r="Z88" s="73" t="str">
        <f t="shared" si="15"/>
        <v/>
      </c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</row>
    <row r="89" ht="47.25" customHeight="1">
      <c r="A89" s="73"/>
      <c r="B89" s="73"/>
      <c r="C89" s="73" t="str">
        <f t="array" ref="C89">IFERROR(INDEX(applied_prod, MATCH('食譜'!J89, ing_name, 0)), "")</f>
        <v/>
      </c>
      <c r="D89" s="73">
        <f>IFERROR('食譜'!K89*3, "")</f>
        <v>0</v>
      </c>
      <c r="E89" s="74" t="str">
        <f t="shared" si="1"/>
        <v/>
      </c>
      <c r="F89" s="75" t="str">
        <f t="shared" si="2"/>
        <v/>
      </c>
      <c r="G89" s="73" t="str">
        <f t="shared" si="3"/>
        <v>0h 0m</v>
      </c>
      <c r="H89" s="73" t="str">
        <f t="array" ref="H89">IFERROR(INDEX(applied_prod, MATCH('食譜'!L89, ing_name, 0)), "")</f>
        <v/>
      </c>
      <c r="I89" s="73">
        <f>IFERROR('食譜'!M89*3, "")</f>
        <v>0</v>
      </c>
      <c r="J89" s="74" t="str">
        <f t="shared" si="4"/>
        <v/>
      </c>
      <c r="K89" s="75" t="str">
        <f t="shared" si="5"/>
        <v/>
      </c>
      <c r="L89" s="73" t="str">
        <f t="shared" si="6"/>
        <v>0h 0m</v>
      </c>
      <c r="M89" s="73" t="str">
        <f t="array" ref="M89">IFERROR(INDEX(applied_prod, MATCH('食譜'!N89, ing_name, 0)), "")</f>
        <v/>
      </c>
      <c r="N89" s="73">
        <f>IFERROR('食譜'!O89*3, "")</f>
        <v>0</v>
      </c>
      <c r="O89" s="74" t="str">
        <f t="shared" si="7"/>
        <v/>
      </c>
      <c r="P89" s="75" t="str">
        <f t="shared" si="8"/>
        <v/>
      </c>
      <c r="Q89" s="73" t="str">
        <f t="shared" si="9"/>
        <v>0h 0m</v>
      </c>
      <c r="R89" s="73" t="str">
        <f t="array" ref="R89">IFERROR(INDEX(applied_prod, MATCH('食譜'!P89, ing_name, 0)), "")</f>
        <v/>
      </c>
      <c r="S89" s="73">
        <f>IFERROR('食譜'!Q89*3, "")</f>
        <v>0</v>
      </c>
      <c r="T89" s="74" t="str">
        <f t="shared" si="10"/>
        <v/>
      </c>
      <c r="U89" s="75" t="str">
        <f t="shared" si="11"/>
        <v/>
      </c>
      <c r="V89" s="73" t="str">
        <f t="shared" si="12"/>
        <v>0h 0m</v>
      </c>
      <c r="W89" s="73" t="str">
        <f t="shared" si="13"/>
        <v>0h 0m</v>
      </c>
      <c r="X89" s="75">
        <f t="shared" si="14"/>
        <v>0</v>
      </c>
      <c r="Y89" s="73">
        <f>IFERROR('食譜'!H89, "")*3</f>
        <v>0</v>
      </c>
      <c r="Z89" s="73" t="str">
        <f t="shared" si="15"/>
        <v/>
      </c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</row>
    <row r="90" ht="47.25" customHeight="1">
      <c r="A90" s="73"/>
      <c r="B90" s="73"/>
      <c r="C90" s="73" t="str">
        <f t="array" ref="C90">IFERROR(INDEX(applied_prod, MATCH('食譜'!J90, ing_name, 0)), "")</f>
        <v/>
      </c>
      <c r="D90" s="73">
        <f>IFERROR('食譜'!K90*3, "")</f>
        <v>0</v>
      </c>
      <c r="E90" s="74" t="str">
        <f t="shared" si="1"/>
        <v/>
      </c>
      <c r="F90" s="75" t="str">
        <f t="shared" si="2"/>
        <v/>
      </c>
      <c r="G90" s="73" t="str">
        <f t="shared" si="3"/>
        <v>0h 0m</v>
      </c>
      <c r="H90" s="73" t="str">
        <f t="array" ref="H90">IFERROR(INDEX(applied_prod, MATCH('食譜'!L90, ing_name, 0)), "")</f>
        <v/>
      </c>
      <c r="I90" s="73">
        <f>IFERROR('食譜'!M90*3, "")</f>
        <v>0</v>
      </c>
      <c r="J90" s="74" t="str">
        <f t="shared" si="4"/>
        <v/>
      </c>
      <c r="K90" s="75" t="str">
        <f t="shared" si="5"/>
        <v/>
      </c>
      <c r="L90" s="73" t="str">
        <f t="shared" si="6"/>
        <v>0h 0m</v>
      </c>
      <c r="M90" s="73" t="str">
        <f t="array" ref="M90">IFERROR(INDEX(applied_prod, MATCH('食譜'!N90, ing_name, 0)), "")</f>
        <v/>
      </c>
      <c r="N90" s="73">
        <f>IFERROR('食譜'!O90*3, "")</f>
        <v>0</v>
      </c>
      <c r="O90" s="74" t="str">
        <f t="shared" si="7"/>
        <v/>
      </c>
      <c r="P90" s="75" t="str">
        <f t="shared" si="8"/>
        <v/>
      </c>
      <c r="Q90" s="73" t="str">
        <f t="shared" si="9"/>
        <v>0h 0m</v>
      </c>
      <c r="R90" s="73" t="str">
        <f t="array" ref="R90">IFERROR(INDEX(applied_prod, MATCH('食譜'!P90, ing_name, 0)), "")</f>
        <v/>
      </c>
      <c r="S90" s="73">
        <f>IFERROR('食譜'!Q90*3, "")</f>
        <v>0</v>
      </c>
      <c r="T90" s="74" t="str">
        <f t="shared" si="10"/>
        <v/>
      </c>
      <c r="U90" s="75" t="str">
        <f t="shared" si="11"/>
        <v/>
      </c>
      <c r="V90" s="73" t="str">
        <f t="shared" si="12"/>
        <v>0h 0m</v>
      </c>
      <c r="W90" s="73" t="str">
        <f t="shared" si="13"/>
        <v>0h 0m</v>
      </c>
      <c r="X90" s="75">
        <f t="shared" si="14"/>
        <v>0</v>
      </c>
      <c r="Y90" s="73">
        <f>IFERROR('食譜'!H90, "")*3</f>
        <v>0</v>
      </c>
      <c r="Z90" s="73" t="str">
        <f t="shared" si="15"/>
        <v/>
      </c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</row>
    <row r="91" ht="47.25" customHeight="1">
      <c r="A91" s="73"/>
      <c r="B91" s="73"/>
      <c r="C91" s="73" t="str">
        <f t="array" ref="C91">IFERROR(INDEX(applied_prod, MATCH('食譜'!J91, ing_name, 0)), "")</f>
        <v/>
      </c>
      <c r="D91" s="73">
        <f>IFERROR('食譜'!K91*3, "")</f>
        <v>0</v>
      </c>
      <c r="E91" s="74" t="str">
        <f t="shared" si="1"/>
        <v/>
      </c>
      <c r="F91" s="75" t="str">
        <f t="shared" si="2"/>
        <v/>
      </c>
      <c r="G91" s="73" t="str">
        <f t="shared" si="3"/>
        <v>0h 0m</v>
      </c>
      <c r="H91" s="73" t="str">
        <f t="array" ref="H91">IFERROR(INDEX(applied_prod, MATCH('食譜'!L91, ing_name, 0)), "")</f>
        <v/>
      </c>
      <c r="I91" s="73">
        <f>IFERROR('食譜'!M91*3, "")</f>
        <v>0</v>
      </c>
      <c r="J91" s="74" t="str">
        <f t="shared" si="4"/>
        <v/>
      </c>
      <c r="K91" s="75" t="str">
        <f t="shared" si="5"/>
        <v/>
      </c>
      <c r="L91" s="73" t="str">
        <f t="shared" si="6"/>
        <v>0h 0m</v>
      </c>
      <c r="M91" s="73" t="str">
        <f t="array" ref="M91">IFERROR(INDEX(applied_prod, MATCH('食譜'!N91, ing_name, 0)), "")</f>
        <v/>
      </c>
      <c r="N91" s="73">
        <f>IFERROR('食譜'!O91*3, "")</f>
        <v>0</v>
      </c>
      <c r="O91" s="74" t="str">
        <f t="shared" si="7"/>
        <v/>
      </c>
      <c r="P91" s="75" t="str">
        <f t="shared" si="8"/>
        <v/>
      </c>
      <c r="Q91" s="73" t="str">
        <f t="shared" si="9"/>
        <v>0h 0m</v>
      </c>
      <c r="R91" s="73" t="str">
        <f t="array" ref="R91">IFERROR(INDEX(applied_prod, MATCH('食譜'!P91, ing_name, 0)), "")</f>
        <v/>
      </c>
      <c r="S91" s="73">
        <f>IFERROR('食譜'!Q91*3, "")</f>
        <v>0</v>
      </c>
      <c r="T91" s="74" t="str">
        <f t="shared" si="10"/>
        <v/>
      </c>
      <c r="U91" s="75" t="str">
        <f t="shared" si="11"/>
        <v/>
      </c>
      <c r="V91" s="73" t="str">
        <f t="shared" si="12"/>
        <v>0h 0m</v>
      </c>
      <c r="W91" s="73" t="str">
        <f t="shared" si="13"/>
        <v>0h 0m</v>
      </c>
      <c r="X91" s="75">
        <f t="shared" si="14"/>
        <v>0</v>
      </c>
      <c r="Y91" s="73">
        <f>IFERROR('食譜'!H91, "")*3</f>
        <v>0</v>
      </c>
      <c r="Z91" s="73" t="str">
        <f t="shared" si="15"/>
        <v/>
      </c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</row>
    <row r="92" ht="47.25" customHeight="1">
      <c r="A92" s="73"/>
      <c r="B92" s="73"/>
      <c r="C92" s="73" t="str">
        <f t="array" ref="C92">IFERROR(INDEX(applied_prod, MATCH('食譜'!J92, ing_name, 0)), "")</f>
        <v/>
      </c>
      <c r="D92" s="73">
        <f>IFERROR('食譜'!K92*3, "")</f>
        <v>0</v>
      </c>
      <c r="E92" s="74" t="str">
        <f t="shared" si="1"/>
        <v/>
      </c>
      <c r="F92" s="75" t="str">
        <f t="shared" si="2"/>
        <v/>
      </c>
      <c r="G92" s="73" t="str">
        <f t="shared" si="3"/>
        <v>0h 0m</v>
      </c>
      <c r="H92" s="73" t="str">
        <f t="array" ref="H92">IFERROR(INDEX(applied_prod, MATCH('食譜'!L92, ing_name, 0)), "")</f>
        <v/>
      </c>
      <c r="I92" s="73">
        <f>IFERROR('食譜'!M92*3, "")</f>
        <v>0</v>
      </c>
      <c r="J92" s="74" t="str">
        <f t="shared" si="4"/>
        <v/>
      </c>
      <c r="K92" s="75" t="str">
        <f t="shared" si="5"/>
        <v/>
      </c>
      <c r="L92" s="73" t="str">
        <f t="shared" si="6"/>
        <v>0h 0m</v>
      </c>
      <c r="M92" s="73" t="str">
        <f t="array" ref="M92">IFERROR(INDEX(applied_prod, MATCH('食譜'!N92, ing_name, 0)), "")</f>
        <v/>
      </c>
      <c r="N92" s="73">
        <f>IFERROR('食譜'!O92*3, "")</f>
        <v>0</v>
      </c>
      <c r="O92" s="74" t="str">
        <f t="shared" si="7"/>
        <v/>
      </c>
      <c r="P92" s="75" t="str">
        <f t="shared" si="8"/>
        <v/>
      </c>
      <c r="Q92" s="73" t="str">
        <f t="shared" si="9"/>
        <v>0h 0m</v>
      </c>
      <c r="R92" s="73" t="str">
        <f t="array" ref="R92">IFERROR(INDEX(applied_prod, MATCH('食譜'!P92, ing_name, 0)), "")</f>
        <v/>
      </c>
      <c r="S92" s="73">
        <f>IFERROR('食譜'!Q92*3, "")</f>
        <v>0</v>
      </c>
      <c r="T92" s="74" t="str">
        <f t="shared" si="10"/>
        <v/>
      </c>
      <c r="U92" s="75" t="str">
        <f t="shared" si="11"/>
        <v/>
      </c>
      <c r="V92" s="73" t="str">
        <f t="shared" si="12"/>
        <v>0h 0m</v>
      </c>
      <c r="W92" s="73" t="str">
        <f t="shared" si="13"/>
        <v>0h 0m</v>
      </c>
      <c r="X92" s="75">
        <f t="shared" si="14"/>
        <v>0</v>
      </c>
      <c r="Y92" s="73">
        <f>IFERROR('食譜'!H92, "")*3</f>
        <v>0</v>
      </c>
      <c r="Z92" s="73" t="str">
        <f t="shared" si="15"/>
        <v/>
      </c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</row>
    <row r="93" ht="47.25" customHeight="1">
      <c r="A93" s="73"/>
      <c r="B93" s="73"/>
      <c r="C93" s="73" t="str">
        <f t="array" ref="C93">IFERROR(INDEX(applied_prod, MATCH('食譜'!J93, ing_name, 0)), "")</f>
        <v/>
      </c>
      <c r="D93" s="73">
        <f>IFERROR('食譜'!K93*3, "")</f>
        <v>0</v>
      </c>
      <c r="E93" s="74" t="str">
        <f t="shared" si="1"/>
        <v/>
      </c>
      <c r="F93" s="75" t="str">
        <f t="shared" si="2"/>
        <v/>
      </c>
      <c r="G93" s="73" t="str">
        <f t="shared" si="3"/>
        <v>0h 0m</v>
      </c>
      <c r="H93" s="73" t="str">
        <f t="array" ref="H93">IFERROR(INDEX(applied_prod, MATCH('食譜'!L93, ing_name, 0)), "")</f>
        <v/>
      </c>
      <c r="I93" s="73">
        <f>IFERROR('食譜'!M93*3, "")</f>
        <v>0</v>
      </c>
      <c r="J93" s="74" t="str">
        <f t="shared" si="4"/>
        <v/>
      </c>
      <c r="K93" s="75" t="str">
        <f t="shared" si="5"/>
        <v/>
      </c>
      <c r="L93" s="73" t="str">
        <f t="shared" si="6"/>
        <v>0h 0m</v>
      </c>
      <c r="M93" s="73" t="str">
        <f t="array" ref="M93">IFERROR(INDEX(applied_prod, MATCH('食譜'!N93, ing_name, 0)), "")</f>
        <v/>
      </c>
      <c r="N93" s="73">
        <f>IFERROR('食譜'!O93*3, "")</f>
        <v>0</v>
      </c>
      <c r="O93" s="74" t="str">
        <f t="shared" si="7"/>
        <v/>
      </c>
      <c r="P93" s="75" t="str">
        <f t="shared" si="8"/>
        <v/>
      </c>
      <c r="Q93" s="73" t="str">
        <f t="shared" si="9"/>
        <v>0h 0m</v>
      </c>
      <c r="R93" s="73" t="str">
        <f t="array" ref="R93">IFERROR(INDEX(applied_prod, MATCH('食譜'!P93, ing_name, 0)), "")</f>
        <v/>
      </c>
      <c r="S93" s="73">
        <f>IFERROR('食譜'!Q93*3, "")</f>
        <v>0</v>
      </c>
      <c r="T93" s="74" t="str">
        <f t="shared" si="10"/>
        <v/>
      </c>
      <c r="U93" s="75" t="str">
        <f t="shared" si="11"/>
        <v/>
      </c>
      <c r="V93" s="73" t="str">
        <f t="shared" si="12"/>
        <v>0h 0m</v>
      </c>
      <c r="W93" s="73" t="str">
        <f t="shared" si="13"/>
        <v>0h 0m</v>
      </c>
      <c r="X93" s="75">
        <f t="shared" si="14"/>
        <v>0</v>
      </c>
      <c r="Y93" s="73">
        <f>IFERROR('食譜'!H93, "")*3</f>
        <v>0</v>
      </c>
      <c r="Z93" s="73" t="str">
        <f t="shared" si="15"/>
        <v/>
      </c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</row>
    <row r="94" ht="47.25" customHeight="1">
      <c r="A94" s="73"/>
      <c r="B94" s="73"/>
      <c r="C94" s="73" t="str">
        <f t="array" ref="C94">IFERROR(INDEX(applied_prod, MATCH('食譜'!J94, ing_name, 0)), "")</f>
        <v/>
      </c>
      <c r="D94" s="73">
        <f>IFERROR('食譜'!K94*3, "")</f>
        <v>0</v>
      </c>
      <c r="E94" s="74" t="str">
        <f t="shared" si="1"/>
        <v/>
      </c>
      <c r="F94" s="75" t="str">
        <f t="shared" si="2"/>
        <v/>
      </c>
      <c r="G94" s="73" t="str">
        <f t="shared" si="3"/>
        <v>0h 0m</v>
      </c>
      <c r="H94" s="73" t="str">
        <f t="array" ref="H94">IFERROR(INDEX(applied_prod, MATCH('食譜'!L94, ing_name, 0)), "")</f>
        <v/>
      </c>
      <c r="I94" s="73">
        <f>IFERROR('食譜'!M94*3, "")</f>
        <v>0</v>
      </c>
      <c r="J94" s="74" t="str">
        <f t="shared" si="4"/>
        <v/>
      </c>
      <c r="K94" s="75" t="str">
        <f t="shared" si="5"/>
        <v/>
      </c>
      <c r="L94" s="73" t="str">
        <f t="shared" si="6"/>
        <v>0h 0m</v>
      </c>
      <c r="M94" s="73" t="str">
        <f t="array" ref="M94">IFERROR(INDEX(applied_prod, MATCH('食譜'!N94, ing_name, 0)), "")</f>
        <v/>
      </c>
      <c r="N94" s="73">
        <f>IFERROR('食譜'!O94*3, "")</f>
        <v>0</v>
      </c>
      <c r="O94" s="74" t="str">
        <f t="shared" si="7"/>
        <v/>
      </c>
      <c r="P94" s="75" t="str">
        <f t="shared" si="8"/>
        <v/>
      </c>
      <c r="Q94" s="73" t="str">
        <f t="shared" si="9"/>
        <v>0h 0m</v>
      </c>
      <c r="R94" s="73" t="str">
        <f t="array" ref="R94">IFERROR(INDEX(applied_prod, MATCH('食譜'!P94, ing_name, 0)), "")</f>
        <v/>
      </c>
      <c r="S94" s="73">
        <f>IFERROR('食譜'!Q94*3, "")</f>
        <v>0</v>
      </c>
      <c r="T94" s="74" t="str">
        <f t="shared" si="10"/>
        <v/>
      </c>
      <c r="U94" s="75" t="str">
        <f t="shared" si="11"/>
        <v/>
      </c>
      <c r="V94" s="73" t="str">
        <f t="shared" si="12"/>
        <v>0h 0m</v>
      </c>
      <c r="W94" s="73" t="str">
        <f t="shared" si="13"/>
        <v>0h 0m</v>
      </c>
      <c r="X94" s="75">
        <f t="shared" si="14"/>
        <v>0</v>
      </c>
      <c r="Y94" s="73">
        <f>IFERROR('食譜'!H94, "")*3</f>
        <v>0</v>
      </c>
      <c r="Z94" s="73" t="str">
        <f t="shared" si="15"/>
        <v/>
      </c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</row>
    <row r="95" ht="47.25" customHeight="1">
      <c r="A95" s="73"/>
      <c r="B95" s="73"/>
      <c r="C95" s="73" t="str">
        <f t="array" ref="C95">IFERROR(INDEX(applied_prod, MATCH('食譜'!J95, ing_name, 0)), "")</f>
        <v/>
      </c>
      <c r="D95" s="73">
        <f>IFERROR('食譜'!K95*3, "")</f>
        <v>0</v>
      </c>
      <c r="E95" s="74" t="str">
        <f t="shared" si="1"/>
        <v/>
      </c>
      <c r="F95" s="75" t="str">
        <f t="shared" si="2"/>
        <v/>
      </c>
      <c r="G95" s="73" t="str">
        <f t="shared" si="3"/>
        <v>0h 0m</v>
      </c>
      <c r="H95" s="73" t="str">
        <f t="array" ref="H95">IFERROR(INDEX(applied_prod, MATCH('食譜'!L95, ing_name, 0)), "")</f>
        <v/>
      </c>
      <c r="I95" s="73">
        <f>IFERROR('食譜'!M95*3, "")</f>
        <v>0</v>
      </c>
      <c r="J95" s="74" t="str">
        <f t="shared" si="4"/>
        <v/>
      </c>
      <c r="K95" s="75" t="str">
        <f t="shared" si="5"/>
        <v/>
      </c>
      <c r="L95" s="73" t="str">
        <f t="shared" si="6"/>
        <v>0h 0m</v>
      </c>
      <c r="M95" s="73" t="str">
        <f t="array" ref="M95">IFERROR(INDEX(applied_prod, MATCH('食譜'!N95, ing_name, 0)), "")</f>
        <v/>
      </c>
      <c r="N95" s="73">
        <f>IFERROR('食譜'!O95*3, "")</f>
        <v>0</v>
      </c>
      <c r="O95" s="74" t="str">
        <f t="shared" si="7"/>
        <v/>
      </c>
      <c r="P95" s="75" t="str">
        <f t="shared" si="8"/>
        <v/>
      </c>
      <c r="Q95" s="73" t="str">
        <f t="shared" si="9"/>
        <v>0h 0m</v>
      </c>
      <c r="R95" s="73" t="str">
        <f t="array" ref="R95">IFERROR(INDEX(applied_prod, MATCH('食譜'!P95, ing_name, 0)), "")</f>
        <v/>
      </c>
      <c r="S95" s="73">
        <f>IFERROR('食譜'!Q95*3, "")</f>
        <v>0</v>
      </c>
      <c r="T95" s="74" t="str">
        <f t="shared" si="10"/>
        <v/>
      </c>
      <c r="U95" s="75" t="str">
        <f t="shared" si="11"/>
        <v/>
      </c>
      <c r="V95" s="73" t="str">
        <f t="shared" si="12"/>
        <v>0h 0m</v>
      </c>
      <c r="W95" s="73" t="str">
        <f t="shared" si="13"/>
        <v>0h 0m</v>
      </c>
      <c r="X95" s="75">
        <f t="shared" si="14"/>
        <v>0</v>
      </c>
      <c r="Y95" s="73">
        <f>IFERROR('食譜'!H95, "")*3</f>
        <v>0</v>
      </c>
      <c r="Z95" s="73" t="str">
        <f t="shared" si="15"/>
        <v/>
      </c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</row>
    <row r="96" ht="47.25" customHeight="1">
      <c r="A96" s="73"/>
      <c r="B96" s="73"/>
      <c r="C96" s="73" t="str">
        <f t="array" ref="C96">IFERROR(INDEX(applied_prod, MATCH('食譜'!J96, ing_name, 0)), "")</f>
        <v/>
      </c>
      <c r="D96" s="73">
        <f>IFERROR('食譜'!K96*3, "")</f>
        <v>0</v>
      </c>
      <c r="E96" s="74" t="str">
        <f t="shared" si="1"/>
        <v/>
      </c>
      <c r="F96" s="75" t="str">
        <f t="shared" si="2"/>
        <v/>
      </c>
      <c r="G96" s="73" t="str">
        <f t="shared" si="3"/>
        <v>0h 0m</v>
      </c>
      <c r="H96" s="73" t="str">
        <f t="array" ref="H96">IFERROR(INDEX(applied_prod, MATCH('食譜'!L96, ing_name, 0)), "")</f>
        <v/>
      </c>
      <c r="I96" s="73">
        <f>IFERROR('食譜'!M96*3, "")</f>
        <v>0</v>
      </c>
      <c r="J96" s="74" t="str">
        <f t="shared" si="4"/>
        <v/>
      </c>
      <c r="K96" s="75" t="str">
        <f t="shared" si="5"/>
        <v/>
      </c>
      <c r="L96" s="73" t="str">
        <f t="shared" si="6"/>
        <v>0h 0m</v>
      </c>
      <c r="M96" s="73" t="str">
        <f t="array" ref="M96">IFERROR(INDEX(applied_prod, MATCH('食譜'!N96, ing_name, 0)), "")</f>
        <v/>
      </c>
      <c r="N96" s="73">
        <f>IFERROR('食譜'!O96*3, "")</f>
        <v>0</v>
      </c>
      <c r="O96" s="74" t="str">
        <f t="shared" si="7"/>
        <v/>
      </c>
      <c r="P96" s="75" t="str">
        <f t="shared" si="8"/>
        <v/>
      </c>
      <c r="Q96" s="73" t="str">
        <f t="shared" si="9"/>
        <v>0h 0m</v>
      </c>
      <c r="R96" s="73" t="str">
        <f t="array" ref="R96">IFERROR(INDEX(applied_prod, MATCH('食譜'!P96, ing_name, 0)), "")</f>
        <v/>
      </c>
      <c r="S96" s="73">
        <f>IFERROR('食譜'!Q96*3, "")</f>
        <v>0</v>
      </c>
      <c r="T96" s="74" t="str">
        <f t="shared" si="10"/>
        <v/>
      </c>
      <c r="U96" s="75" t="str">
        <f t="shared" si="11"/>
        <v/>
      </c>
      <c r="V96" s="73" t="str">
        <f t="shared" si="12"/>
        <v>0h 0m</v>
      </c>
      <c r="W96" s="73" t="str">
        <f t="shared" si="13"/>
        <v>0h 0m</v>
      </c>
      <c r="X96" s="75">
        <f t="shared" si="14"/>
        <v>0</v>
      </c>
      <c r="Y96" s="73">
        <f>IFERROR('食譜'!H96, "")*3</f>
        <v>0</v>
      </c>
      <c r="Z96" s="73" t="str">
        <f t="shared" si="15"/>
        <v/>
      </c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</row>
    <row r="97" ht="47.25" customHeight="1">
      <c r="A97" s="73"/>
      <c r="B97" s="73"/>
      <c r="C97" s="73" t="str">
        <f t="array" ref="C97">IFERROR(INDEX(applied_prod, MATCH('食譜'!J97, ing_name, 0)), "")</f>
        <v/>
      </c>
      <c r="D97" s="73">
        <f>IFERROR('食譜'!K97*3, "")</f>
        <v>0</v>
      </c>
      <c r="E97" s="74" t="str">
        <f t="shared" si="1"/>
        <v/>
      </c>
      <c r="F97" s="75" t="str">
        <f t="shared" si="2"/>
        <v/>
      </c>
      <c r="G97" s="73" t="str">
        <f t="shared" si="3"/>
        <v>0h 0m</v>
      </c>
      <c r="H97" s="73" t="str">
        <f t="array" ref="H97">IFERROR(INDEX(applied_prod, MATCH('食譜'!L97, ing_name, 0)), "")</f>
        <v/>
      </c>
      <c r="I97" s="73">
        <f>IFERROR('食譜'!M97*3, "")</f>
        <v>0</v>
      </c>
      <c r="J97" s="74" t="str">
        <f t="shared" si="4"/>
        <v/>
      </c>
      <c r="K97" s="75" t="str">
        <f t="shared" si="5"/>
        <v/>
      </c>
      <c r="L97" s="73" t="str">
        <f t="shared" si="6"/>
        <v>0h 0m</v>
      </c>
      <c r="M97" s="73" t="str">
        <f t="array" ref="M97">IFERROR(INDEX(applied_prod, MATCH('食譜'!N97, ing_name, 0)), "")</f>
        <v/>
      </c>
      <c r="N97" s="73">
        <f>IFERROR('食譜'!O97*3, "")</f>
        <v>0</v>
      </c>
      <c r="O97" s="74" t="str">
        <f t="shared" si="7"/>
        <v/>
      </c>
      <c r="P97" s="75" t="str">
        <f t="shared" si="8"/>
        <v/>
      </c>
      <c r="Q97" s="73" t="str">
        <f t="shared" si="9"/>
        <v>0h 0m</v>
      </c>
      <c r="R97" s="73" t="str">
        <f t="array" ref="R97">IFERROR(INDEX(applied_prod, MATCH('食譜'!P97, ing_name, 0)), "")</f>
        <v/>
      </c>
      <c r="S97" s="73">
        <f>IFERROR('食譜'!Q97*3, "")</f>
        <v>0</v>
      </c>
      <c r="T97" s="74" t="str">
        <f t="shared" si="10"/>
        <v/>
      </c>
      <c r="U97" s="75" t="str">
        <f t="shared" si="11"/>
        <v/>
      </c>
      <c r="V97" s="73" t="str">
        <f t="shared" si="12"/>
        <v>0h 0m</v>
      </c>
      <c r="W97" s="73" t="str">
        <f t="shared" si="13"/>
        <v>0h 0m</v>
      </c>
      <c r="X97" s="75">
        <f t="shared" si="14"/>
        <v>0</v>
      </c>
      <c r="Y97" s="73">
        <f>IFERROR('食譜'!H97, "")*3</f>
        <v>0</v>
      </c>
      <c r="Z97" s="73" t="str">
        <f t="shared" si="15"/>
        <v/>
      </c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</row>
    <row r="98" ht="47.25" customHeight="1">
      <c r="A98" s="73"/>
      <c r="B98" s="73"/>
      <c r="C98" s="73" t="str">
        <f t="array" ref="C98">IFERROR(INDEX(applied_prod, MATCH('食譜'!J98, ing_name, 0)), "")</f>
        <v/>
      </c>
      <c r="D98" s="73">
        <f>IFERROR('食譜'!K98*3, "")</f>
        <v>0</v>
      </c>
      <c r="E98" s="74" t="str">
        <f t="shared" si="1"/>
        <v/>
      </c>
      <c r="F98" s="75" t="str">
        <f t="shared" si="2"/>
        <v/>
      </c>
      <c r="G98" s="73" t="str">
        <f t="shared" si="3"/>
        <v>0h 0m</v>
      </c>
      <c r="H98" s="73" t="str">
        <f t="array" ref="H98">IFERROR(INDEX(applied_prod, MATCH('食譜'!L98, ing_name, 0)), "")</f>
        <v/>
      </c>
      <c r="I98" s="73">
        <f>IFERROR('食譜'!M98*3, "")</f>
        <v>0</v>
      </c>
      <c r="J98" s="74" t="str">
        <f t="shared" si="4"/>
        <v/>
      </c>
      <c r="K98" s="75" t="str">
        <f t="shared" si="5"/>
        <v/>
      </c>
      <c r="L98" s="73" t="str">
        <f t="shared" si="6"/>
        <v>0h 0m</v>
      </c>
      <c r="M98" s="73" t="str">
        <f t="array" ref="M98">IFERROR(INDEX(applied_prod, MATCH('食譜'!N98, ing_name, 0)), "")</f>
        <v/>
      </c>
      <c r="N98" s="73">
        <f>IFERROR('食譜'!O98*3, "")</f>
        <v>0</v>
      </c>
      <c r="O98" s="74" t="str">
        <f t="shared" si="7"/>
        <v/>
      </c>
      <c r="P98" s="75" t="str">
        <f t="shared" si="8"/>
        <v/>
      </c>
      <c r="Q98" s="73" t="str">
        <f t="shared" si="9"/>
        <v>0h 0m</v>
      </c>
      <c r="R98" s="73" t="str">
        <f t="array" ref="R98">IFERROR(INDEX(applied_prod, MATCH('食譜'!P98, ing_name, 0)), "")</f>
        <v/>
      </c>
      <c r="S98" s="73">
        <f>IFERROR('食譜'!Q98*3, "")</f>
        <v>0</v>
      </c>
      <c r="T98" s="74" t="str">
        <f t="shared" si="10"/>
        <v/>
      </c>
      <c r="U98" s="75" t="str">
        <f t="shared" si="11"/>
        <v/>
      </c>
      <c r="V98" s="73" t="str">
        <f t="shared" si="12"/>
        <v>0h 0m</v>
      </c>
      <c r="W98" s="73" t="str">
        <f t="shared" si="13"/>
        <v>0h 0m</v>
      </c>
      <c r="X98" s="75">
        <f t="shared" si="14"/>
        <v>0</v>
      </c>
      <c r="Y98" s="73">
        <f>IFERROR('食譜'!H98, "")*3</f>
        <v>0</v>
      </c>
      <c r="Z98" s="73" t="str">
        <f t="shared" si="15"/>
        <v/>
      </c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</row>
    <row r="99" ht="47.25" customHeight="1">
      <c r="A99" s="73"/>
      <c r="B99" s="73"/>
      <c r="C99" s="73" t="str">
        <f t="array" ref="C99">IFERROR(INDEX(applied_prod, MATCH('食譜'!J99, ing_name, 0)), "")</f>
        <v/>
      </c>
      <c r="D99" s="73">
        <f>IFERROR('食譜'!K99*3, "")</f>
        <v>0</v>
      </c>
      <c r="E99" s="74" t="str">
        <f t="shared" si="1"/>
        <v/>
      </c>
      <c r="F99" s="75" t="str">
        <f t="shared" si="2"/>
        <v/>
      </c>
      <c r="G99" s="73" t="str">
        <f t="shared" si="3"/>
        <v>0h 0m</v>
      </c>
      <c r="H99" s="73" t="str">
        <f t="array" ref="H99">IFERROR(INDEX(applied_prod, MATCH('食譜'!L99, ing_name, 0)), "")</f>
        <v/>
      </c>
      <c r="I99" s="73">
        <f>IFERROR('食譜'!M99*3, "")</f>
        <v>0</v>
      </c>
      <c r="J99" s="74" t="str">
        <f t="shared" si="4"/>
        <v/>
      </c>
      <c r="K99" s="75" t="str">
        <f t="shared" si="5"/>
        <v/>
      </c>
      <c r="L99" s="73" t="str">
        <f t="shared" si="6"/>
        <v>0h 0m</v>
      </c>
      <c r="M99" s="73" t="str">
        <f t="array" ref="M99">IFERROR(INDEX(applied_prod, MATCH('食譜'!N99, ing_name, 0)), "")</f>
        <v/>
      </c>
      <c r="N99" s="73">
        <f>IFERROR('食譜'!O99*3, "")</f>
        <v>0</v>
      </c>
      <c r="O99" s="74" t="str">
        <f t="shared" si="7"/>
        <v/>
      </c>
      <c r="P99" s="75" t="str">
        <f t="shared" si="8"/>
        <v/>
      </c>
      <c r="Q99" s="73" t="str">
        <f t="shared" si="9"/>
        <v>0h 0m</v>
      </c>
      <c r="R99" s="73" t="str">
        <f t="array" ref="R99">IFERROR(INDEX(applied_prod, MATCH('食譜'!P99, ing_name, 0)), "")</f>
        <v/>
      </c>
      <c r="S99" s="73">
        <f>IFERROR('食譜'!Q99*3, "")</f>
        <v>0</v>
      </c>
      <c r="T99" s="74" t="str">
        <f t="shared" si="10"/>
        <v/>
      </c>
      <c r="U99" s="75" t="str">
        <f t="shared" si="11"/>
        <v/>
      </c>
      <c r="V99" s="73" t="str">
        <f t="shared" si="12"/>
        <v>0h 0m</v>
      </c>
      <c r="W99" s="73" t="str">
        <f t="shared" si="13"/>
        <v>0h 0m</v>
      </c>
      <c r="X99" s="75">
        <f t="shared" si="14"/>
        <v>0</v>
      </c>
      <c r="Y99" s="73">
        <f>IFERROR('食譜'!H99, "")*3</f>
        <v>0</v>
      </c>
      <c r="Z99" s="73" t="str">
        <f t="shared" si="15"/>
        <v/>
      </c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</row>
    <row r="100" ht="47.25" customHeight="1">
      <c r="A100" s="73"/>
      <c r="B100" s="73"/>
      <c r="C100" s="73" t="str">
        <f t="array" ref="C100">IFERROR(INDEX(applied_prod, MATCH('食譜'!J100, ing_name, 0)), "")</f>
        <v/>
      </c>
      <c r="D100" s="73">
        <f>IFERROR('食譜'!K100*3, "")</f>
        <v>0</v>
      </c>
      <c r="E100" s="74" t="str">
        <f t="shared" si="1"/>
        <v/>
      </c>
      <c r="F100" s="75" t="str">
        <f t="shared" si="2"/>
        <v/>
      </c>
      <c r="G100" s="73" t="str">
        <f t="shared" si="3"/>
        <v>0h 0m</v>
      </c>
      <c r="H100" s="73" t="str">
        <f t="array" ref="H100">IFERROR(INDEX(applied_prod, MATCH('食譜'!L100, ing_name, 0)), "")</f>
        <v/>
      </c>
      <c r="I100" s="73">
        <f>IFERROR('食譜'!M100*3, "")</f>
        <v>0</v>
      </c>
      <c r="J100" s="74" t="str">
        <f t="shared" si="4"/>
        <v/>
      </c>
      <c r="K100" s="75" t="str">
        <f t="shared" si="5"/>
        <v/>
      </c>
      <c r="L100" s="73" t="str">
        <f t="shared" si="6"/>
        <v>0h 0m</v>
      </c>
      <c r="M100" s="73" t="str">
        <f t="array" ref="M100">IFERROR(INDEX(applied_prod, MATCH('食譜'!N100, ing_name, 0)), "")</f>
        <v/>
      </c>
      <c r="N100" s="73">
        <f>IFERROR('食譜'!O100*3, "")</f>
        <v>0</v>
      </c>
      <c r="O100" s="74" t="str">
        <f t="shared" si="7"/>
        <v/>
      </c>
      <c r="P100" s="75" t="str">
        <f t="shared" si="8"/>
        <v/>
      </c>
      <c r="Q100" s="73" t="str">
        <f t="shared" si="9"/>
        <v>0h 0m</v>
      </c>
      <c r="R100" s="73" t="str">
        <f t="array" ref="R100">IFERROR(INDEX(applied_prod, MATCH('食譜'!P100, ing_name, 0)), "")</f>
        <v/>
      </c>
      <c r="S100" s="73">
        <f>IFERROR('食譜'!Q100*3, "")</f>
        <v>0</v>
      </c>
      <c r="T100" s="74" t="str">
        <f t="shared" si="10"/>
        <v/>
      </c>
      <c r="U100" s="75" t="str">
        <f t="shared" si="11"/>
        <v/>
      </c>
      <c r="V100" s="73" t="str">
        <f t="shared" si="12"/>
        <v>0h 0m</v>
      </c>
      <c r="W100" s="73" t="str">
        <f t="shared" si="13"/>
        <v>0h 0m</v>
      </c>
      <c r="X100" s="75">
        <f t="shared" si="14"/>
        <v>0</v>
      </c>
      <c r="Y100" s="73">
        <f>IFERROR('食譜'!H100, "")*3</f>
        <v>0</v>
      </c>
      <c r="Z100" s="73" t="str">
        <f t="shared" si="15"/>
        <v/>
      </c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</row>
    <row r="101">
      <c r="A101" s="5"/>
      <c r="B101" s="5"/>
      <c r="C101" s="5"/>
      <c r="D101" s="5"/>
      <c r="E101" s="67"/>
      <c r="F101" s="2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>
      <c r="A102" s="5"/>
      <c r="B102" s="5"/>
      <c r="C102" s="5"/>
      <c r="D102" s="5"/>
      <c r="E102" s="67"/>
      <c r="F102" s="2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>
      <c r="A103" s="5"/>
      <c r="B103" s="5"/>
      <c r="C103" s="5"/>
      <c r="D103" s="5"/>
      <c r="E103" s="67"/>
      <c r="F103" s="2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>
      <c r="A104" s="5"/>
      <c r="B104" s="5"/>
      <c r="C104" s="5"/>
      <c r="D104" s="5"/>
      <c r="E104" s="67"/>
      <c r="F104" s="2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>
      <c r="A105" s="5"/>
      <c r="B105" s="5"/>
      <c r="C105" s="5"/>
      <c r="D105" s="5"/>
      <c r="E105" s="67"/>
      <c r="F105" s="2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>
      <c r="A106" s="5"/>
      <c r="B106" s="5"/>
      <c r="C106" s="5"/>
      <c r="D106" s="5"/>
      <c r="E106" s="67"/>
      <c r="F106" s="2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>
      <c r="A107" s="5"/>
      <c r="B107" s="5"/>
      <c r="C107" s="5"/>
      <c r="D107" s="5"/>
      <c r="E107" s="67"/>
      <c r="F107" s="2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>
      <c r="A108" s="5"/>
      <c r="B108" s="5"/>
      <c r="C108" s="5"/>
      <c r="D108" s="5"/>
      <c r="E108" s="67"/>
      <c r="F108" s="2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>
      <c r="A109" s="5"/>
      <c r="B109" s="5"/>
      <c r="C109" s="5"/>
      <c r="D109" s="5"/>
      <c r="E109" s="67"/>
      <c r="F109" s="2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>
      <c r="A110" s="5"/>
      <c r="B110" s="5"/>
      <c r="C110" s="5"/>
      <c r="D110" s="5"/>
      <c r="E110" s="67"/>
      <c r="F110" s="2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>
      <c r="A111" s="5"/>
      <c r="B111" s="5"/>
      <c r="C111" s="5"/>
      <c r="D111" s="5"/>
      <c r="E111" s="67"/>
      <c r="F111" s="2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>
      <c r="A112" s="5"/>
      <c r="B112" s="5"/>
      <c r="C112" s="5"/>
      <c r="D112" s="5"/>
      <c r="E112" s="67"/>
      <c r="F112" s="2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>
      <c r="A113" s="5"/>
      <c r="B113" s="5"/>
      <c r="C113" s="5"/>
      <c r="D113" s="5"/>
      <c r="E113" s="67"/>
      <c r="F113" s="2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>
      <c r="A114" s="5"/>
      <c r="B114" s="5"/>
      <c r="C114" s="5"/>
      <c r="D114" s="5"/>
      <c r="E114" s="67"/>
      <c r="F114" s="2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>
      <c r="A115" s="5"/>
      <c r="B115" s="5"/>
      <c r="C115" s="5"/>
      <c r="D115" s="5"/>
      <c r="E115" s="67"/>
      <c r="F115" s="2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>
      <c r="A116" s="5"/>
      <c r="B116" s="5"/>
      <c r="C116" s="5"/>
      <c r="D116" s="5"/>
      <c r="E116" s="67"/>
      <c r="F116" s="2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>
      <c r="A117" s="5"/>
      <c r="B117" s="5"/>
      <c r="C117" s="5"/>
      <c r="D117" s="5"/>
      <c r="E117" s="67"/>
      <c r="F117" s="2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>
      <c r="A118" s="5"/>
      <c r="B118" s="5"/>
      <c r="C118" s="5"/>
      <c r="D118" s="5"/>
      <c r="E118" s="67"/>
      <c r="F118" s="2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>
      <c r="A119" s="5"/>
      <c r="B119" s="5"/>
      <c r="C119" s="5"/>
      <c r="D119" s="5"/>
      <c r="E119" s="67"/>
      <c r="F119" s="2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>
      <c r="A120" s="5"/>
      <c r="B120" s="5"/>
      <c r="C120" s="5"/>
      <c r="D120" s="5"/>
      <c r="E120" s="67"/>
      <c r="F120" s="2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>
      <c r="A121" s="5"/>
      <c r="B121" s="5"/>
      <c r="C121" s="5"/>
      <c r="D121" s="5"/>
      <c r="E121" s="67"/>
      <c r="F121" s="2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>
      <c r="A122" s="5"/>
      <c r="B122" s="5"/>
      <c r="C122" s="5"/>
      <c r="D122" s="5"/>
      <c r="E122" s="67"/>
      <c r="F122" s="2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>
      <c r="A123" s="5"/>
      <c r="B123" s="5"/>
      <c r="C123" s="5"/>
      <c r="D123" s="5"/>
      <c r="E123" s="67"/>
      <c r="F123" s="2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>
      <c r="A124" s="5"/>
      <c r="B124" s="5"/>
      <c r="C124" s="5"/>
      <c r="D124" s="5"/>
      <c r="E124" s="67"/>
      <c r="F124" s="2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>
      <c r="A125" s="5"/>
      <c r="B125" s="5"/>
      <c r="C125" s="5"/>
      <c r="D125" s="5"/>
      <c r="E125" s="67"/>
      <c r="F125" s="2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>
      <c r="A126" s="5"/>
      <c r="B126" s="5"/>
      <c r="C126" s="5"/>
      <c r="D126" s="5"/>
      <c r="E126" s="67"/>
      <c r="F126" s="2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>
      <c r="A127" s="5"/>
      <c r="B127" s="5"/>
      <c r="C127" s="5"/>
      <c r="D127" s="5"/>
      <c r="E127" s="67"/>
      <c r="F127" s="2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>
      <c r="A128" s="5"/>
      <c r="B128" s="5"/>
      <c r="C128" s="5"/>
      <c r="D128" s="5"/>
      <c r="E128" s="67"/>
      <c r="F128" s="2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>
      <c r="A129" s="5"/>
      <c r="B129" s="5"/>
      <c r="C129" s="5"/>
      <c r="D129" s="5"/>
      <c r="E129" s="67"/>
      <c r="F129" s="2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>
      <c r="A130" s="5"/>
      <c r="B130" s="5"/>
      <c r="C130" s="5"/>
      <c r="D130" s="5"/>
      <c r="E130" s="67"/>
      <c r="F130" s="2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>
      <c r="A131" s="5"/>
      <c r="B131" s="5"/>
      <c r="C131" s="5"/>
      <c r="D131" s="5"/>
      <c r="E131" s="67"/>
      <c r="F131" s="2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>
      <c r="A132" s="5"/>
      <c r="B132" s="5"/>
      <c r="C132" s="5"/>
      <c r="D132" s="5"/>
      <c r="E132" s="67"/>
      <c r="F132" s="2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>
      <c r="A133" s="5"/>
      <c r="B133" s="5"/>
      <c r="C133" s="5"/>
      <c r="D133" s="5"/>
      <c r="E133" s="67"/>
      <c r="F133" s="2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>
      <c r="A134" s="5"/>
      <c r="B134" s="5"/>
      <c r="C134" s="5"/>
      <c r="D134" s="5"/>
      <c r="E134" s="67"/>
      <c r="F134" s="2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>
      <c r="A135" s="5"/>
      <c r="B135" s="5"/>
      <c r="C135" s="5"/>
      <c r="D135" s="5"/>
      <c r="E135" s="67"/>
      <c r="F135" s="2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>
      <c r="A136" s="5"/>
      <c r="B136" s="5"/>
      <c r="C136" s="5"/>
      <c r="D136" s="5"/>
      <c r="E136" s="67"/>
      <c r="F136" s="2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>
      <c r="A137" s="5"/>
      <c r="B137" s="5"/>
      <c r="C137" s="5"/>
      <c r="D137" s="5"/>
      <c r="E137" s="67"/>
      <c r="F137" s="2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>
      <c r="A138" s="5"/>
      <c r="B138" s="5"/>
      <c r="C138" s="5"/>
      <c r="D138" s="5"/>
      <c r="E138" s="67"/>
      <c r="F138" s="2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>
      <c r="A139" s="5"/>
      <c r="B139" s="5"/>
      <c r="C139" s="5"/>
      <c r="D139" s="5"/>
      <c r="E139" s="67"/>
      <c r="F139" s="2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>
      <c r="A140" s="5"/>
      <c r="B140" s="5"/>
      <c r="C140" s="5"/>
      <c r="D140" s="5"/>
      <c r="E140" s="67"/>
      <c r="F140" s="2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>
      <c r="A141" s="5"/>
      <c r="B141" s="5"/>
      <c r="C141" s="5"/>
      <c r="D141" s="5"/>
      <c r="E141" s="67"/>
      <c r="F141" s="2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>
      <c r="A142" s="5"/>
      <c r="B142" s="5"/>
      <c r="C142" s="5"/>
      <c r="D142" s="5"/>
      <c r="E142" s="67"/>
      <c r="F142" s="2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>
      <c r="A143" s="5"/>
      <c r="B143" s="5"/>
      <c r="C143" s="5"/>
      <c r="D143" s="5"/>
      <c r="E143" s="67"/>
      <c r="F143" s="2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>
      <c r="A144" s="5"/>
      <c r="B144" s="5"/>
      <c r="C144" s="5"/>
      <c r="D144" s="5"/>
      <c r="E144" s="67"/>
      <c r="F144" s="2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>
      <c r="A145" s="5"/>
      <c r="B145" s="5"/>
      <c r="C145" s="5"/>
      <c r="D145" s="5"/>
      <c r="E145" s="67"/>
      <c r="F145" s="2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>
      <c r="A146" s="5"/>
      <c r="B146" s="5"/>
      <c r="C146" s="5"/>
      <c r="D146" s="5"/>
      <c r="E146" s="67"/>
      <c r="F146" s="2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>
      <c r="A147" s="5"/>
      <c r="B147" s="5"/>
      <c r="C147" s="5"/>
      <c r="D147" s="5"/>
      <c r="E147" s="67"/>
      <c r="F147" s="2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>
      <c r="A148" s="5"/>
      <c r="B148" s="5"/>
      <c r="C148" s="5"/>
      <c r="D148" s="5"/>
      <c r="E148" s="67"/>
      <c r="F148" s="2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>
      <c r="A149" s="5"/>
      <c r="B149" s="5"/>
      <c r="C149" s="5"/>
      <c r="D149" s="5"/>
      <c r="E149" s="67"/>
      <c r="F149" s="2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>
      <c r="A150" s="5"/>
      <c r="B150" s="5"/>
      <c r="C150" s="5"/>
      <c r="D150" s="5"/>
      <c r="E150" s="67"/>
      <c r="F150" s="2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>
      <c r="A151" s="5"/>
      <c r="B151" s="5"/>
      <c r="C151" s="5"/>
      <c r="D151" s="5"/>
      <c r="E151" s="67"/>
      <c r="F151" s="2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>
      <c r="A152" s="5"/>
      <c r="B152" s="5"/>
      <c r="C152" s="5"/>
      <c r="D152" s="5"/>
      <c r="E152" s="67"/>
      <c r="F152" s="2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>
      <c r="A153" s="5"/>
      <c r="B153" s="5"/>
      <c r="C153" s="5"/>
      <c r="D153" s="5"/>
      <c r="E153" s="67"/>
      <c r="F153" s="2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>
      <c r="A154" s="5"/>
      <c r="B154" s="5"/>
      <c r="C154" s="5"/>
      <c r="D154" s="5"/>
      <c r="E154" s="67"/>
      <c r="F154" s="2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>
      <c r="A155" s="5"/>
      <c r="B155" s="5"/>
      <c r="C155" s="5"/>
      <c r="D155" s="5"/>
      <c r="E155" s="67"/>
      <c r="F155" s="2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>
      <c r="A156" s="5"/>
      <c r="B156" s="5"/>
      <c r="C156" s="5"/>
      <c r="D156" s="5"/>
      <c r="E156" s="67"/>
      <c r="F156" s="2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>
      <c r="A157" s="5"/>
      <c r="B157" s="5"/>
      <c r="C157" s="5"/>
      <c r="D157" s="5"/>
      <c r="E157" s="67"/>
      <c r="F157" s="2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>
      <c r="A158" s="5"/>
      <c r="B158" s="5"/>
      <c r="C158" s="5"/>
      <c r="D158" s="5"/>
      <c r="E158" s="67"/>
      <c r="F158" s="2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>
      <c r="A159" s="5"/>
      <c r="B159" s="5"/>
      <c r="C159" s="5"/>
      <c r="D159" s="5"/>
      <c r="E159" s="67"/>
      <c r="F159" s="2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>
      <c r="A160" s="5"/>
      <c r="B160" s="5"/>
      <c r="C160" s="5"/>
      <c r="D160" s="5"/>
      <c r="E160" s="67"/>
      <c r="F160" s="2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>
      <c r="A161" s="5"/>
      <c r="B161" s="5"/>
      <c r="C161" s="5"/>
      <c r="D161" s="5"/>
      <c r="E161" s="67"/>
      <c r="F161" s="2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>
      <c r="A162" s="5"/>
      <c r="B162" s="5"/>
      <c r="C162" s="5"/>
      <c r="D162" s="5"/>
      <c r="E162" s="67"/>
      <c r="F162" s="2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>
      <c r="A163" s="5"/>
      <c r="B163" s="5"/>
      <c r="C163" s="5"/>
      <c r="D163" s="5"/>
      <c r="E163" s="67"/>
      <c r="F163" s="2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>
      <c r="A164" s="5"/>
      <c r="B164" s="5"/>
      <c r="C164" s="5"/>
      <c r="D164" s="5"/>
      <c r="E164" s="67"/>
      <c r="F164" s="2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>
      <c r="A165" s="5"/>
      <c r="B165" s="5"/>
      <c r="C165" s="5"/>
      <c r="D165" s="5"/>
      <c r="E165" s="67"/>
      <c r="F165" s="2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>
      <c r="A166" s="5"/>
      <c r="B166" s="5"/>
      <c r="C166" s="5"/>
      <c r="D166" s="5"/>
      <c r="E166" s="67"/>
      <c r="F166" s="2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>
      <c r="A167" s="5"/>
      <c r="B167" s="5"/>
      <c r="C167" s="5"/>
      <c r="D167" s="5"/>
      <c r="E167" s="67"/>
      <c r="F167" s="2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>
      <c r="A168" s="5"/>
      <c r="B168" s="5"/>
      <c r="C168" s="5"/>
      <c r="D168" s="5"/>
      <c r="E168" s="67"/>
      <c r="F168" s="2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>
      <c r="A169" s="5"/>
      <c r="B169" s="5"/>
      <c r="C169" s="5"/>
      <c r="D169" s="5"/>
      <c r="E169" s="67"/>
      <c r="F169" s="2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>
      <c r="A170" s="5"/>
      <c r="B170" s="5"/>
      <c r="C170" s="5"/>
      <c r="D170" s="5"/>
      <c r="E170" s="67"/>
      <c r="F170" s="2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>
      <c r="A171" s="5"/>
      <c r="B171" s="5"/>
      <c r="C171" s="5"/>
      <c r="D171" s="5"/>
      <c r="E171" s="67"/>
      <c r="F171" s="2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>
      <c r="A172" s="5"/>
      <c r="B172" s="5"/>
      <c r="C172" s="5"/>
      <c r="D172" s="5"/>
      <c r="E172" s="67"/>
      <c r="F172" s="2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>
      <c r="A173" s="5"/>
      <c r="B173" s="5"/>
      <c r="C173" s="5"/>
      <c r="D173" s="5"/>
      <c r="E173" s="67"/>
      <c r="F173" s="2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>
      <c r="A174" s="5"/>
      <c r="B174" s="5"/>
      <c r="C174" s="5"/>
      <c r="D174" s="5"/>
      <c r="E174" s="67"/>
      <c r="F174" s="2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>
      <c r="A175" s="5"/>
      <c r="B175" s="5"/>
      <c r="C175" s="5"/>
      <c r="D175" s="5"/>
      <c r="E175" s="67"/>
      <c r="F175" s="2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>
      <c r="A176" s="5"/>
      <c r="B176" s="5"/>
      <c r="C176" s="5"/>
      <c r="D176" s="5"/>
      <c r="E176" s="67"/>
      <c r="F176" s="2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>
      <c r="A177" s="5"/>
      <c r="B177" s="5"/>
      <c r="C177" s="5"/>
      <c r="D177" s="5"/>
      <c r="E177" s="67"/>
      <c r="F177" s="2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>
      <c r="A178" s="5"/>
      <c r="B178" s="5"/>
      <c r="C178" s="5"/>
      <c r="D178" s="5"/>
      <c r="E178" s="67"/>
      <c r="F178" s="2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>
      <c r="A179" s="5"/>
      <c r="B179" s="5"/>
      <c r="C179" s="5"/>
      <c r="D179" s="5"/>
      <c r="E179" s="67"/>
      <c r="F179" s="2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>
      <c r="A180" s="5"/>
      <c r="B180" s="5"/>
      <c r="C180" s="5"/>
      <c r="D180" s="5"/>
      <c r="E180" s="67"/>
      <c r="F180" s="2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>
      <c r="A181" s="5"/>
      <c r="B181" s="5"/>
      <c r="C181" s="5"/>
      <c r="D181" s="5"/>
      <c r="E181" s="67"/>
      <c r="F181" s="2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>
      <c r="A182" s="5"/>
      <c r="B182" s="5"/>
      <c r="C182" s="5"/>
      <c r="D182" s="5"/>
      <c r="E182" s="67"/>
      <c r="F182" s="2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>
      <c r="A183" s="5"/>
      <c r="B183" s="5"/>
      <c r="C183" s="5"/>
      <c r="D183" s="5"/>
      <c r="E183" s="67"/>
      <c r="F183" s="2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>
      <c r="A184" s="5"/>
      <c r="B184" s="5"/>
      <c r="C184" s="5"/>
      <c r="D184" s="5"/>
      <c r="E184" s="67"/>
      <c r="F184" s="2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>
      <c r="A185" s="5"/>
      <c r="B185" s="5"/>
      <c r="C185" s="5"/>
      <c r="D185" s="5"/>
      <c r="E185" s="67"/>
      <c r="F185" s="2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>
      <c r="A186" s="5"/>
      <c r="B186" s="5"/>
      <c r="C186" s="5"/>
      <c r="D186" s="5"/>
      <c r="E186" s="67"/>
      <c r="F186" s="2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>
      <c r="A187" s="5"/>
      <c r="B187" s="5"/>
      <c r="C187" s="5"/>
      <c r="D187" s="5"/>
      <c r="E187" s="67"/>
      <c r="F187" s="2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>
      <c r="A188" s="5"/>
      <c r="B188" s="5"/>
      <c r="C188" s="5"/>
      <c r="D188" s="5"/>
      <c r="E188" s="67"/>
      <c r="F188" s="2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>
      <c r="A189" s="5"/>
      <c r="B189" s="5"/>
      <c r="C189" s="5"/>
      <c r="D189" s="5"/>
      <c r="E189" s="67"/>
      <c r="F189" s="2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>
      <c r="A190" s="5"/>
      <c r="B190" s="5"/>
      <c r="C190" s="5"/>
      <c r="D190" s="5"/>
      <c r="E190" s="67"/>
      <c r="F190" s="2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>
      <c r="A191" s="5"/>
      <c r="B191" s="5"/>
      <c r="C191" s="5"/>
      <c r="D191" s="5"/>
      <c r="E191" s="67"/>
      <c r="F191" s="2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>
      <c r="A192" s="5"/>
      <c r="B192" s="5"/>
      <c r="C192" s="5"/>
      <c r="D192" s="5"/>
      <c r="E192" s="67"/>
      <c r="F192" s="2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>
      <c r="A193" s="5"/>
      <c r="B193" s="5"/>
      <c r="C193" s="5"/>
      <c r="D193" s="5"/>
      <c r="E193" s="67"/>
      <c r="F193" s="2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>
      <c r="A194" s="5"/>
      <c r="B194" s="5"/>
      <c r="C194" s="5"/>
      <c r="D194" s="5"/>
      <c r="E194" s="67"/>
      <c r="F194" s="2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>
      <c r="A195" s="5"/>
      <c r="B195" s="5"/>
      <c r="C195" s="5"/>
      <c r="D195" s="5"/>
      <c r="E195" s="67"/>
      <c r="F195" s="2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>
      <c r="A196" s="5"/>
      <c r="B196" s="5"/>
      <c r="C196" s="5"/>
      <c r="D196" s="5"/>
      <c r="E196" s="67"/>
      <c r="F196" s="2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>
      <c r="A197" s="5"/>
      <c r="B197" s="5"/>
      <c r="C197" s="5"/>
      <c r="D197" s="5"/>
      <c r="E197" s="67"/>
      <c r="F197" s="2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>
      <c r="A198" s="5"/>
      <c r="B198" s="5"/>
      <c r="C198" s="5"/>
      <c r="D198" s="5"/>
      <c r="E198" s="67"/>
      <c r="F198" s="2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>
      <c r="A199" s="5"/>
      <c r="B199" s="5"/>
      <c r="C199" s="5"/>
      <c r="D199" s="5"/>
      <c r="E199" s="67"/>
      <c r="F199" s="2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>
      <c r="A200" s="5"/>
      <c r="B200" s="5"/>
      <c r="C200" s="5"/>
      <c r="D200" s="5"/>
      <c r="E200" s="67"/>
      <c r="F200" s="2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>
      <c r="A201" s="5"/>
      <c r="B201" s="5"/>
      <c r="C201" s="5"/>
      <c r="D201" s="5"/>
      <c r="E201" s="67"/>
      <c r="F201" s="2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>
      <c r="A202" s="5"/>
      <c r="B202" s="5"/>
      <c r="C202" s="5"/>
      <c r="D202" s="5"/>
      <c r="E202" s="67"/>
      <c r="F202" s="2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>
      <c r="A203" s="5"/>
      <c r="B203" s="5"/>
      <c r="C203" s="5"/>
      <c r="D203" s="5"/>
      <c r="E203" s="67"/>
      <c r="F203" s="2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>
      <c r="A204" s="5"/>
      <c r="B204" s="5"/>
      <c r="C204" s="5"/>
      <c r="D204" s="5"/>
      <c r="E204" s="67"/>
      <c r="F204" s="2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>
      <c r="A205" s="5"/>
      <c r="B205" s="5"/>
      <c r="C205" s="5"/>
      <c r="D205" s="5"/>
      <c r="E205" s="67"/>
      <c r="F205" s="2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>
      <c r="A206" s="5"/>
      <c r="B206" s="5"/>
      <c r="C206" s="5"/>
      <c r="D206" s="5"/>
      <c r="E206" s="67"/>
      <c r="F206" s="2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>
      <c r="A207" s="5"/>
      <c r="B207" s="5"/>
      <c r="C207" s="5"/>
      <c r="D207" s="5"/>
      <c r="E207" s="67"/>
      <c r="F207" s="2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>
      <c r="A208" s="5"/>
      <c r="B208" s="5"/>
      <c r="C208" s="5"/>
      <c r="D208" s="5"/>
      <c r="E208" s="67"/>
      <c r="F208" s="2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>
      <c r="A209" s="5"/>
      <c r="B209" s="5"/>
      <c r="C209" s="5"/>
      <c r="D209" s="5"/>
      <c r="E209" s="67"/>
      <c r="F209" s="2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>
      <c r="A210" s="5"/>
      <c r="B210" s="5"/>
      <c r="C210" s="5"/>
      <c r="D210" s="5"/>
      <c r="E210" s="67"/>
      <c r="F210" s="2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>
      <c r="A211" s="5"/>
      <c r="B211" s="5"/>
      <c r="C211" s="5"/>
      <c r="D211" s="5"/>
      <c r="E211" s="67"/>
      <c r="F211" s="2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>
      <c r="A212" s="5"/>
      <c r="B212" s="5"/>
      <c r="C212" s="5"/>
      <c r="D212" s="5"/>
      <c r="E212" s="67"/>
      <c r="F212" s="2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>
      <c r="A213" s="5"/>
      <c r="B213" s="5"/>
      <c r="C213" s="5"/>
      <c r="D213" s="5"/>
      <c r="E213" s="67"/>
      <c r="F213" s="2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>
      <c r="A214" s="5"/>
      <c r="B214" s="5"/>
      <c r="C214" s="5"/>
      <c r="D214" s="5"/>
      <c r="E214" s="67"/>
      <c r="F214" s="2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>
      <c r="A215" s="5"/>
      <c r="B215" s="5"/>
      <c r="C215" s="5"/>
      <c r="D215" s="5"/>
      <c r="E215" s="67"/>
      <c r="F215" s="2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>
      <c r="A216" s="5"/>
      <c r="B216" s="5"/>
      <c r="C216" s="5"/>
      <c r="D216" s="5"/>
      <c r="E216" s="67"/>
      <c r="F216" s="2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>
      <c r="A217" s="5"/>
      <c r="B217" s="5"/>
      <c r="C217" s="5"/>
      <c r="D217" s="5"/>
      <c r="E217" s="67"/>
      <c r="F217" s="2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>
      <c r="A218" s="5"/>
      <c r="B218" s="5"/>
      <c r="C218" s="5"/>
      <c r="D218" s="5"/>
      <c r="E218" s="67"/>
      <c r="F218" s="2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>
      <c r="A219" s="5"/>
      <c r="B219" s="5"/>
      <c r="C219" s="5"/>
      <c r="D219" s="5"/>
      <c r="E219" s="67"/>
      <c r="F219" s="2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>
      <c r="A220" s="5"/>
      <c r="B220" s="5"/>
      <c r="C220" s="5"/>
      <c r="D220" s="5"/>
      <c r="E220" s="67"/>
      <c r="F220" s="2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>
      <c r="A221" s="5"/>
      <c r="B221" s="5"/>
      <c r="C221" s="5"/>
      <c r="D221" s="5"/>
      <c r="E221" s="67"/>
      <c r="F221" s="2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>
      <c r="A222" s="5"/>
      <c r="B222" s="5"/>
      <c r="C222" s="5"/>
      <c r="D222" s="5"/>
      <c r="E222" s="67"/>
      <c r="F222" s="2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>
      <c r="A223" s="5"/>
      <c r="B223" s="5"/>
      <c r="C223" s="5"/>
      <c r="D223" s="5"/>
      <c r="E223" s="67"/>
      <c r="F223" s="2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>
      <c r="A224" s="5"/>
      <c r="B224" s="5"/>
      <c r="C224" s="5"/>
      <c r="D224" s="5"/>
      <c r="E224" s="67"/>
      <c r="F224" s="2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>
      <c r="A225" s="5"/>
      <c r="B225" s="5"/>
      <c r="C225" s="5"/>
      <c r="D225" s="5"/>
      <c r="E225" s="67"/>
      <c r="F225" s="2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>
      <c r="A226" s="5"/>
      <c r="B226" s="5"/>
      <c r="C226" s="5"/>
      <c r="D226" s="5"/>
      <c r="E226" s="67"/>
      <c r="F226" s="2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>
      <c r="A227" s="5"/>
      <c r="B227" s="5"/>
      <c r="C227" s="5"/>
      <c r="D227" s="5"/>
      <c r="E227" s="67"/>
      <c r="F227" s="2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>
      <c r="A228" s="5"/>
      <c r="B228" s="5"/>
      <c r="C228" s="5"/>
      <c r="D228" s="5"/>
      <c r="E228" s="67"/>
      <c r="F228" s="2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>
      <c r="A229" s="5"/>
      <c r="B229" s="5"/>
      <c r="C229" s="5"/>
      <c r="D229" s="5"/>
      <c r="E229" s="67"/>
      <c r="F229" s="2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>
      <c r="A230" s="5"/>
      <c r="B230" s="5"/>
      <c r="C230" s="5"/>
      <c r="D230" s="5"/>
      <c r="E230" s="67"/>
      <c r="F230" s="2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>
      <c r="A231" s="5"/>
      <c r="B231" s="5"/>
      <c r="C231" s="5"/>
      <c r="D231" s="5"/>
      <c r="E231" s="67"/>
      <c r="F231" s="2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>
      <c r="A232" s="5"/>
      <c r="B232" s="5"/>
      <c r="C232" s="5"/>
      <c r="D232" s="5"/>
      <c r="E232" s="67"/>
      <c r="F232" s="2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>
      <c r="A233" s="5"/>
      <c r="B233" s="5"/>
      <c r="C233" s="5"/>
      <c r="D233" s="5"/>
      <c r="E233" s="67"/>
      <c r="F233" s="2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>
      <c r="A234" s="5"/>
      <c r="B234" s="5"/>
      <c r="C234" s="5"/>
      <c r="D234" s="5"/>
      <c r="E234" s="67"/>
      <c r="F234" s="2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>
      <c r="A235" s="5"/>
      <c r="B235" s="5"/>
      <c r="C235" s="5"/>
      <c r="D235" s="5"/>
      <c r="E235" s="67"/>
      <c r="F235" s="2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>
      <c r="A236" s="5"/>
      <c r="B236" s="5"/>
      <c r="C236" s="5"/>
      <c r="D236" s="5"/>
      <c r="E236" s="67"/>
      <c r="F236" s="2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>
      <c r="A237" s="5"/>
      <c r="B237" s="5"/>
      <c r="C237" s="5"/>
      <c r="D237" s="5"/>
      <c r="E237" s="67"/>
      <c r="F237" s="2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>
      <c r="A238" s="5"/>
      <c r="B238" s="5"/>
      <c r="C238" s="5"/>
      <c r="D238" s="5"/>
      <c r="E238" s="67"/>
      <c r="F238" s="2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>
      <c r="A239" s="5"/>
      <c r="B239" s="5"/>
      <c r="C239" s="5"/>
      <c r="D239" s="5"/>
      <c r="E239" s="67"/>
      <c r="F239" s="2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>
      <c r="A240" s="5"/>
      <c r="B240" s="5"/>
      <c r="C240" s="5"/>
      <c r="D240" s="5"/>
      <c r="E240" s="67"/>
      <c r="F240" s="2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>
      <c r="A241" s="5"/>
      <c r="B241" s="5"/>
      <c r="C241" s="5"/>
      <c r="D241" s="5"/>
      <c r="E241" s="67"/>
      <c r="F241" s="2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>
      <c r="A242" s="5"/>
      <c r="B242" s="5"/>
      <c r="C242" s="5"/>
      <c r="D242" s="5"/>
      <c r="E242" s="67"/>
      <c r="F242" s="2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>
      <c r="A243" s="5"/>
      <c r="B243" s="5"/>
      <c r="C243" s="5"/>
      <c r="D243" s="5"/>
      <c r="E243" s="67"/>
      <c r="F243" s="2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>
      <c r="A244" s="5"/>
      <c r="B244" s="5"/>
      <c r="C244" s="5"/>
      <c r="D244" s="5"/>
      <c r="E244" s="67"/>
      <c r="F244" s="2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>
      <c r="A245" s="5"/>
      <c r="B245" s="5"/>
      <c r="C245" s="5"/>
      <c r="D245" s="5"/>
      <c r="E245" s="67"/>
      <c r="F245" s="2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>
      <c r="A246" s="5"/>
      <c r="B246" s="5"/>
      <c r="C246" s="5"/>
      <c r="D246" s="5"/>
      <c r="E246" s="67"/>
      <c r="F246" s="2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>
      <c r="A247" s="5"/>
      <c r="B247" s="5"/>
      <c r="C247" s="5"/>
      <c r="D247" s="5"/>
      <c r="E247" s="67"/>
      <c r="F247" s="2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>
      <c r="A248" s="5"/>
      <c r="B248" s="5"/>
      <c r="C248" s="5"/>
      <c r="D248" s="5"/>
      <c r="E248" s="67"/>
      <c r="F248" s="2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>
      <c r="A249" s="5"/>
      <c r="B249" s="5"/>
      <c r="C249" s="5"/>
      <c r="D249" s="5"/>
      <c r="E249" s="67"/>
      <c r="F249" s="2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>
      <c r="A250" s="5"/>
      <c r="B250" s="5"/>
      <c r="C250" s="5"/>
      <c r="D250" s="5"/>
      <c r="E250" s="67"/>
      <c r="F250" s="2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>
      <c r="A251" s="5"/>
      <c r="B251" s="5"/>
      <c r="C251" s="5"/>
      <c r="D251" s="5"/>
      <c r="E251" s="67"/>
      <c r="F251" s="2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>
      <c r="A252" s="5"/>
      <c r="B252" s="5"/>
      <c r="C252" s="5"/>
      <c r="D252" s="5"/>
      <c r="E252" s="67"/>
      <c r="F252" s="2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>
      <c r="A253" s="5"/>
      <c r="B253" s="5"/>
      <c r="C253" s="5"/>
      <c r="D253" s="5"/>
      <c r="E253" s="67"/>
      <c r="F253" s="2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>
      <c r="A254" s="5"/>
      <c r="B254" s="5"/>
      <c r="C254" s="5"/>
      <c r="D254" s="5"/>
      <c r="E254" s="67"/>
      <c r="F254" s="2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>
      <c r="A255" s="5"/>
      <c r="B255" s="5"/>
      <c r="C255" s="5"/>
      <c r="D255" s="5"/>
      <c r="E255" s="67"/>
      <c r="F255" s="2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>
      <c r="A256" s="5"/>
      <c r="B256" s="5"/>
      <c r="C256" s="5"/>
      <c r="D256" s="5"/>
      <c r="E256" s="67"/>
      <c r="F256" s="2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>
      <c r="A257" s="5"/>
      <c r="B257" s="5"/>
      <c r="C257" s="5"/>
      <c r="D257" s="5"/>
      <c r="E257" s="67"/>
      <c r="F257" s="2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>
      <c r="A258" s="5"/>
      <c r="B258" s="5"/>
      <c r="C258" s="5"/>
      <c r="D258" s="5"/>
      <c r="E258" s="67"/>
      <c r="F258" s="2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>
      <c r="A259" s="5"/>
      <c r="B259" s="5"/>
      <c r="C259" s="5"/>
      <c r="D259" s="5"/>
      <c r="E259" s="67"/>
      <c r="F259" s="2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>
      <c r="A260" s="5"/>
      <c r="B260" s="5"/>
      <c r="C260" s="5"/>
      <c r="D260" s="5"/>
      <c r="E260" s="67"/>
      <c r="F260" s="2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>
      <c r="A261" s="5"/>
      <c r="B261" s="5"/>
      <c r="C261" s="5"/>
      <c r="D261" s="5"/>
      <c r="E261" s="67"/>
      <c r="F261" s="2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>
      <c r="A262" s="5"/>
      <c r="B262" s="5"/>
      <c r="C262" s="5"/>
      <c r="D262" s="5"/>
      <c r="E262" s="67"/>
      <c r="F262" s="2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>
      <c r="A263" s="5"/>
      <c r="B263" s="5"/>
      <c r="C263" s="5"/>
      <c r="D263" s="5"/>
      <c r="E263" s="67"/>
      <c r="F263" s="2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>
      <c r="A264" s="5"/>
      <c r="B264" s="5"/>
      <c r="C264" s="5"/>
      <c r="D264" s="5"/>
      <c r="E264" s="67"/>
      <c r="F264" s="2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>
      <c r="A265" s="5"/>
      <c r="B265" s="5"/>
      <c r="C265" s="5"/>
      <c r="D265" s="5"/>
      <c r="E265" s="67"/>
      <c r="F265" s="2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>
      <c r="A266" s="5"/>
      <c r="B266" s="5"/>
      <c r="C266" s="5"/>
      <c r="D266" s="5"/>
      <c r="E266" s="67"/>
      <c r="F266" s="2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>
      <c r="A267" s="5"/>
      <c r="B267" s="5"/>
      <c r="C267" s="5"/>
      <c r="D267" s="5"/>
      <c r="E267" s="67"/>
      <c r="F267" s="2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>
      <c r="A268" s="5"/>
      <c r="B268" s="5"/>
      <c r="C268" s="5"/>
      <c r="D268" s="5"/>
      <c r="E268" s="67"/>
      <c r="F268" s="2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>
      <c r="A269" s="5"/>
      <c r="B269" s="5"/>
      <c r="C269" s="5"/>
      <c r="D269" s="5"/>
      <c r="E269" s="67"/>
      <c r="F269" s="2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>
      <c r="A270" s="5"/>
      <c r="B270" s="5"/>
      <c r="C270" s="5"/>
      <c r="D270" s="5"/>
      <c r="E270" s="67"/>
      <c r="F270" s="2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>
      <c r="A271" s="5"/>
      <c r="B271" s="5"/>
      <c r="C271" s="5"/>
      <c r="D271" s="5"/>
      <c r="E271" s="67"/>
      <c r="F271" s="2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>
      <c r="A272" s="5"/>
      <c r="B272" s="5"/>
      <c r="C272" s="5"/>
      <c r="D272" s="5"/>
      <c r="E272" s="67"/>
      <c r="F272" s="2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>
      <c r="A273" s="5"/>
      <c r="B273" s="5"/>
      <c r="C273" s="5"/>
      <c r="D273" s="5"/>
      <c r="E273" s="67"/>
      <c r="F273" s="2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>
      <c r="A274" s="5"/>
      <c r="B274" s="5"/>
      <c r="C274" s="5"/>
      <c r="D274" s="5"/>
      <c r="E274" s="67"/>
      <c r="F274" s="2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>
      <c r="A275" s="5"/>
      <c r="B275" s="5"/>
      <c r="C275" s="5"/>
      <c r="D275" s="5"/>
      <c r="E275" s="67"/>
      <c r="F275" s="2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>
      <c r="A276" s="5"/>
      <c r="B276" s="5"/>
      <c r="C276" s="5"/>
      <c r="D276" s="5"/>
      <c r="E276" s="67"/>
      <c r="F276" s="2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>
      <c r="A277" s="5"/>
      <c r="B277" s="5"/>
      <c r="C277" s="5"/>
      <c r="D277" s="5"/>
      <c r="E277" s="67"/>
      <c r="F277" s="2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>
      <c r="A278" s="5"/>
      <c r="B278" s="5"/>
      <c r="C278" s="5"/>
      <c r="D278" s="5"/>
      <c r="E278" s="67"/>
      <c r="F278" s="2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>
      <c r="A279" s="5"/>
      <c r="B279" s="5"/>
      <c r="C279" s="5"/>
      <c r="D279" s="5"/>
      <c r="E279" s="67"/>
      <c r="F279" s="2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>
      <c r="A280" s="5"/>
      <c r="B280" s="5"/>
      <c r="C280" s="5"/>
      <c r="D280" s="5"/>
      <c r="E280" s="67"/>
      <c r="F280" s="2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>
      <c r="A281" s="5"/>
      <c r="B281" s="5"/>
      <c r="C281" s="5"/>
      <c r="D281" s="5"/>
      <c r="E281" s="67"/>
      <c r="F281" s="2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>
      <c r="A282" s="5"/>
      <c r="B282" s="5"/>
      <c r="C282" s="5"/>
      <c r="D282" s="5"/>
      <c r="E282" s="67"/>
      <c r="F282" s="2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>
      <c r="A283" s="5"/>
      <c r="B283" s="5"/>
      <c r="C283" s="5"/>
      <c r="D283" s="5"/>
      <c r="E283" s="67"/>
      <c r="F283" s="2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>
      <c r="A284" s="5"/>
      <c r="B284" s="5"/>
      <c r="C284" s="5"/>
      <c r="D284" s="5"/>
      <c r="E284" s="67"/>
      <c r="F284" s="2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>
      <c r="A285" s="5"/>
      <c r="B285" s="5"/>
      <c r="C285" s="5"/>
      <c r="D285" s="5"/>
      <c r="E285" s="67"/>
      <c r="F285" s="2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>
      <c r="A286" s="5"/>
      <c r="B286" s="5"/>
      <c r="C286" s="5"/>
      <c r="D286" s="5"/>
      <c r="E286" s="67"/>
      <c r="F286" s="2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>
      <c r="A287" s="5"/>
      <c r="B287" s="5"/>
      <c r="C287" s="5"/>
      <c r="D287" s="5"/>
      <c r="E287" s="67"/>
      <c r="F287" s="2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>
      <c r="A288" s="5"/>
      <c r="B288" s="5"/>
      <c r="C288" s="5"/>
      <c r="D288" s="5"/>
      <c r="E288" s="67"/>
      <c r="F288" s="2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>
      <c r="A289" s="5"/>
      <c r="B289" s="5"/>
      <c r="C289" s="5"/>
      <c r="D289" s="5"/>
      <c r="E289" s="67"/>
      <c r="F289" s="2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>
      <c r="A290" s="5"/>
      <c r="B290" s="5"/>
      <c r="C290" s="5"/>
      <c r="D290" s="5"/>
      <c r="E290" s="67"/>
      <c r="F290" s="2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>
      <c r="A291" s="5"/>
      <c r="B291" s="5"/>
      <c r="C291" s="5"/>
      <c r="D291" s="5"/>
      <c r="E291" s="67"/>
      <c r="F291" s="2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>
      <c r="A292" s="5"/>
      <c r="B292" s="5"/>
      <c r="C292" s="5"/>
      <c r="D292" s="5"/>
      <c r="E292" s="67"/>
      <c r="F292" s="2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>
      <c r="A293" s="5"/>
      <c r="B293" s="5"/>
      <c r="C293" s="5"/>
      <c r="D293" s="5"/>
      <c r="E293" s="67"/>
      <c r="F293" s="2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>
      <c r="A294" s="5"/>
      <c r="B294" s="5"/>
      <c r="C294" s="5"/>
      <c r="D294" s="5"/>
      <c r="E294" s="67"/>
      <c r="F294" s="2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>
      <c r="A295" s="5"/>
      <c r="B295" s="5"/>
      <c r="C295" s="5"/>
      <c r="D295" s="5"/>
      <c r="E295" s="67"/>
      <c r="F295" s="2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>
      <c r="A296" s="5"/>
      <c r="B296" s="5"/>
      <c r="C296" s="5"/>
      <c r="D296" s="5"/>
      <c r="E296" s="67"/>
      <c r="F296" s="2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>
      <c r="A297" s="5"/>
      <c r="B297" s="5"/>
      <c r="C297" s="5"/>
      <c r="D297" s="5"/>
      <c r="E297" s="67"/>
      <c r="F297" s="2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>
      <c r="A298" s="5"/>
      <c r="B298" s="5"/>
      <c r="C298" s="5"/>
      <c r="D298" s="5"/>
      <c r="E298" s="67"/>
      <c r="F298" s="2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>
      <c r="A299" s="5"/>
      <c r="B299" s="5"/>
      <c r="C299" s="5"/>
      <c r="D299" s="5"/>
      <c r="E299" s="67"/>
      <c r="F299" s="2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>
      <c r="A300" s="5"/>
      <c r="B300" s="5"/>
      <c r="C300" s="5"/>
      <c r="D300" s="5"/>
      <c r="E300" s="67"/>
      <c r="F300" s="2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>
      <c r="A301" s="5"/>
      <c r="B301" s="5"/>
      <c r="C301" s="5"/>
      <c r="D301" s="5"/>
      <c r="E301" s="67"/>
      <c r="F301" s="2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>
      <c r="A302" s="5"/>
      <c r="B302" s="5"/>
      <c r="C302" s="5"/>
      <c r="D302" s="5"/>
      <c r="E302" s="67"/>
      <c r="F302" s="2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>
      <c r="A303" s="5"/>
      <c r="B303" s="5"/>
      <c r="C303" s="5"/>
      <c r="D303" s="5"/>
      <c r="E303" s="67"/>
      <c r="F303" s="2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>
      <c r="A304" s="5"/>
      <c r="B304" s="5"/>
      <c r="C304" s="5"/>
      <c r="D304" s="5"/>
      <c r="E304" s="67"/>
      <c r="F304" s="2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>
      <c r="A305" s="5"/>
      <c r="B305" s="5"/>
      <c r="C305" s="5"/>
      <c r="D305" s="5"/>
      <c r="E305" s="67"/>
      <c r="F305" s="2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>
      <c r="A306" s="5"/>
      <c r="B306" s="5"/>
      <c r="C306" s="5"/>
      <c r="D306" s="5"/>
      <c r="E306" s="67"/>
      <c r="F306" s="2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>
      <c r="A307" s="5"/>
      <c r="B307" s="5"/>
      <c r="C307" s="5"/>
      <c r="D307" s="5"/>
      <c r="E307" s="67"/>
      <c r="F307" s="2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>
      <c r="A308" s="5"/>
      <c r="B308" s="5"/>
      <c r="C308" s="5"/>
      <c r="D308" s="5"/>
      <c r="E308" s="67"/>
      <c r="F308" s="2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>
      <c r="A309" s="5"/>
      <c r="B309" s="5"/>
      <c r="C309" s="5"/>
      <c r="D309" s="5"/>
      <c r="E309" s="67"/>
      <c r="F309" s="2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>
      <c r="A310" s="5"/>
      <c r="B310" s="5"/>
      <c r="C310" s="5"/>
      <c r="D310" s="5"/>
      <c r="E310" s="67"/>
      <c r="F310" s="2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>
      <c r="A311" s="5"/>
      <c r="B311" s="5"/>
      <c r="C311" s="5"/>
      <c r="D311" s="5"/>
      <c r="E311" s="67"/>
      <c r="F311" s="2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>
      <c r="A312" s="5"/>
      <c r="B312" s="5"/>
      <c r="C312" s="5"/>
      <c r="D312" s="5"/>
      <c r="E312" s="67"/>
      <c r="F312" s="2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>
      <c r="A313" s="5"/>
      <c r="B313" s="5"/>
      <c r="C313" s="5"/>
      <c r="D313" s="5"/>
      <c r="E313" s="67"/>
      <c r="F313" s="2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>
      <c r="A314" s="5"/>
      <c r="B314" s="5"/>
      <c r="C314" s="5"/>
      <c r="D314" s="5"/>
      <c r="E314" s="67"/>
      <c r="F314" s="2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>
      <c r="A315" s="5"/>
      <c r="B315" s="5"/>
      <c r="C315" s="5"/>
      <c r="D315" s="5"/>
      <c r="E315" s="67"/>
      <c r="F315" s="2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>
      <c r="A316" s="5"/>
      <c r="B316" s="5"/>
      <c r="C316" s="5"/>
      <c r="D316" s="5"/>
      <c r="E316" s="67"/>
      <c r="F316" s="2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>
      <c r="A317" s="5"/>
      <c r="B317" s="5"/>
      <c r="C317" s="5"/>
      <c r="D317" s="5"/>
      <c r="E317" s="67"/>
      <c r="F317" s="2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>
      <c r="A318" s="5"/>
      <c r="B318" s="5"/>
      <c r="C318" s="5"/>
      <c r="D318" s="5"/>
      <c r="E318" s="67"/>
      <c r="F318" s="2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>
      <c r="A319" s="5"/>
      <c r="B319" s="5"/>
      <c r="C319" s="5"/>
      <c r="D319" s="5"/>
      <c r="E319" s="67"/>
      <c r="F319" s="2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>
      <c r="A320" s="5"/>
      <c r="B320" s="5"/>
      <c r="C320" s="5"/>
      <c r="D320" s="5"/>
      <c r="E320" s="67"/>
      <c r="F320" s="2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>
      <c r="A321" s="5"/>
      <c r="B321" s="5"/>
      <c r="C321" s="5"/>
      <c r="D321" s="5"/>
      <c r="E321" s="67"/>
      <c r="F321" s="2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>
      <c r="A322" s="5"/>
      <c r="B322" s="5"/>
      <c r="C322" s="5"/>
      <c r="D322" s="5"/>
      <c r="E322" s="67"/>
      <c r="F322" s="2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>
      <c r="A323" s="5"/>
      <c r="B323" s="5"/>
      <c r="C323" s="5"/>
      <c r="D323" s="5"/>
      <c r="E323" s="67"/>
      <c r="F323" s="2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>
      <c r="A324" s="5"/>
      <c r="B324" s="5"/>
      <c r="C324" s="5"/>
      <c r="D324" s="5"/>
      <c r="E324" s="67"/>
      <c r="F324" s="2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>
      <c r="A325" s="5"/>
      <c r="B325" s="5"/>
      <c r="C325" s="5"/>
      <c r="D325" s="5"/>
      <c r="E325" s="67"/>
      <c r="F325" s="2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>
      <c r="A326" s="5"/>
      <c r="B326" s="5"/>
      <c r="C326" s="5"/>
      <c r="D326" s="5"/>
      <c r="E326" s="67"/>
      <c r="F326" s="2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>
      <c r="A327" s="5"/>
      <c r="B327" s="5"/>
      <c r="C327" s="5"/>
      <c r="D327" s="5"/>
      <c r="E327" s="67"/>
      <c r="F327" s="2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>
      <c r="A328" s="5"/>
      <c r="B328" s="5"/>
      <c r="C328" s="5"/>
      <c r="D328" s="5"/>
      <c r="E328" s="67"/>
      <c r="F328" s="2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>
      <c r="A329" s="5"/>
      <c r="B329" s="5"/>
      <c r="C329" s="5"/>
      <c r="D329" s="5"/>
      <c r="E329" s="67"/>
      <c r="F329" s="2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>
      <c r="A330" s="5"/>
      <c r="B330" s="5"/>
      <c r="C330" s="5"/>
      <c r="D330" s="5"/>
      <c r="E330" s="67"/>
      <c r="F330" s="2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>
      <c r="A331" s="5"/>
      <c r="B331" s="5"/>
      <c r="C331" s="5"/>
      <c r="D331" s="5"/>
      <c r="E331" s="67"/>
      <c r="F331" s="2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>
      <c r="A332" s="5"/>
      <c r="B332" s="5"/>
      <c r="C332" s="5"/>
      <c r="D332" s="5"/>
      <c r="E332" s="67"/>
      <c r="F332" s="2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>
      <c r="A333" s="5"/>
      <c r="B333" s="5"/>
      <c r="C333" s="5"/>
      <c r="D333" s="5"/>
      <c r="E333" s="67"/>
      <c r="F333" s="2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>
      <c r="A334" s="5"/>
      <c r="B334" s="5"/>
      <c r="C334" s="5"/>
      <c r="D334" s="5"/>
      <c r="E334" s="67"/>
      <c r="F334" s="2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>
      <c r="A335" s="5"/>
      <c r="B335" s="5"/>
      <c r="C335" s="5"/>
      <c r="D335" s="5"/>
      <c r="E335" s="67"/>
      <c r="F335" s="2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>
      <c r="A336" s="5"/>
      <c r="B336" s="5"/>
      <c r="C336" s="5"/>
      <c r="D336" s="5"/>
      <c r="E336" s="67"/>
      <c r="F336" s="2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>
      <c r="A337" s="5"/>
      <c r="B337" s="5"/>
      <c r="C337" s="5"/>
      <c r="D337" s="5"/>
      <c r="E337" s="67"/>
      <c r="F337" s="2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>
      <c r="A338" s="5"/>
      <c r="B338" s="5"/>
      <c r="C338" s="5"/>
      <c r="D338" s="5"/>
      <c r="E338" s="67"/>
      <c r="F338" s="2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>
      <c r="A339" s="5"/>
      <c r="B339" s="5"/>
      <c r="C339" s="5"/>
      <c r="D339" s="5"/>
      <c r="E339" s="67"/>
      <c r="F339" s="2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>
      <c r="A340" s="5"/>
      <c r="B340" s="5"/>
      <c r="C340" s="5"/>
      <c r="D340" s="5"/>
      <c r="E340" s="67"/>
      <c r="F340" s="2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>
      <c r="A341" s="5"/>
      <c r="B341" s="5"/>
      <c r="C341" s="5"/>
      <c r="D341" s="5"/>
      <c r="E341" s="67"/>
      <c r="F341" s="2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>
      <c r="A342" s="5"/>
      <c r="B342" s="5"/>
      <c r="C342" s="5"/>
      <c r="D342" s="5"/>
      <c r="E342" s="67"/>
      <c r="F342" s="2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>
      <c r="A343" s="5"/>
      <c r="B343" s="5"/>
      <c r="C343" s="5"/>
      <c r="D343" s="5"/>
      <c r="E343" s="67"/>
      <c r="F343" s="2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>
      <c r="A344" s="5"/>
      <c r="B344" s="5"/>
      <c r="C344" s="5"/>
      <c r="D344" s="5"/>
      <c r="E344" s="67"/>
      <c r="F344" s="2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>
      <c r="A345" s="5"/>
      <c r="B345" s="5"/>
      <c r="C345" s="5"/>
      <c r="D345" s="5"/>
      <c r="E345" s="67"/>
      <c r="F345" s="2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>
      <c r="A346" s="5"/>
      <c r="B346" s="5"/>
      <c r="C346" s="5"/>
      <c r="D346" s="5"/>
      <c r="E346" s="67"/>
      <c r="F346" s="2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>
      <c r="A347" s="5"/>
      <c r="B347" s="5"/>
      <c r="C347" s="5"/>
      <c r="D347" s="5"/>
      <c r="E347" s="67"/>
      <c r="F347" s="2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>
      <c r="A348" s="5"/>
      <c r="B348" s="5"/>
      <c r="C348" s="5"/>
      <c r="D348" s="5"/>
      <c r="E348" s="67"/>
      <c r="F348" s="2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>
      <c r="A349" s="5"/>
      <c r="B349" s="5"/>
      <c r="C349" s="5"/>
      <c r="D349" s="5"/>
      <c r="E349" s="67"/>
      <c r="F349" s="2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>
      <c r="A350" s="5"/>
      <c r="B350" s="5"/>
      <c r="C350" s="5"/>
      <c r="D350" s="5"/>
      <c r="E350" s="67"/>
      <c r="F350" s="2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>
      <c r="A351" s="5"/>
      <c r="B351" s="5"/>
      <c r="C351" s="5"/>
      <c r="D351" s="5"/>
      <c r="E351" s="67"/>
      <c r="F351" s="2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>
      <c r="A352" s="5"/>
      <c r="B352" s="5"/>
      <c r="C352" s="5"/>
      <c r="D352" s="5"/>
      <c r="E352" s="67"/>
      <c r="F352" s="2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>
      <c r="A353" s="5"/>
      <c r="B353" s="5"/>
      <c r="C353" s="5"/>
      <c r="D353" s="5"/>
      <c r="E353" s="67"/>
      <c r="F353" s="2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>
      <c r="A354" s="5"/>
      <c r="B354" s="5"/>
      <c r="C354" s="5"/>
      <c r="D354" s="5"/>
      <c r="E354" s="67"/>
      <c r="F354" s="2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>
      <c r="A355" s="5"/>
      <c r="B355" s="5"/>
      <c r="C355" s="5"/>
      <c r="D355" s="5"/>
      <c r="E355" s="67"/>
      <c r="F355" s="2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>
      <c r="A356" s="5"/>
      <c r="B356" s="5"/>
      <c r="C356" s="5"/>
      <c r="D356" s="5"/>
      <c r="E356" s="67"/>
      <c r="F356" s="2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>
      <c r="A357" s="5"/>
      <c r="B357" s="5"/>
      <c r="C357" s="5"/>
      <c r="D357" s="5"/>
      <c r="E357" s="67"/>
      <c r="F357" s="2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>
      <c r="A358" s="5"/>
      <c r="B358" s="5"/>
      <c r="C358" s="5"/>
      <c r="D358" s="5"/>
      <c r="E358" s="67"/>
      <c r="F358" s="2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>
      <c r="A359" s="5"/>
      <c r="B359" s="5"/>
      <c r="C359" s="5"/>
      <c r="D359" s="5"/>
      <c r="E359" s="67"/>
      <c r="F359" s="2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>
      <c r="A360" s="5"/>
      <c r="B360" s="5"/>
      <c r="C360" s="5"/>
      <c r="D360" s="5"/>
      <c r="E360" s="67"/>
      <c r="F360" s="2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>
      <c r="A361" s="5"/>
      <c r="B361" s="5"/>
      <c r="C361" s="5"/>
      <c r="D361" s="5"/>
      <c r="E361" s="67"/>
      <c r="F361" s="2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>
      <c r="A362" s="5"/>
      <c r="B362" s="5"/>
      <c r="C362" s="5"/>
      <c r="D362" s="5"/>
      <c r="E362" s="67"/>
      <c r="F362" s="2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>
      <c r="A363" s="5"/>
      <c r="B363" s="5"/>
      <c r="C363" s="5"/>
      <c r="D363" s="5"/>
      <c r="E363" s="67"/>
      <c r="F363" s="2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>
      <c r="A364" s="5"/>
      <c r="B364" s="5"/>
      <c r="C364" s="5"/>
      <c r="D364" s="5"/>
      <c r="E364" s="67"/>
      <c r="F364" s="2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>
      <c r="A365" s="5"/>
      <c r="B365" s="5"/>
      <c r="C365" s="5"/>
      <c r="D365" s="5"/>
      <c r="E365" s="67"/>
      <c r="F365" s="2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>
      <c r="A366" s="5"/>
      <c r="B366" s="5"/>
      <c r="C366" s="5"/>
      <c r="D366" s="5"/>
      <c r="E366" s="67"/>
      <c r="F366" s="2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>
      <c r="A367" s="5"/>
      <c r="B367" s="5"/>
      <c r="C367" s="5"/>
      <c r="D367" s="5"/>
      <c r="E367" s="67"/>
      <c r="F367" s="2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>
      <c r="A368" s="5"/>
      <c r="B368" s="5"/>
      <c r="C368" s="5"/>
      <c r="D368" s="5"/>
      <c r="E368" s="67"/>
      <c r="F368" s="2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>
      <c r="A369" s="5"/>
      <c r="B369" s="5"/>
      <c r="C369" s="5"/>
      <c r="D369" s="5"/>
      <c r="E369" s="67"/>
      <c r="F369" s="2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>
      <c r="A370" s="5"/>
      <c r="B370" s="5"/>
      <c r="C370" s="5"/>
      <c r="D370" s="5"/>
      <c r="E370" s="67"/>
      <c r="F370" s="2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>
      <c r="A371" s="5"/>
      <c r="B371" s="5"/>
      <c r="C371" s="5"/>
      <c r="D371" s="5"/>
      <c r="E371" s="67"/>
      <c r="F371" s="2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>
      <c r="A372" s="5"/>
      <c r="B372" s="5"/>
      <c r="C372" s="5"/>
      <c r="D372" s="5"/>
      <c r="E372" s="67"/>
      <c r="F372" s="2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>
      <c r="A373" s="5"/>
      <c r="B373" s="5"/>
      <c r="C373" s="5"/>
      <c r="D373" s="5"/>
      <c r="E373" s="67"/>
      <c r="F373" s="2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>
      <c r="A374" s="5"/>
      <c r="B374" s="5"/>
      <c r="C374" s="5"/>
      <c r="D374" s="5"/>
      <c r="E374" s="67"/>
      <c r="F374" s="2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>
      <c r="A375" s="5"/>
      <c r="B375" s="5"/>
      <c r="C375" s="5"/>
      <c r="D375" s="5"/>
      <c r="E375" s="67"/>
      <c r="F375" s="2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>
      <c r="A376" s="5"/>
      <c r="B376" s="5"/>
      <c r="C376" s="5"/>
      <c r="D376" s="5"/>
      <c r="E376" s="67"/>
      <c r="F376" s="2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>
      <c r="A377" s="5"/>
      <c r="B377" s="5"/>
      <c r="C377" s="5"/>
      <c r="D377" s="5"/>
      <c r="E377" s="67"/>
      <c r="F377" s="2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>
      <c r="A378" s="5"/>
      <c r="B378" s="5"/>
      <c r="C378" s="5"/>
      <c r="D378" s="5"/>
      <c r="E378" s="67"/>
      <c r="F378" s="2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>
      <c r="A379" s="5"/>
      <c r="B379" s="5"/>
      <c r="C379" s="5"/>
      <c r="D379" s="5"/>
      <c r="E379" s="67"/>
      <c r="F379" s="2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>
      <c r="A380" s="5"/>
      <c r="B380" s="5"/>
      <c r="C380" s="5"/>
      <c r="D380" s="5"/>
      <c r="E380" s="67"/>
      <c r="F380" s="2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>
      <c r="A381" s="5"/>
      <c r="B381" s="5"/>
      <c r="C381" s="5"/>
      <c r="D381" s="5"/>
      <c r="E381" s="67"/>
      <c r="F381" s="2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>
      <c r="A382" s="5"/>
      <c r="B382" s="5"/>
      <c r="C382" s="5"/>
      <c r="D382" s="5"/>
      <c r="E382" s="67"/>
      <c r="F382" s="2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>
      <c r="A383" s="5"/>
      <c r="B383" s="5"/>
      <c r="C383" s="5"/>
      <c r="D383" s="5"/>
      <c r="E383" s="67"/>
      <c r="F383" s="2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>
      <c r="A384" s="5"/>
      <c r="B384" s="5"/>
      <c r="C384" s="5"/>
      <c r="D384" s="5"/>
      <c r="E384" s="67"/>
      <c r="F384" s="2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>
      <c r="A385" s="5"/>
      <c r="B385" s="5"/>
      <c r="C385" s="5"/>
      <c r="D385" s="5"/>
      <c r="E385" s="67"/>
      <c r="F385" s="2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>
      <c r="A386" s="5"/>
      <c r="B386" s="5"/>
      <c r="C386" s="5"/>
      <c r="D386" s="5"/>
      <c r="E386" s="67"/>
      <c r="F386" s="2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>
      <c r="A387" s="5"/>
      <c r="B387" s="5"/>
      <c r="C387" s="5"/>
      <c r="D387" s="5"/>
      <c r="E387" s="67"/>
      <c r="F387" s="2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>
      <c r="A388" s="5"/>
      <c r="B388" s="5"/>
      <c r="C388" s="5"/>
      <c r="D388" s="5"/>
      <c r="E388" s="67"/>
      <c r="F388" s="2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>
      <c r="A389" s="5"/>
      <c r="B389" s="5"/>
      <c r="C389" s="5"/>
      <c r="D389" s="5"/>
      <c r="E389" s="67"/>
      <c r="F389" s="2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>
      <c r="A390" s="5"/>
      <c r="B390" s="5"/>
      <c r="C390" s="5"/>
      <c r="D390" s="5"/>
      <c r="E390" s="67"/>
      <c r="F390" s="2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>
      <c r="A391" s="5"/>
      <c r="B391" s="5"/>
      <c r="C391" s="5"/>
      <c r="D391" s="5"/>
      <c r="E391" s="67"/>
      <c r="F391" s="2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>
      <c r="A392" s="5"/>
      <c r="B392" s="5"/>
      <c r="C392" s="5"/>
      <c r="D392" s="5"/>
      <c r="E392" s="67"/>
      <c r="F392" s="2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>
      <c r="A393" s="5"/>
      <c r="B393" s="5"/>
      <c r="C393" s="5"/>
      <c r="D393" s="5"/>
      <c r="E393" s="67"/>
      <c r="F393" s="2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>
      <c r="A394" s="5"/>
      <c r="B394" s="5"/>
      <c r="C394" s="5"/>
      <c r="D394" s="5"/>
      <c r="E394" s="67"/>
      <c r="F394" s="2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>
      <c r="A395" s="5"/>
      <c r="B395" s="5"/>
      <c r="C395" s="5"/>
      <c r="D395" s="5"/>
      <c r="E395" s="67"/>
      <c r="F395" s="2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>
      <c r="A396" s="5"/>
      <c r="B396" s="5"/>
      <c r="C396" s="5"/>
      <c r="D396" s="5"/>
      <c r="E396" s="67"/>
      <c r="F396" s="2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>
      <c r="A397" s="5"/>
      <c r="B397" s="5"/>
      <c r="C397" s="5"/>
      <c r="D397" s="5"/>
      <c r="E397" s="67"/>
      <c r="F397" s="2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>
      <c r="A398" s="5"/>
      <c r="B398" s="5"/>
      <c r="C398" s="5"/>
      <c r="D398" s="5"/>
      <c r="E398" s="67"/>
      <c r="F398" s="2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>
      <c r="A399" s="5"/>
      <c r="B399" s="5"/>
      <c r="C399" s="5"/>
      <c r="D399" s="5"/>
      <c r="E399" s="67"/>
      <c r="F399" s="2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>
      <c r="A400" s="5"/>
      <c r="B400" s="5"/>
      <c r="C400" s="5"/>
      <c r="D400" s="5"/>
      <c r="E400" s="67"/>
      <c r="F400" s="2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>
      <c r="A401" s="5"/>
      <c r="B401" s="5"/>
      <c r="C401" s="5"/>
      <c r="D401" s="5"/>
      <c r="E401" s="67"/>
      <c r="F401" s="2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>
      <c r="A402" s="5"/>
      <c r="B402" s="5"/>
      <c r="C402" s="5"/>
      <c r="D402" s="5"/>
      <c r="E402" s="67"/>
      <c r="F402" s="2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>
      <c r="A403" s="5"/>
      <c r="B403" s="5"/>
      <c r="C403" s="5"/>
      <c r="D403" s="5"/>
      <c r="E403" s="67"/>
      <c r="F403" s="2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>
      <c r="A404" s="5"/>
      <c r="B404" s="5"/>
      <c r="C404" s="5"/>
      <c r="D404" s="5"/>
      <c r="E404" s="67"/>
      <c r="F404" s="2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>
      <c r="A405" s="5"/>
      <c r="B405" s="5"/>
      <c r="C405" s="5"/>
      <c r="D405" s="5"/>
      <c r="E405" s="67"/>
      <c r="F405" s="2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>
      <c r="A406" s="5"/>
      <c r="B406" s="5"/>
      <c r="C406" s="5"/>
      <c r="D406" s="5"/>
      <c r="E406" s="67"/>
      <c r="F406" s="2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>
      <c r="A407" s="5"/>
      <c r="B407" s="5"/>
      <c r="C407" s="5"/>
      <c r="D407" s="5"/>
      <c r="E407" s="67"/>
      <c r="F407" s="2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>
      <c r="A408" s="5"/>
      <c r="B408" s="5"/>
      <c r="C408" s="5"/>
      <c r="D408" s="5"/>
      <c r="E408" s="67"/>
      <c r="F408" s="2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>
      <c r="A409" s="5"/>
      <c r="B409" s="5"/>
      <c r="C409" s="5"/>
      <c r="D409" s="5"/>
      <c r="E409" s="67"/>
      <c r="F409" s="2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>
      <c r="A410" s="5"/>
      <c r="B410" s="5"/>
      <c r="C410" s="5"/>
      <c r="D410" s="5"/>
      <c r="E410" s="67"/>
      <c r="F410" s="2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>
      <c r="A411" s="5"/>
      <c r="B411" s="5"/>
      <c r="C411" s="5"/>
      <c r="D411" s="5"/>
      <c r="E411" s="67"/>
      <c r="F411" s="2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>
      <c r="A412" s="5"/>
      <c r="B412" s="5"/>
      <c r="C412" s="5"/>
      <c r="D412" s="5"/>
      <c r="E412" s="67"/>
      <c r="F412" s="2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>
      <c r="A413" s="5"/>
      <c r="B413" s="5"/>
      <c r="C413" s="5"/>
      <c r="D413" s="5"/>
      <c r="E413" s="67"/>
      <c r="F413" s="2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>
      <c r="A414" s="5"/>
      <c r="B414" s="5"/>
      <c r="C414" s="5"/>
      <c r="D414" s="5"/>
      <c r="E414" s="67"/>
      <c r="F414" s="2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>
      <c r="A415" s="5"/>
      <c r="B415" s="5"/>
      <c r="C415" s="5"/>
      <c r="D415" s="5"/>
      <c r="E415" s="67"/>
      <c r="F415" s="2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>
      <c r="A416" s="5"/>
      <c r="B416" s="5"/>
      <c r="C416" s="5"/>
      <c r="D416" s="5"/>
      <c r="E416" s="67"/>
      <c r="F416" s="2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>
      <c r="A417" s="5"/>
      <c r="B417" s="5"/>
      <c r="C417" s="5"/>
      <c r="D417" s="5"/>
      <c r="E417" s="67"/>
      <c r="F417" s="2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>
      <c r="A418" s="5"/>
      <c r="B418" s="5"/>
      <c r="C418" s="5"/>
      <c r="D418" s="5"/>
      <c r="E418" s="67"/>
      <c r="F418" s="2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>
      <c r="A419" s="5"/>
      <c r="B419" s="5"/>
      <c r="C419" s="5"/>
      <c r="D419" s="5"/>
      <c r="E419" s="67"/>
      <c r="F419" s="2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>
      <c r="A420" s="5"/>
      <c r="B420" s="5"/>
      <c r="C420" s="5"/>
      <c r="D420" s="5"/>
      <c r="E420" s="67"/>
      <c r="F420" s="2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>
      <c r="A421" s="5"/>
      <c r="B421" s="5"/>
      <c r="C421" s="5"/>
      <c r="D421" s="5"/>
      <c r="E421" s="67"/>
      <c r="F421" s="2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>
      <c r="A422" s="5"/>
      <c r="B422" s="5"/>
      <c r="C422" s="5"/>
      <c r="D422" s="5"/>
      <c r="E422" s="67"/>
      <c r="F422" s="2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>
      <c r="A423" s="5"/>
      <c r="B423" s="5"/>
      <c r="C423" s="5"/>
      <c r="D423" s="5"/>
      <c r="E423" s="67"/>
      <c r="F423" s="2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>
      <c r="A424" s="5"/>
      <c r="B424" s="5"/>
      <c r="C424" s="5"/>
      <c r="D424" s="5"/>
      <c r="E424" s="67"/>
      <c r="F424" s="2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>
      <c r="A425" s="5"/>
      <c r="B425" s="5"/>
      <c r="C425" s="5"/>
      <c r="D425" s="5"/>
      <c r="E425" s="67"/>
      <c r="F425" s="2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>
      <c r="A426" s="5"/>
      <c r="B426" s="5"/>
      <c r="C426" s="5"/>
      <c r="D426" s="5"/>
      <c r="E426" s="67"/>
      <c r="F426" s="2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>
      <c r="A427" s="5"/>
      <c r="B427" s="5"/>
      <c r="C427" s="5"/>
      <c r="D427" s="5"/>
      <c r="E427" s="67"/>
      <c r="F427" s="2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>
      <c r="A428" s="5"/>
      <c r="B428" s="5"/>
      <c r="C428" s="5"/>
      <c r="D428" s="5"/>
      <c r="E428" s="67"/>
      <c r="F428" s="2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>
      <c r="A429" s="5"/>
      <c r="B429" s="5"/>
      <c r="C429" s="5"/>
      <c r="D429" s="5"/>
      <c r="E429" s="67"/>
      <c r="F429" s="2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>
      <c r="A430" s="5"/>
      <c r="B430" s="5"/>
      <c r="C430" s="5"/>
      <c r="D430" s="5"/>
      <c r="E430" s="67"/>
      <c r="F430" s="2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>
      <c r="A431" s="5"/>
      <c r="B431" s="5"/>
      <c r="C431" s="5"/>
      <c r="D431" s="5"/>
      <c r="E431" s="67"/>
      <c r="F431" s="2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>
      <c r="A432" s="5"/>
      <c r="B432" s="5"/>
      <c r="C432" s="5"/>
      <c r="D432" s="5"/>
      <c r="E432" s="67"/>
      <c r="F432" s="2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>
      <c r="A433" s="5"/>
      <c r="B433" s="5"/>
      <c r="C433" s="5"/>
      <c r="D433" s="5"/>
      <c r="E433" s="67"/>
      <c r="F433" s="2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>
      <c r="A434" s="5"/>
      <c r="B434" s="5"/>
      <c r="C434" s="5"/>
      <c r="D434" s="5"/>
      <c r="E434" s="67"/>
      <c r="F434" s="2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>
      <c r="A435" s="5"/>
      <c r="B435" s="5"/>
      <c r="C435" s="5"/>
      <c r="D435" s="5"/>
      <c r="E435" s="67"/>
      <c r="F435" s="2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>
      <c r="A436" s="5"/>
      <c r="B436" s="5"/>
      <c r="C436" s="5"/>
      <c r="D436" s="5"/>
      <c r="E436" s="67"/>
      <c r="F436" s="2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>
      <c r="A437" s="5"/>
      <c r="B437" s="5"/>
      <c r="C437" s="5"/>
      <c r="D437" s="5"/>
      <c r="E437" s="67"/>
      <c r="F437" s="2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>
      <c r="A438" s="5"/>
      <c r="B438" s="5"/>
      <c r="C438" s="5"/>
      <c r="D438" s="5"/>
      <c r="E438" s="67"/>
      <c r="F438" s="2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>
      <c r="A439" s="5"/>
      <c r="B439" s="5"/>
      <c r="C439" s="5"/>
      <c r="D439" s="5"/>
      <c r="E439" s="67"/>
      <c r="F439" s="2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>
      <c r="A440" s="5"/>
      <c r="B440" s="5"/>
      <c r="C440" s="5"/>
      <c r="D440" s="5"/>
      <c r="E440" s="67"/>
      <c r="F440" s="2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>
      <c r="A441" s="5"/>
      <c r="B441" s="5"/>
      <c r="C441" s="5"/>
      <c r="D441" s="5"/>
      <c r="E441" s="67"/>
      <c r="F441" s="2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>
      <c r="A442" s="5"/>
      <c r="B442" s="5"/>
      <c r="C442" s="5"/>
      <c r="D442" s="5"/>
      <c r="E442" s="67"/>
      <c r="F442" s="2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>
      <c r="A443" s="5"/>
      <c r="B443" s="5"/>
      <c r="C443" s="5"/>
      <c r="D443" s="5"/>
      <c r="E443" s="67"/>
      <c r="F443" s="2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>
      <c r="A444" s="5"/>
      <c r="B444" s="5"/>
      <c r="C444" s="5"/>
      <c r="D444" s="5"/>
      <c r="E444" s="67"/>
      <c r="F444" s="2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>
      <c r="A445" s="5"/>
      <c r="B445" s="5"/>
      <c r="C445" s="5"/>
      <c r="D445" s="5"/>
      <c r="E445" s="67"/>
      <c r="F445" s="2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>
      <c r="A446" s="5"/>
      <c r="B446" s="5"/>
      <c r="C446" s="5"/>
      <c r="D446" s="5"/>
      <c r="E446" s="67"/>
      <c r="F446" s="2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>
      <c r="A447" s="5"/>
      <c r="B447" s="5"/>
      <c r="C447" s="5"/>
      <c r="D447" s="5"/>
      <c r="E447" s="67"/>
      <c r="F447" s="2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>
      <c r="A448" s="5"/>
      <c r="B448" s="5"/>
      <c r="C448" s="5"/>
      <c r="D448" s="5"/>
      <c r="E448" s="67"/>
      <c r="F448" s="2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>
      <c r="A449" s="5"/>
      <c r="B449" s="5"/>
      <c r="C449" s="5"/>
      <c r="D449" s="5"/>
      <c r="E449" s="67"/>
      <c r="F449" s="2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>
      <c r="A450" s="5"/>
      <c r="B450" s="5"/>
      <c r="C450" s="5"/>
      <c r="D450" s="5"/>
      <c r="E450" s="67"/>
      <c r="F450" s="2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>
      <c r="A451" s="5"/>
      <c r="B451" s="5"/>
      <c r="C451" s="5"/>
      <c r="D451" s="5"/>
      <c r="E451" s="67"/>
      <c r="F451" s="2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>
      <c r="A452" s="5"/>
      <c r="B452" s="5"/>
      <c r="C452" s="5"/>
      <c r="D452" s="5"/>
      <c r="E452" s="67"/>
      <c r="F452" s="2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>
      <c r="A453" s="5"/>
      <c r="B453" s="5"/>
      <c r="C453" s="5"/>
      <c r="D453" s="5"/>
      <c r="E453" s="67"/>
      <c r="F453" s="2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>
      <c r="A454" s="5"/>
      <c r="B454" s="5"/>
      <c r="C454" s="5"/>
      <c r="D454" s="5"/>
      <c r="E454" s="67"/>
      <c r="F454" s="2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>
      <c r="A455" s="5"/>
      <c r="B455" s="5"/>
      <c r="C455" s="5"/>
      <c r="D455" s="5"/>
      <c r="E455" s="67"/>
      <c r="F455" s="2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>
      <c r="A456" s="5"/>
      <c r="B456" s="5"/>
      <c r="C456" s="5"/>
      <c r="D456" s="5"/>
      <c r="E456" s="67"/>
      <c r="F456" s="2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>
      <c r="A457" s="5"/>
      <c r="B457" s="5"/>
      <c r="C457" s="5"/>
      <c r="D457" s="5"/>
      <c r="E457" s="67"/>
      <c r="F457" s="2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>
      <c r="A458" s="5"/>
      <c r="B458" s="5"/>
      <c r="C458" s="5"/>
      <c r="D458" s="5"/>
      <c r="E458" s="67"/>
      <c r="F458" s="2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>
      <c r="A459" s="5"/>
      <c r="B459" s="5"/>
      <c r="C459" s="5"/>
      <c r="D459" s="5"/>
      <c r="E459" s="67"/>
      <c r="F459" s="2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>
      <c r="A460" s="5"/>
      <c r="B460" s="5"/>
      <c r="C460" s="5"/>
      <c r="D460" s="5"/>
      <c r="E460" s="67"/>
      <c r="F460" s="2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>
      <c r="A461" s="5"/>
      <c r="B461" s="5"/>
      <c r="C461" s="5"/>
      <c r="D461" s="5"/>
      <c r="E461" s="67"/>
      <c r="F461" s="2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>
      <c r="A462" s="5"/>
      <c r="B462" s="5"/>
      <c r="C462" s="5"/>
      <c r="D462" s="5"/>
      <c r="E462" s="67"/>
      <c r="F462" s="2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>
      <c r="A463" s="5"/>
      <c r="B463" s="5"/>
      <c r="C463" s="5"/>
      <c r="D463" s="5"/>
      <c r="E463" s="67"/>
      <c r="F463" s="2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>
      <c r="A464" s="5"/>
      <c r="B464" s="5"/>
      <c r="C464" s="5"/>
      <c r="D464" s="5"/>
      <c r="E464" s="67"/>
      <c r="F464" s="2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>
      <c r="A465" s="5"/>
      <c r="B465" s="5"/>
      <c r="C465" s="5"/>
      <c r="D465" s="5"/>
      <c r="E465" s="67"/>
      <c r="F465" s="2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>
      <c r="A466" s="5"/>
      <c r="B466" s="5"/>
      <c r="C466" s="5"/>
      <c r="D466" s="5"/>
      <c r="E466" s="67"/>
      <c r="F466" s="2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>
      <c r="A467" s="5"/>
      <c r="B467" s="5"/>
      <c r="C467" s="5"/>
      <c r="D467" s="5"/>
      <c r="E467" s="67"/>
      <c r="F467" s="2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>
      <c r="A468" s="5"/>
      <c r="B468" s="5"/>
      <c r="C468" s="5"/>
      <c r="D468" s="5"/>
      <c r="E468" s="67"/>
      <c r="F468" s="2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>
      <c r="A469" s="5"/>
      <c r="B469" s="5"/>
      <c r="C469" s="5"/>
      <c r="D469" s="5"/>
      <c r="E469" s="67"/>
      <c r="F469" s="2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>
      <c r="A470" s="5"/>
      <c r="B470" s="5"/>
      <c r="C470" s="5"/>
      <c r="D470" s="5"/>
      <c r="E470" s="67"/>
      <c r="F470" s="2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>
      <c r="A471" s="5"/>
      <c r="B471" s="5"/>
      <c r="C471" s="5"/>
      <c r="D471" s="5"/>
      <c r="E471" s="67"/>
      <c r="F471" s="2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>
      <c r="A472" s="5"/>
      <c r="B472" s="5"/>
      <c r="C472" s="5"/>
      <c r="D472" s="5"/>
      <c r="E472" s="67"/>
      <c r="F472" s="2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>
      <c r="A473" s="5"/>
      <c r="B473" s="5"/>
      <c r="C473" s="5"/>
      <c r="D473" s="5"/>
      <c r="E473" s="67"/>
      <c r="F473" s="2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>
      <c r="A474" s="5"/>
      <c r="B474" s="5"/>
      <c r="C474" s="5"/>
      <c r="D474" s="5"/>
      <c r="E474" s="67"/>
      <c r="F474" s="2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>
      <c r="A475" s="5"/>
      <c r="B475" s="5"/>
      <c r="C475" s="5"/>
      <c r="D475" s="5"/>
      <c r="E475" s="67"/>
      <c r="F475" s="2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>
      <c r="A476" s="5"/>
      <c r="B476" s="5"/>
      <c r="C476" s="5"/>
      <c r="D476" s="5"/>
      <c r="E476" s="67"/>
      <c r="F476" s="2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>
      <c r="A477" s="5"/>
      <c r="B477" s="5"/>
      <c r="C477" s="5"/>
      <c r="D477" s="5"/>
      <c r="E477" s="67"/>
      <c r="F477" s="2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>
      <c r="A478" s="5"/>
      <c r="B478" s="5"/>
      <c r="C478" s="5"/>
      <c r="D478" s="5"/>
      <c r="E478" s="67"/>
      <c r="F478" s="2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>
      <c r="A479" s="5"/>
      <c r="B479" s="5"/>
      <c r="C479" s="5"/>
      <c r="D479" s="5"/>
      <c r="E479" s="67"/>
      <c r="F479" s="2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>
      <c r="A480" s="5"/>
      <c r="B480" s="5"/>
      <c r="C480" s="5"/>
      <c r="D480" s="5"/>
      <c r="E480" s="67"/>
      <c r="F480" s="2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>
      <c r="A481" s="5"/>
      <c r="B481" s="5"/>
      <c r="C481" s="5"/>
      <c r="D481" s="5"/>
      <c r="E481" s="67"/>
      <c r="F481" s="2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>
      <c r="A482" s="5"/>
      <c r="B482" s="5"/>
      <c r="C482" s="5"/>
      <c r="D482" s="5"/>
      <c r="E482" s="67"/>
      <c r="F482" s="2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>
      <c r="A483" s="5"/>
      <c r="B483" s="5"/>
      <c r="C483" s="5"/>
      <c r="D483" s="5"/>
      <c r="E483" s="67"/>
      <c r="F483" s="2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>
      <c r="A484" s="5"/>
      <c r="B484" s="5"/>
      <c r="C484" s="5"/>
      <c r="D484" s="5"/>
      <c r="E484" s="67"/>
      <c r="F484" s="2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>
      <c r="A485" s="5"/>
      <c r="B485" s="5"/>
      <c r="C485" s="5"/>
      <c r="D485" s="5"/>
      <c r="E485" s="67"/>
      <c r="F485" s="2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>
      <c r="A486" s="5"/>
      <c r="B486" s="5"/>
      <c r="C486" s="5"/>
      <c r="D486" s="5"/>
      <c r="E486" s="67"/>
      <c r="F486" s="2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>
      <c r="A487" s="5"/>
      <c r="B487" s="5"/>
      <c r="C487" s="5"/>
      <c r="D487" s="5"/>
      <c r="E487" s="67"/>
      <c r="F487" s="2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>
      <c r="A488" s="5"/>
      <c r="B488" s="5"/>
      <c r="C488" s="5"/>
      <c r="D488" s="5"/>
      <c r="E488" s="67"/>
      <c r="F488" s="2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>
      <c r="A489" s="5"/>
      <c r="B489" s="5"/>
      <c r="C489" s="5"/>
      <c r="D489" s="5"/>
      <c r="E489" s="67"/>
      <c r="F489" s="2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>
      <c r="A490" s="5"/>
      <c r="B490" s="5"/>
      <c r="C490" s="5"/>
      <c r="D490" s="5"/>
      <c r="E490" s="67"/>
      <c r="F490" s="2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  <row r="491">
      <c r="A491" s="5"/>
      <c r="B491" s="5"/>
      <c r="C491" s="5"/>
      <c r="D491" s="5"/>
      <c r="E491" s="67"/>
      <c r="F491" s="2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>
      <c r="A492" s="5"/>
      <c r="B492" s="5"/>
      <c r="C492" s="5"/>
      <c r="D492" s="5"/>
      <c r="E492" s="67"/>
      <c r="F492" s="2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>
      <c r="A493" s="5"/>
      <c r="B493" s="5"/>
      <c r="C493" s="5"/>
      <c r="D493" s="5"/>
      <c r="E493" s="67"/>
      <c r="F493" s="2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>
      <c r="A494" s="5"/>
      <c r="B494" s="5"/>
      <c r="C494" s="5"/>
      <c r="D494" s="5"/>
      <c r="E494" s="67"/>
      <c r="F494" s="2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>
      <c r="A495" s="5"/>
      <c r="B495" s="5"/>
      <c r="C495" s="5"/>
      <c r="D495" s="5"/>
      <c r="E495" s="67"/>
      <c r="F495" s="2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>
      <c r="A496" s="5"/>
      <c r="B496" s="5"/>
      <c r="C496" s="5"/>
      <c r="D496" s="5"/>
      <c r="E496" s="67"/>
      <c r="F496" s="2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  <row r="497">
      <c r="A497" s="5"/>
      <c r="B497" s="5"/>
      <c r="C497" s="5"/>
      <c r="D497" s="5"/>
      <c r="E497" s="67"/>
      <c r="F497" s="2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</row>
    <row r="498">
      <c r="A498" s="5"/>
      <c r="B498" s="5"/>
      <c r="C498" s="5"/>
      <c r="D498" s="5"/>
      <c r="E498" s="67"/>
      <c r="F498" s="2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</row>
    <row r="499">
      <c r="A499" s="5"/>
      <c r="B499" s="5"/>
      <c r="C499" s="5"/>
      <c r="D499" s="5"/>
      <c r="E499" s="67"/>
      <c r="F499" s="2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</row>
    <row r="500">
      <c r="A500" s="5"/>
      <c r="B500" s="5"/>
      <c r="C500" s="5"/>
      <c r="D500" s="5"/>
      <c r="E500" s="67"/>
      <c r="F500" s="2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</row>
    <row r="501">
      <c r="A501" s="5"/>
      <c r="B501" s="5"/>
      <c r="C501" s="5"/>
      <c r="D501" s="5"/>
      <c r="E501" s="67"/>
      <c r="F501" s="2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</row>
    <row r="502">
      <c r="A502" s="5"/>
      <c r="B502" s="5"/>
      <c r="C502" s="5"/>
      <c r="D502" s="5"/>
      <c r="E502" s="67"/>
      <c r="F502" s="2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</row>
    <row r="503">
      <c r="A503" s="5"/>
      <c r="B503" s="5"/>
      <c r="C503" s="5"/>
      <c r="D503" s="5"/>
      <c r="E503" s="67"/>
      <c r="F503" s="2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</row>
    <row r="504">
      <c r="A504" s="5"/>
      <c r="B504" s="5"/>
      <c r="C504" s="5"/>
      <c r="D504" s="5"/>
      <c r="E504" s="67"/>
      <c r="F504" s="2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</row>
    <row r="505">
      <c r="A505" s="5"/>
      <c r="B505" s="5"/>
      <c r="C505" s="5"/>
      <c r="D505" s="5"/>
      <c r="E505" s="67"/>
      <c r="F505" s="2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</row>
    <row r="506">
      <c r="A506" s="5"/>
      <c r="B506" s="5"/>
      <c r="C506" s="5"/>
      <c r="D506" s="5"/>
      <c r="E506" s="67"/>
      <c r="F506" s="2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</row>
    <row r="507">
      <c r="A507" s="5"/>
      <c r="B507" s="5"/>
      <c r="C507" s="5"/>
      <c r="D507" s="5"/>
      <c r="E507" s="67"/>
      <c r="F507" s="2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</row>
    <row r="508">
      <c r="A508" s="5"/>
      <c r="B508" s="5"/>
      <c r="C508" s="5"/>
      <c r="D508" s="5"/>
      <c r="E508" s="67"/>
      <c r="F508" s="2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</row>
    <row r="509">
      <c r="A509" s="5"/>
      <c r="B509" s="5"/>
      <c r="C509" s="5"/>
      <c r="D509" s="5"/>
      <c r="E509" s="67"/>
      <c r="F509" s="2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</row>
    <row r="510">
      <c r="A510" s="5"/>
      <c r="B510" s="5"/>
      <c r="C510" s="5"/>
      <c r="D510" s="5"/>
      <c r="E510" s="67"/>
      <c r="F510" s="2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</row>
    <row r="511">
      <c r="A511" s="5"/>
      <c r="B511" s="5"/>
      <c r="C511" s="5"/>
      <c r="D511" s="5"/>
      <c r="E511" s="67"/>
      <c r="F511" s="2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</row>
    <row r="512">
      <c r="A512" s="5"/>
      <c r="B512" s="5"/>
      <c r="C512" s="5"/>
      <c r="D512" s="5"/>
      <c r="E512" s="67"/>
      <c r="F512" s="2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</row>
    <row r="513">
      <c r="A513" s="5"/>
      <c r="B513" s="5"/>
      <c r="C513" s="5"/>
      <c r="D513" s="5"/>
      <c r="E513" s="67"/>
      <c r="F513" s="2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</row>
    <row r="514">
      <c r="A514" s="5"/>
      <c r="B514" s="5"/>
      <c r="C514" s="5"/>
      <c r="D514" s="5"/>
      <c r="E514" s="67"/>
      <c r="F514" s="2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</row>
    <row r="515">
      <c r="A515" s="5"/>
      <c r="B515" s="5"/>
      <c r="C515" s="5"/>
      <c r="D515" s="5"/>
      <c r="E515" s="67"/>
      <c r="F515" s="2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</row>
    <row r="516">
      <c r="A516" s="5"/>
      <c r="B516" s="5"/>
      <c r="C516" s="5"/>
      <c r="D516" s="5"/>
      <c r="E516" s="67"/>
      <c r="F516" s="2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</row>
    <row r="517">
      <c r="A517" s="5"/>
      <c r="B517" s="5"/>
      <c r="C517" s="5"/>
      <c r="D517" s="5"/>
      <c r="E517" s="67"/>
      <c r="F517" s="2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</row>
    <row r="518">
      <c r="A518" s="5"/>
      <c r="B518" s="5"/>
      <c r="C518" s="5"/>
      <c r="D518" s="5"/>
      <c r="E518" s="67"/>
      <c r="F518" s="2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</row>
    <row r="519">
      <c r="A519" s="5"/>
      <c r="B519" s="5"/>
      <c r="C519" s="5"/>
      <c r="D519" s="5"/>
      <c r="E519" s="67"/>
      <c r="F519" s="2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</row>
    <row r="520">
      <c r="A520" s="5"/>
      <c r="B520" s="5"/>
      <c r="C520" s="5"/>
      <c r="D520" s="5"/>
      <c r="E520" s="67"/>
      <c r="F520" s="2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</row>
    <row r="521">
      <c r="A521" s="5"/>
      <c r="B521" s="5"/>
      <c r="C521" s="5"/>
      <c r="D521" s="5"/>
      <c r="E521" s="67"/>
      <c r="F521" s="2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</row>
    <row r="522">
      <c r="A522" s="5"/>
      <c r="B522" s="5"/>
      <c r="C522" s="5"/>
      <c r="D522" s="5"/>
      <c r="E522" s="67"/>
      <c r="F522" s="2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</row>
    <row r="523">
      <c r="A523" s="5"/>
      <c r="B523" s="5"/>
      <c r="C523" s="5"/>
      <c r="D523" s="5"/>
      <c r="E523" s="67"/>
      <c r="F523" s="2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</row>
    <row r="524">
      <c r="A524" s="5"/>
      <c r="B524" s="5"/>
      <c r="C524" s="5"/>
      <c r="D524" s="5"/>
      <c r="E524" s="67"/>
      <c r="F524" s="2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</row>
    <row r="525">
      <c r="A525" s="5"/>
      <c r="B525" s="5"/>
      <c r="C525" s="5"/>
      <c r="D525" s="5"/>
      <c r="E525" s="67"/>
      <c r="F525" s="2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</row>
    <row r="526">
      <c r="A526" s="5"/>
      <c r="B526" s="5"/>
      <c r="C526" s="5"/>
      <c r="D526" s="5"/>
      <c r="E526" s="67"/>
      <c r="F526" s="2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</row>
    <row r="527">
      <c r="A527" s="5"/>
      <c r="B527" s="5"/>
      <c r="C527" s="5"/>
      <c r="D527" s="5"/>
      <c r="E527" s="67"/>
      <c r="F527" s="2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</row>
    <row r="528">
      <c r="A528" s="5"/>
      <c r="B528" s="5"/>
      <c r="C528" s="5"/>
      <c r="D528" s="5"/>
      <c r="E528" s="67"/>
      <c r="F528" s="2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</row>
    <row r="529">
      <c r="A529" s="5"/>
      <c r="B529" s="5"/>
      <c r="C529" s="5"/>
      <c r="D529" s="5"/>
      <c r="E529" s="67"/>
      <c r="F529" s="2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</row>
    <row r="530">
      <c r="A530" s="5"/>
      <c r="B530" s="5"/>
      <c r="C530" s="5"/>
      <c r="D530" s="5"/>
      <c r="E530" s="67"/>
      <c r="F530" s="2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</row>
    <row r="531">
      <c r="A531" s="5"/>
      <c r="B531" s="5"/>
      <c r="C531" s="5"/>
      <c r="D531" s="5"/>
      <c r="E531" s="67"/>
      <c r="F531" s="2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</row>
    <row r="532">
      <c r="A532" s="5"/>
      <c r="B532" s="5"/>
      <c r="C532" s="5"/>
      <c r="D532" s="5"/>
      <c r="E532" s="67"/>
      <c r="F532" s="2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</row>
    <row r="533">
      <c r="A533" s="5"/>
      <c r="B533" s="5"/>
      <c r="C533" s="5"/>
      <c r="D533" s="5"/>
      <c r="E533" s="67"/>
      <c r="F533" s="2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</row>
    <row r="534">
      <c r="A534" s="5"/>
      <c r="B534" s="5"/>
      <c r="C534" s="5"/>
      <c r="D534" s="5"/>
      <c r="E534" s="67"/>
      <c r="F534" s="2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</row>
    <row r="535">
      <c r="A535" s="5"/>
      <c r="B535" s="5"/>
      <c r="C535" s="5"/>
      <c r="D535" s="5"/>
      <c r="E535" s="67"/>
      <c r="F535" s="2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</row>
    <row r="536">
      <c r="A536" s="5"/>
      <c r="B536" s="5"/>
      <c r="C536" s="5"/>
      <c r="D536" s="5"/>
      <c r="E536" s="67"/>
      <c r="F536" s="2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</row>
    <row r="537">
      <c r="A537" s="5"/>
      <c r="B537" s="5"/>
      <c r="C537" s="5"/>
      <c r="D537" s="5"/>
      <c r="E537" s="67"/>
      <c r="F537" s="2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</row>
    <row r="538">
      <c r="A538" s="5"/>
      <c r="B538" s="5"/>
      <c r="C538" s="5"/>
      <c r="D538" s="5"/>
      <c r="E538" s="67"/>
      <c r="F538" s="2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</row>
    <row r="539">
      <c r="A539" s="5"/>
      <c r="B539" s="5"/>
      <c r="C539" s="5"/>
      <c r="D539" s="5"/>
      <c r="E539" s="67"/>
      <c r="F539" s="2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</row>
    <row r="540">
      <c r="A540" s="5"/>
      <c r="B540" s="5"/>
      <c r="C540" s="5"/>
      <c r="D540" s="5"/>
      <c r="E540" s="67"/>
      <c r="F540" s="2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</row>
    <row r="541">
      <c r="A541" s="5"/>
      <c r="B541" s="5"/>
      <c r="C541" s="5"/>
      <c r="D541" s="5"/>
      <c r="E541" s="67"/>
      <c r="F541" s="2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</row>
    <row r="542">
      <c r="A542" s="5"/>
      <c r="B542" s="5"/>
      <c r="C542" s="5"/>
      <c r="D542" s="5"/>
      <c r="E542" s="67"/>
      <c r="F542" s="2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</row>
    <row r="543">
      <c r="A543" s="5"/>
      <c r="B543" s="5"/>
      <c r="C543" s="5"/>
      <c r="D543" s="5"/>
      <c r="E543" s="67"/>
      <c r="F543" s="2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</row>
    <row r="544">
      <c r="A544" s="5"/>
      <c r="B544" s="5"/>
      <c r="C544" s="5"/>
      <c r="D544" s="5"/>
      <c r="E544" s="67"/>
      <c r="F544" s="2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</row>
    <row r="545">
      <c r="A545" s="5"/>
      <c r="B545" s="5"/>
      <c r="C545" s="5"/>
      <c r="D545" s="5"/>
      <c r="E545" s="67"/>
      <c r="F545" s="2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</row>
    <row r="546">
      <c r="A546" s="5"/>
      <c r="B546" s="5"/>
      <c r="C546" s="5"/>
      <c r="D546" s="5"/>
      <c r="E546" s="67"/>
      <c r="F546" s="2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</row>
    <row r="547">
      <c r="A547" s="5"/>
      <c r="B547" s="5"/>
      <c r="C547" s="5"/>
      <c r="D547" s="5"/>
      <c r="E547" s="67"/>
      <c r="F547" s="2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</row>
    <row r="548">
      <c r="A548" s="5"/>
      <c r="B548" s="5"/>
      <c r="C548" s="5"/>
      <c r="D548" s="5"/>
      <c r="E548" s="67"/>
      <c r="F548" s="2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</row>
    <row r="549">
      <c r="A549" s="5"/>
      <c r="B549" s="5"/>
      <c r="C549" s="5"/>
      <c r="D549" s="5"/>
      <c r="E549" s="67"/>
      <c r="F549" s="2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</row>
    <row r="550">
      <c r="A550" s="5"/>
      <c r="B550" s="5"/>
      <c r="C550" s="5"/>
      <c r="D550" s="5"/>
      <c r="E550" s="67"/>
      <c r="F550" s="2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</row>
    <row r="551">
      <c r="A551" s="5"/>
      <c r="B551" s="5"/>
      <c r="C551" s="5"/>
      <c r="D551" s="5"/>
      <c r="E551" s="67"/>
      <c r="F551" s="2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</row>
    <row r="552">
      <c r="A552" s="5"/>
      <c r="B552" s="5"/>
      <c r="C552" s="5"/>
      <c r="D552" s="5"/>
      <c r="E552" s="67"/>
      <c r="F552" s="2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</row>
    <row r="553">
      <c r="A553" s="5"/>
      <c r="B553" s="5"/>
      <c r="C553" s="5"/>
      <c r="D553" s="5"/>
      <c r="E553" s="67"/>
      <c r="F553" s="2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</row>
    <row r="554">
      <c r="A554" s="5"/>
      <c r="B554" s="5"/>
      <c r="C554" s="5"/>
      <c r="D554" s="5"/>
      <c r="E554" s="67"/>
      <c r="F554" s="2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</row>
    <row r="555">
      <c r="A555" s="5"/>
      <c r="B555" s="5"/>
      <c r="C555" s="5"/>
      <c r="D555" s="5"/>
      <c r="E555" s="67"/>
      <c r="F555" s="2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</row>
    <row r="556">
      <c r="A556" s="5"/>
      <c r="B556" s="5"/>
      <c r="C556" s="5"/>
      <c r="D556" s="5"/>
      <c r="E556" s="67"/>
      <c r="F556" s="2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</row>
    <row r="557">
      <c r="A557" s="5"/>
      <c r="B557" s="5"/>
      <c r="C557" s="5"/>
      <c r="D557" s="5"/>
      <c r="E557" s="67"/>
      <c r="F557" s="2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</row>
    <row r="558">
      <c r="A558" s="5"/>
      <c r="B558" s="5"/>
      <c r="C558" s="5"/>
      <c r="D558" s="5"/>
      <c r="E558" s="67"/>
      <c r="F558" s="2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</row>
    <row r="559">
      <c r="A559" s="5"/>
      <c r="B559" s="5"/>
      <c r="C559" s="5"/>
      <c r="D559" s="5"/>
      <c r="E559" s="67"/>
      <c r="F559" s="2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</row>
    <row r="560">
      <c r="A560" s="5"/>
      <c r="B560" s="5"/>
      <c r="C560" s="5"/>
      <c r="D560" s="5"/>
      <c r="E560" s="67"/>
      <c r="F560" s="2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</row>
    <row r="561">
      <c r="A561" s="5"/>
      <c r="B561" s="5"/>
      <c r="C561" s="5"/>
      <c r="D561" s="5"/>
      <c r="E561" s="67"/>
      <c r="F561" s="2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</row>
    <row r="562">
      <c r="A562" s="5"/>
      <c r="B562" s="5"/>
      <c r="C562" s="5"/>
      <c r="D562" s="5"/>
      <c r="E562" s="67"/>
      <c r="F562" s="2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</row>
    <row r="563">
      <c r="A563" s="5"/>
      <c r="B563" s="5"/>
      <c r="C563" s="5"/>
      <c r="D563" s="5"/>
      <c r="E563" s="67"/>
      <c r="F563" s="2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</row>
    <row r="564">
      <c r="A564" s="5"/>
      <c r="B564" s="5"/>
      <c r="C564" s="5"/>
      <c r="D564" s="5"/>
      <c r="E564" s="67"/>
      <c r="F564" s="2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</row>
    <row r="565">
      <c r="A565" s="5"/>
      <c r="B565" s="5"/>
      <c r="C565" s="5"/>
      <c r="D565" s="5"/>
      <c r="E565" s="67"/>
      <c r="F565" s="2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</row>
    <row r="566">
      <c r="A566" s="5"/>
      <c r="B566" s="5"/>
      <c r="C566" s="5"/>
      <c r="D566" s="5"/>
      <c r="E566" s="67"/>
      <c r="F566" s="2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</row>
    <row r="567">
      <c r="A567" s="5"/>
      <c r="B567" s="5"/>
      <c r="C567" s="5"/>
      <c r="D567" s="5"/>
      <c r="E567" s="67"/>
      <c r="F567" s="2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</row>
    <row r="568">
      <c r="A568" s="5"/>
      <c r="B568" s="5"/>
      <c r="C568" s="5"/>
      <c r="D568" s="5"/>
      <c r="E568" s="67"/>
      <c r="F568" s="2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</row>
    <row r="569">
      <c r="A569" s="5"/>
      <c r="B569" s="5"/>
      <c r="C569" s="5"/>
      <c r="D569" s="5"/>
      <c r="E569" s="67"/>
      <c r="F569" s="2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</row>
    <row r="570">
      <c r="A570" s="5"/>
      <c r="B570" s="5"/>
      <c r="C570" s="5"/>
      <c r="D570" s="5"/>
      <c r="E570" s="67"/>
      <c r="F570" s="2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</row>
    <row r="571">
      <c r="A571" s="5"/>
      <c r="B571" s="5"/>
      <c r="C571" s="5"/>
      <c r="D571" s="5"/>
      <c r="E571" s="67"/>
      <c r="F571" s="2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</row>
    <row r="572">
      <c r="A572" s="5"/>
      <c r="B572" s="5"/>
      <c r="C572" s="5"/>
      <c r="D572" s="5"/>
      <c r="E572" s="67"/>
      <c r="F572" s="2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</row>
    <row r="573">
      <c r="A573" s="5"/>
      <c r="B573" s="5"/>
      <c r="C573" s="5"/>
      <c r="D573" s="5"/>
      <c r="E573" s="67"/>
      <c r="F573" s="2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</row>
    <row r="574">
      <c r="A574" s="5"/>
      <c r="B574" s="5"/>
      <c r="C574" s="5"/>
      <c r="D574" s="5"/>
      <c r="E574" s="67"/>
      <c r="F574" s="2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</row>
    <row r="575">
      <c r="A575" s="5"/>
      <c r="B575" s="5"/>
      <c r="C575" s="5"/>
      <c r="D575" s="5"/>
      <c r="E575" s="67"/>
      <c r="F575" s="2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</row>
    <row r="576">
      <c r="A576" s="5"/>
      <c r="B576" s="5"/>
      <c r="C576" s="5"/>
      <c r="D576" s="5"/>
      <c r="E576" s="67"/>
      <c r="F576" s="2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</row>
    <row r="577">
      <c r="A577" s="5"/>
      <c r="B577" s="5"/>
      <c r="C577" s="5"/>
      <c r="D577" s="5"/>
      <c r="E577" s="67"/>
      <c r="F577" s="2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</row>
    <row r="578">
      <c r="A578" s="5"/>
      <c r="B578" s="5"/>
      <c r="C578" s="5"/>
      <c r="D578" s="5"/>
      <c r="E578" s="67"/>
      <c r="F578" s="2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</row>
    <row r="579">
      <c r="A579" s="5"/>
      <c r="B579" s="5"/>
      <c r="C579" s="5"/>
      <c r="D579" s="5"/>
      <c r="E579" s="67"/>
      <c r="F579" s="2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</row>
    <row r="580">
      <c r="A580" s="5"/>
      <c r="B580" s="5"/>
      <c r="C580" s="5"/>
      <c r="D580" s="5"/>
      <c r="E580" s="67"/>
      <c r="F580" s="2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</row>
    <row r="581">
      <c r="A581" s="5"/>
      <c r="B581" s="5"/>
      <c r="C581" s="5"/>
      <c r="D581" s="5"/>
      <c r="E581" s="67"/>
      <c r="F581" s="2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</row>
    <row r="582">
      <c r="A582" s="5"/>
      <c r="B582" s="5"/>
      <c r="C582" s="5"/>
      <c r="D582" s="5"/>
      <c r="E582" s="67"/>
      <c r="F582" s="2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</row>
    <row r="583">
      <c r="A583" s="5"/>
      <c r="B583" s="5"/>
      <c r="C583" s="5"/>
      <c r="D583" s="5"/>
      <c r="E583" s="67"/>
      <c r="F583" s="2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</row>
    <row r="584">
      <c r="A584" s="5"/>
      <c r="B584" s="5"/>
      <c r="C584" s="5"/>
      <c r="D584" s="5"/>
      <c r="E584" s="67"/>
      <c r="F584" s="2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</row>
    <row r="585">
      <c r="A585" s="5"/>
      <c r="B585" s="5"/>
      <c r="C585" s="5"/>
      <c r="D585" s="5"/>
      <c r="E585" s="67"/>
      <c r="F585" s="2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</row>
    <row r="586">
      <c r="A586" s="5"/>
      <c r="B586" s="5"/>
      <c r="C586" s="5"/>
      <c r="D586" s="5"/>
      <c r="E586" s="67"/>
      <c r="F586" s="2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</row>
    <row r="587">
      <c r="A587" s="5"/>
      <c r="B587" s="5"/>
      <c r="C587" s="5"/>
      <c r="D587" s="5"/>
      <c r="E587" s="67"/>
      <c r="F587" s="2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</row>
    <row r="588">
      <c r="A588" s="5"/>
      <c r="B588" s="5"/>
      <c r="C588" s="5"/>
      <c r="D588" s="5"/>
      <c r="E588" s="67"/>
      <c r="F588" s="2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</row>
    <row r="589">
      <c r="A589" s="5"/>
      <c r="B589" s="5"/>
      <c r="C589" s="5"/>
      <c r="D589" s="5"/>
      <c r="E589" s="67"/>
      <c r="F589" s="2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</row>
    <row r="590">
      <c r="A590" s="5"/>
      <c r="B590" s="5"/>
      <c r="C590" s="5"/>
      <c r="D590" s="5"/>
      <c r="E590" s="67"/>
      <c r="F590" s="2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</row>
    <row r="591">
      <c r="A591" s="5"/>
      <c r="B591" s="5"/>
      <c r="C591" s="5"/>
      <c r="D591" s="5"/>
      <c r="E591" s="67"/>
      <c r="F591" s="2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</row>
    <row r="592">
      <c r="A592" s="5"/>
      <c r="B592" s="5"/>
      <c r="C592" s="5"/>
      <c r="D592" s="5"/>
      <c r="E592" s="67"/>
      <c r="F592" s="2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</row>
    <row r="593">
      <c r="A593" s="5"/>
      <c r="B593" s="5"/>
      <c r="C593" s="5"/>
      <c r="D593" s="5"/>
      <c r="E593" s="67"/>
      <c r="F593" s="2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</row>
    <row r="594">
      <c r="A594" s="5"/>
      <c r="B594" s="5"/>
      <c r="C594" s="5"/>
      <c r="D594" s="5"/>
      <c r="E594" s="67"/>
      <c r="F594" s="2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</row>
    <row r="595">
      <c r="A595" s="5"/>
      <c r="B595" s="5"/>
      <c r="C595" s="5"/>
      <c r="D595" s="5"/>
      <c r="E595" s="67"/>
      <c r="F595" s="2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</row>
    <row r="596">
      <c r="A596" s="5"/>
      <c r="B596" s="5"/>
      <c r="C596" s="5"/>
      <c r="D596" s="5"/>
      <c r="E596" s="67"/>
      <c r="F596" s="2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</row>
    <row r="597">
      <c r="A597" s="5"/>
      <c r="B597" s="5"/>
      <c r="C597" s="5"/>
      <c r="D597" s="5"/>
      <c r="E597" s="67"/>
      <c r="F597" s="2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</row>
    <row r="598">
      <c r="A598" s="5"/>
      <c r="B598" s="5"/>
      <c r="C598" s="5"/>
      <c r="D598" s="5"/>
      <c r="E598" s="67"/>
      <c r="F598" s="2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</row>
    <row r="599">
      <c r="A599" s="5"/>
      <c r="B599" s="5"/>
      <c r="C599" s="5"/>
      <c r="D599" s="5"/>
      <c r="E599" s="67"/>
      <c r="F599" s="2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</row>
    <row r="600">
      <c r="A600" s="5"/>
      <c r="B600" s="5"/>
      <c r="C600" s="5"/>
      <c r="D600" s="5"/>
      <c r="E600" s="67"/>
      <c r="F600" s="2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</row>
    <row r="601">
      <c r="A601" s="5"/>
      <c r="B601" s="5"/>
      <c r="C601" s="5"/>
      <c r="D601" s="5"/>
      <c r="E601" s="67"/>
      <c r="F601" s="2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</row>
    <row r="602">
      <c r="A602" s="5"/>
      <c r="B602" s="5"/>
      <c r="C602" s="5"/>
      <c r="D602" s="5"/>
      <c r="E602" s="67"/>
      <c r="F602" s="2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</row>
    <row r="603">
      <c r="A603" s="5"/>
      <c r="B603" s="5"/>
      <c r="C603" s="5"/>
      <c r="D603" s="5"/>
      <c r="E603" s="67"/>
      <c r="F603" s="2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</row>
    <row r="604">
      <c r="A604" s="5"/>
      <c r="B604" s="5"/>
      <c r="C604" s="5"/>
      <c r="D604" s="5"/>
      <c r="E604" s="67"/>
      <c r="F604" s="2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</row>
    <row r="605">
      <c r="A605" s="5"/>
      <c r="B605" s="5"/>
      <c r="C605" s="5"/>
      <c r="D605" s="5"/>
      <c r="E605" s="67"/>
      <c r="F605" s="2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</row>
    <row r="606">
      <c r="A606" s="5"/>
      <c r="B606" s="5"/>
      <c r="C606" s="5"/>
      <c r="D606" s="5"/>
      <c r="E606" s="67"/>
      <c r="F606" s="2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</row>
    <row r="607">
      <c r="A607" s="5"/>
      <c r="B607" s="5"/>
      <c r="C607" s="5"/>
      <c r="D607" s="5"/>
      <c r="E607" s="67"/>
      <c r="F607" s="2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</row>
    <row r="608">
      <c r="A608" s="5"/>
      <c r="B608" s="5"/>
      <c r="C608" s="5"/>
      <c r="D608" s="5"/>
      <c r="E608" s="67"/>
      <c r="F608" s="2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</row>
    <row r="609">
      <c r="A609" s="5"/>
      <c r="B609" s="5"/>
      <c r="C609" s="5"/>
      <c r="D609" s="5"/>
      <c r="E609" s="67"/>
      <c r="F609" s="2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</row>
    <row r="610">
      <c r="A610" s="5"/>
      <c r="B610" s="5"/>
      <c r="C610" s="5"/>
      <c r="D610" s="5"/>
      <c r="E610" s="67"/>
      <c r="F610" s="2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</row>
    <row r="611">
      <c r="A611" s="5"/>
      <c r="B611" s="5"/>
      <c r="C611" s="5"/>
      <c r="D611" s="5"/>
      <c r="E611" s="67"/>
      <c r="F611" s="2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</row>
    <row r="612">
      <c r="A612" s="5"/>
      <c r="B612" s="5"/>
      <c r="C612" s="5"/>
      <c r="D612" s="5"/>
      <c r="E612" s="67"/>
      <c r="F612" s="2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</row>
    <row r="613">
      <c r="A613" s="5"/>
      <c r="B613" s="5"/>
      <c r="C613" s="5"/>
      <c r="D613" s="5"/>
      <c r="E613" s="67"/>
      <c r="F613" s="2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</row>
    <row r="614">
      <c r="A614" s="5"/>
      <c r="B614" s="5"/>
      <c r="C614" s="5"/>
      <c r="D614" s="5"/>
      <c r="E614" s="67"/>
      <c r="F614" s="2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</row>
    <row r="615">
      <c r="A615" s="5"/>
      <c r="B615" s="5"/>
      <c r="C615" s="5"/>
      <c r="D615" s="5"/>
      <c r="E615" s="67"/>
      <c r="F615" s="2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</row>
    <row r="616">
      <c r="A616" s="5"/>
      <c r="B616" s="5"/>
      <c r="C616" s="5"/>
      <c r="D616" s="5"/>
      <c r="E616" s="67"/>
      <c r="F616" s="2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</row>
    <row r="617">
      <c r="A617" s="5"/>
      <c r="B617" s="5"/>
      <c r="C617" s="5"/>
      <c r="D617" s="5"/>
      <c r="E617" s="67"/>
      <c r="F617" s="2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</row>
    <row r="618">
      <c r="A618" s="5"/>
      <c r="B618" s="5"/>
      <c r="C618" s="5"/>
      <c r="D618" s="5"/>
      <c r="E618" s="67"/>
      <c r="F618" s="2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</row>
    <row r="619">
      <c r="A619" s="5"/>
      <c r="B619" s="5"/>
      <c r="C619" s="5"/>
      <c r="D619" s="5"/>
      <c r="E619" s="67"/>
      <c r="F619" s="2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</row>
    <row r="620">
      <c r="A620" s="5"/>
      <c r="B620" s="5"/>
      <c r="C620" s="5"/>
      <c r="D620" s="5"/>
      <c r="E620" s="67"/>
      <c r="F620" s="2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</row>
    <row r="621">
      <c r="A621" s="5"/>
      <c r="B621" s="5"/>
      <c r="C621" s="5"/>
      <c r="D621" s="5"/>
      <c r="E621" s="67"/>
      <c r="F621" s="2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</row>
    <row r="622">
      <c r="A622" s="5"/>
      <c r="B622" s="5"/>
      <c r="C622" s="5"/>
      <c r="D622" s="5"/>
      <c r="E622" s="67"/>
      <c r="F622" s="2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</row>
    <row r="623">
      <c r="A623" s="5"/>
      <c r="B623" s="5"/>
      <c r="C623" s="5"/>
      <c r="D623" s="5"/>
      <c r="E623" s="67"/>
      <c r="F623" s="2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</row>
    <row r="624">
      <c r="A624" s="5"/>
      <c r="B624" s="5"/>
      <c r="C624" s="5"/>
      <c r="D624" s="5"/>
      <c r="E624" s="67"/>
      <c r="F624" s="2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</row>
    <row r="625">
      <c r="A625" s="5"/>
      <c r="B625" s="5"/>
      <c r="C625" s="5"/>
      <c r="D625" s="5"/>
      <c r="E625" s="67"/>
      <c r="F625" s="2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</row>
    <row r="626">
      <c r="A626" s="5"/>
      <c r="B626" s="5"/>
      <c r="C626" s="5"/>
      <c r="D626" s="5"/>
      <c r="E626" s="67"/>
      <c r="F626" s="2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</row>
    <row r="627">
      <c r="A627" s="5"/>
      <c r="B627" s="5"/>
      <c r="C627" s="5"/>
      <c r="D627" s="5"/>
      <c r="E627" s="67"/>
      <c r="F627" s="2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</row>
    <row r="628">
      <c r="A628" s="5"/>
      <c r="B628" s="5"/>
      <c r="C628" s="5"/>
      <c r="D628" s="5"/>
      <c r="E628" s="67"/>
      <c r="F628" s="2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</row>
    <row r="629">
      <c r="A629" s="5"/>
      <c r="B629" s="5"/>
      <c r="C629" s="5"/>
      <c r="D629" s="5"/>
      <c r="E629" s="67"/>
      <c r="F629" s="2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</row>
    <row r="630">
      <c r="A630" s="5"/>
      <c r="B630" s="5"/>
      <c r="C630" s="5"/>
      <c r="D630" s="5"/>
      <c r="E630" s="67"/>
      <c r="F630" s="2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</row>
    <row r="631">
      <c r="A631" s="5"/>
      <c r="B631" s="5"/>
      <c r="C631" s="5"/>
      <c r="D631" s="5"/>
      <c r="E631" s="67"/>
      <c r="F631" s="2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</row>
    <row r="632">
      <c r="A632" s="5"/>
      <c r="B632" s="5"/>
      <c r="C632" s="5"/>
      <c r="D632" s="5"/>
      <c r="E632" s="67"/>
      <c r="F632" s="2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</row>
    <row r="633">
      <c r="A633" s="5"/>
      <c r="B633" s="5"/>
      <c r="C633" s="5"/>
      <c r="D633" s="5"/>
      <c r="E633" s="67"/>
      <c r="F633" s="2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</row>
    <row r="634">
      <c r="A634" s="5"/>
      <c r="B634" s="5"/>
      <c r="C634" s="5"/>
      <c r="D634" s="5"/>
      <c r="E634" s="67"/>
      <c r="F634" s="2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</row>
    <row r="635">
      <c r="A635" s="5"/>
      <c r="B635" s="5"/>
      <c r="C635" s="5"/>
      <c r="D635" s="5"/>
      <c r="E635" s="67"/>
      <c r="F635" s="2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</row>
    <row r="636">
      <c r="A636" s="5"/>
      <c r="B636" s="5"/>
      <c r="C636" s="5"/>
      <c r="D636" s="5"/>
      <c r="E636" s="67"/>
      <c r="F636" s="2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</row>
    <row r="637">
      <c r="A637" s="5"/>
      <c r="B637" s="5"/>
      <c r="C637" s="5"/>
      <c r="D637" s="5"/>
      <c r="E637" s="67"/>
      <c r="F637" s="2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</row>
    <row r="638">
      <c r="A638" s="5"/>
      <c r="B638" s="5"/>
      <c r="C638" s="5"/>
      <c r="D638" s="5"/>
      <c r="E638" s="67"/>
      <c r="F638" s="2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</row>
    <row r="639">
      <c r="A639" s="5"/>
      <c r="B639" s="5"/>
      <c r="C639" s="5"/>
      <c r="D639" s="5"/>
      <c r="E639" s="67"/>
      <c r="F639" s="2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</row>
    <row r="640">
      <c r="A640" s="5"/>
      <c r="B640" s="5"/>
      <c r="C640" s="5"/>
      <c r="D640" s="5"/>
      <c r="E640" s="67"/>
      <c r="F640" s="2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</row>
    <row r="641">
      <c r="A641" s="5"/>
      <c r="B641" s="5"/>
      <c r="C641" s="5"/>
      <c r="D641" s="5"/>
      <c r="E641" s="67"/>
      <c r="F641" s="2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</row>
    <row r="642">
      <c r="A642" s="5"/>
      <c r="B642" s="5"/>
      <c r="C642" s="5"/>
      <c r="D642" s="5"/>
      <c r="E642" s="67"/>
      <c r="F642" s="2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</row>
    <row r="643">
      <c r="A643" s="5"/>
      <c r="B643" s="5"/>
      <c r="C643" s="5"/>
      <c r="D643" s="5"/>
      <c r="E643" s="67"/>
      <c r="F643" s="2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</row>
    <row r="644">
      <c r="A644" s="5"/>
      <c r="B644" s="5"/>
      <c r="C644" s="5"/>
      <c r="D644" s="5"/>
      <c r="E644" s="67"/>
      <c r="F644" s="2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</row>
    <row r="645">
      <c r="A645" s="5"/>
      <c r="B645" s="5"/>
      <c r="C645" s="5"/>
      <c r="D645" s="5"/>
      <c r="E645" s="67"/>
      <c r="F645" s="2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</row>
    <row r="646">
      <c r="A646" s="5"/>
      <c r="B646" s="5"/>
      <c r="C646" s="5"/>
      <c r="D646" s="5"/>
      <c r="E646" s="67"/>
      <c r="F646" s="2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</row>
    <row r="647">
      <c r="A647" s="5"/>
      <c r="B647" s="5"/>
      <c r="C647" s="5"/>
      <c r="D647" s="5"/>
      <c r="E647" s="67"/>
      <c r="F647" s="2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</row>
    <row r="648">
      <c r="A648" s="5"/>
      <c r="B648" s="5"/>
      <c r="C648" s="5"/>
      <c r="D648" s="5"/>
      <c r="E648" s="67"/>
      <c r="F648" s="2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</row>
    <row r="649">
      <c r="A649" s="5"/>
      <c r="B649" s="5"/>
      <c r="C649" s="5"/>
      <c r="D649" s="5"/>
      <c r="E649" s="67"/>
      <c r="F649" s="2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</row>
    <row r="650">
      <c r="A650" s="5"/>
      <c r="B650" s="5"/>
      <c r="C650" s="5"/>
      <c r="D650" s="5"/>
      <c r="E650" s="67"/>
      <c r="F650" s="2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</row>
    <row r="651">
      <c r="A651" s="5"/>
      <c r="B651" s="5"/>
      <c r="C651" s="5"/>
      <c r="D651" s="5"/>
      <c r="E651" s="67"/>
      <c r="F651" s="2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</row>
    <row r="652">
      <c r="A652" s="5"/>
      <c r="B652" s="5"/>
      <c r="C652" s="5"/>
      <c r="D652" s="5"/>
      <c r="E652" s="67"/>
      <c r="F652" s="2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</row>
    <row r="653">
      <c r="A653" s="5"/>
      <c r="B653" s="5"/>
      <c r="C653" s="5"/>
      <c r="D653" s="5"/>
      <c r="E653" s="67"/>
      <c r="F653" s="2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</row>
    <row r="654">
      <c r="A654" s="5"/>
      <c r="B654" s="5"/>
      <c r="C654" s="5"/>
      <c r="D654" s="5"/>
      <c r="E654" s="67"/>
      <c r="F654" s="2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</row>
    <row r="655">
      <c r="A655" s="5"/>
      <c r="B655" s="5"/>
      <c r="C655" s="5"/>
      <c r="D655" s="5"/>
      <c r="E655" s="67"/>
      <c r="F655" s="2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</row>
    <row r="656">
      <c r="A656" s="5"/>
      <c r="B656" s="5"/>
      <c r="C656" s="5"/>
      <c r="D656" s="5"/>
      <c r="E656" s="67"/>
      <c r="F656" s="2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</row>
    <row r="657">
      <c r="A657" s="5"/>
      <c r="B657" s="5"/>
      <c r="C657" s="5"/>
      <c r="D657" s="5"/>
      <c r="E657" s="67"/>
      <c r="F657" s="2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</row>
    <row r="658">
      <c r="A658" s="5"/>
      <c r="B658" s="5"/>
      <c r="C658" s="5"/>
      <c r="D658" s="5"/>
      <c r="E658" s="67"/>
      <c r="F658" s="2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</row>
    <row r="659">
      <c r="A659" s="5"/>
      <c r="B659" s="5"/>
      <c r="C659" s="5"/>
      <c r="D659" s="5"/>
      <c r="E659" s="67"/>
      <c r="F659" s="2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</row>
    <row r="660">
      <c r="A660" s="5"/>
      <c r="B660" s="5"/>
      <c r="C660" s="5"/>
      <c r="D660" s="5"/>
      <c r="E660" s="67"/>
      <c r="F660" s="2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</row>
    <row r="661">
      <c r="A661" s="5"/>
      <c r="B661" s="5"/>
      <c r="C661" s="5"/>
      <c r="D661" s="5"/>
      <c r="E661" s="67"/>
      <c r="F661" s="2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</row>
    <row r="662">
      <c r="A662" s="5"/>
      <c r="B662" s="5"/>
      <c r="C662" s="5"/>
      <c r="D662" s="5"/>
      <c r="E662" s="67"/>
      <c r="F662" s="2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</row>
    <row r="663">
      <c r="A663" s="5"/>
      <c r="B663" s="5"/>
      <c r="C663" s="5"/>
      <c r="D663" s="5"/>
      <c r="E663" s="67"/>
      <c r="F663" s="2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</row>
    <row r="664">
      <c r="A664" s="5"/>
      <c r="B664" s="5"/>
      <c r="C664" s="5"/>
      <c r="D664" s="5"/>
      <c r="E664" s="67"/>
      <c r="F664" s="2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</row>
    <row r="665">
      <c r="A665" s="5"/>
      <c r="B665" s="5"/>
      <c r="C665" s="5"/>
      <c r="D665" s="5"/>
      <c r="E665" s="67"/>
      <c r="F665" s="2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</row>
    <row r="666">
      <c r="A666" s="5"/>
      <c r="B666" s="5"/>
      <c r="C666" s="5"/>
      <c r="D666" s="5"/>
      <c r="E666" s="67"/>
      <c r="F666" s="2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</row>
    <row r="667">
      <c r="A667" s="5"/>
      <c r="B667" s="5"/>
      <c r="C667" s="5"/>
      <c r="D667" s="5"/>
      <c r="E667" s="67"/>
      <c r="F667" s="2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</row>
    <row r="668">
      <c r="A668" s="5"/>
      <c r="B668" s="5"/>
      <c r="C668" s="5"/>
      <c r="D668" s="5"/>
      <c r="E668" s="67"/>
      <c r="F668" s="2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</row>
    <row r="669">
      <c r="A669" s="5"/>
      <c r="B669" s="5"/>
      <c r="C669" s="5"/>
      <c r="D669" s="5"/>
      <c r="E669" s="67"/>
      <c r="F669" s="2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</row>
    <row r="670">
      <c r="A670" s="5"/>
      <c r="B670" s="5"/>
      <c r="C670" s="5"/>
      <c r="D670" s="5"/>
      <c r="E670" s="67"/>
      <c r="F670" s="2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</row>
    <row r="671">
      <c r="A671" s="5"/>
      <c r="B671" s="5"/>
      <c r="C671" s="5"/>
      <c r="D671" s="5"/>
      <c r="E671" s="67"/>
      <c r="F671" s="2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</row>
    <row r="672">
      <c r="A672" s="5"/>
      <c r="B672" s="5"/>
      <c r="C672" s="5"/>
      <c r="D672" s="5"/>
      <c r="E672" s="67"/>
      <c r="F672" s="2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</row>
    <row r="673">
      <c r="A673" s="5"/>
      <c r="B673" s="5"/>
      <c r="C673" s="5"/>
      <c r="D673" s="5"/>
      <c r="E673" s="67"/>
      <c r="F673" s="2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</row>
    <row r="674">
      <c r="A674" s="5"/>
      <c r="B674" s="5"/>
      <c r="C674" s="5"/>
      <c r="D674" s="5"/>
      <c r="E674" s="67"/>
      <c r="F674" s="2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</row>
    <row r="675">
      <c r="A675" s="5"/>
      <c r="B675" s="5"/>
      <c r="C675" s="5"/>
      <c r="D675" s="5"/>
      <c r="E675" s="67"/>
      <c r="F675" s="2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</row>
    <row r="676">
      <c r="A676" s="5"/>
      <c r="B676" s="5"/>
      <c r="C676" s="5"/>
      <c r="D676" s="5"/>
      <c r="E676" s="67"/>
      <c r="F676" s="2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</row>
    <row r="677">
      <c r="A677" s="5"/>
      <c r="B677" s="5"/>
      <c r="C677" s="5"/>
      <c r="D677" s="5"/>
      <c r="E677" s="67"/>
      <c r="F677" s="2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</row>
    <row r="678">
      <c r="A678" s="5"/>
      <c r="B678" s="5"/>
      <c r="C678" s="5"/>
      <c r="D678" s="5"/>
      <c r="E678" s="67"/>
      <c r="F678" s="2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</row>
    <row r="679">
      <c r="A679" s="5"/>
      <c r="B679" s="5"/>
      <c r="C679" s="5"/>
      <c r="D679" s="5"/>
      <c r="E679" s="67"/>
      <c r="F679" s="2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</row>
    <row r="680">
      <c r="A680" s="5"/>
      <c r="B680" s="5"/>
      <c r="C680" s="5"/>
      <c r="D680" s="5"/>
      <c r="E680" s="67"/>
      <c r="F680" s="2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</row>
    <row r="681">
      <c r="A681" s="5"/>
      <c r="B681" s="5"/>
      <c r="C681" s="5"/>
      <c r="D681" s="5"/>
      <c r="E681" s="67"/>
      <c r="F681" s="2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</row>
    <row r="682">
      <c r="A682" s="5"/>
      <c r="B682" s="5"/>
      <c r="C682" s="5"/>
      <c r="D682" s="5"/>
      <c r="E682" s="67"/>
      <c r="F682" s="2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</row>
    <row r="683">
      <c r="A683" s="5"/>
      <c r="B683" s="5"/>
      <c r="C683" s="5"/>
      <c r="D683" s="5"/>
      <c r="E683" s="67"/>
      <c r="F683" s="2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</row>
    <row r="684">
      <c r="A684" s="5"/>
      <c r="B684" s="5"/>
      <c r="C684" s="5"/>
      <c r="D684" s="5"/>
      <c r="E684" s="67"/>
      <c r="F684" s="2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</row>
    <row r="685">
      <c r="A685" s="5"/>
      <c r="B685" s="5"/>
      <c r="C685" s="5"/>
      <c r="D685" s="5"/>
      <c r="E685" s="67"/>
      <c r="F685" s="2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</row>
    <row r="686">
      <c r="A686" s="5"/>
      <c r="B686" s="5"/>
      <c r="C686" s="5"/>
      <c r="D686" s="5"/>
      <c r="E686" s="67"/>
      <c r="F686" s="2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</row>
    <row r="687">
      <c r="A687" s="5"/>
      <c r="B687" s="5"/>
      <c r="C687" s="5"/>
      <c r="D687" s="5"/>
      <c r="E687" s="67"/>
      <c r="F687" s="2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</row>
    <row r="688">
      <c r="A688" s="5"/>
      <c r="B688" s="5"/>
      <c r="C688" s="5"/>
      <c r="D688" s="5"/>
      <c r="E688" s="67"/>
      <c r="F688" s="2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</row>
    <row r="689">
      <c r="A689" s="5"/>
      <c r="B689" s="5"/>
      <c r="C689" s="5"/>
      <c r="D689" s="5"/>
      <c r="E689" s="67"/>
      <c r="F689" s="2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</row>
    <row r="690">
      <c r="A690" s="5"/>
      <c r="B690" s="5"/>
      <c r="C690" s="5"/>
      <c r="D690" s="5"/>
      <c r="E690" s="67"/>
      <c r="F690" s="2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</row>
    <row r="691">
      <c r="A691" s="5"/>
      <c r="B691" s="5"/>
      <c r="C691" s="5"/>
      <c r="D691" s="5"/>
      <c r="E691" s="67"/>
      <c r="F691" s="2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</row>
    <row r="692">
      <c r="A692" s="5"/>
      <c r="B692" s="5"/>
      <c r="C692" s="5"/>
      <c r="D692" s="5"/>
      <c r="E692" s="67"/>
      <c r="F692" s="2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</row>
    <row r="693">
      <c r="A693" s="5"/>
      <c r="B693" s="5"/>
      <c r="C693" s="5"/>
      <c r="D693" s="5"/>
      <c r="E693" s="67"/>
      <c r="F693" s="2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</row>
    <row r="694">
      <c r="A694" s="5"/>
      <c r="B694" s="5"/>
      <c r="C694" s="5"/>
      <c r="D694" s="5"/>
      <c r="E694" s="67"/>
      <c r="F694" s="2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</row>
    <row r="695">
      <c r="A695" s="5"/>
      <c r="B695" s="5"/>
      <c r="C695" s="5"/>
      <c r="D695" s="5"/>
      <c r="E695" s="67"/>
      <c r="F695" s="2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</row>
    <row r="696">
      <c r="A696" s="5"/>
      <c r="B696" s="5"/>
      <c r="C696" s="5"/>
      <c r="D696" s="5"/>
      <c r="E696" s="67"/>
      <c r="F696" s="2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</row>
    <row r="697">
      <c r="A697" s="5"/>
      <c r="B697" s="5"/>
      <c r="C697" s="5"/>
      <c r="D697" s="5"/>
      <c r="E697" s="67"/>
      <c r="F697" s="2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</row>
    <row r="698">
      <c r="A698" s="5"/>
      <c r="B698" s="5"/>
      <c r="C698" s="5"/>
      <c r="D698" s="5"/>
      <c r="E698" s="67"/>
      <c r="F698" s="2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</row>
    <row r="699">
      <c r="A699" s="5"/>
      <c r="B699" s="5"/>
      <c r="C699" s="5"/>
      <c r="D699" s="5"/>
      <c r="E699" s="67"/>
      <c r="F699" s="2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</row>
    <row r="700">
      <c r="A700" s="5"/>
      <c r="B700" s="5"/>
      <c r="C700" s="5"/>
      <c r="D700" s="5"/>
      <c r="E700" s="67"/>
      <c r="F700" s="2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</row>
    <row r="701">
      <c r="A701" s="5"/>
      <c r="B701" s="5"/>
      <c r="C701" s="5"/>
      <c r="D701" s="5"/>
      <c r="E701" s="67"/>
      <c r="F701" s="2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</row>
    <row r="702">
      <c r="A702" s="5"/>
      <c r="B702" s="5"/>
      <c r="C702" s="5"/>
      <c r="D702" s="5"/>
      <c r="E702" s="67"/>
      <c r="F702" s="2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</row>
    <row r="703">
      <c r="A703" s="5"/>
      <c r="B703" s="5"/>
      <c r="C703" s="5"/>
      <c r="D703" s="5"/>
      <c r="E703" s="67"/>
      <c r="F703" s="2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</row>
    <row r="704">
      <c r="A704" s="5"/>
      <c r="B704" s="5"/>
      <c r="C704" s="5"/>
      <c r="D704" s="5"/>
      <c r="E704" s="67"/>
      <c r="F704" s="2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</row>
    <row r="705">
      <c r="A705" s="5"/>
      <c r="B705" s="5"/>
      <c r="C705" s="5"/>
      <c r="D705" s="5"/>
      <c r="E705" s="67"/>
      <c r="F705" s="2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</row>
    <row r="706">
      <c r="A706" s="5"/>
      <c r="B706" s="5"/>
      <c r="C706" s="5"/>
      <c r="D706" s="5"/>
      <c r="E706" s="67"/>
      <c r="F706" s="2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</row>
    <row r="707">
      <c r="A707" s="5"/>
      <c r="B707" s="5"/>
      <c r="C707" s="5"/>
      <c r="D707" s="5"/>
      <c r="E707" s="67"/>
      <c r="F707" s="2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</row>
    <row r="708">
      <c r="A708" s="5"/>
      <c r="B708" s="5"/>
      <c r="C708" s="5"/>
      <c r="D708" s="5"/>
      <c r="E708" s="67"/>
      <c r="F708" s="2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</row>
    <row r="709">
      <c r="A709" s="5"/>
      <c r="B709" s="5"/>
      <c r="C709" s="5"/>
      <c r="D709" s="5"/>
      <c r="E709" s="67"/>
      <c r="F709" s="2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</row>
    <row r="710">
      <c r="A710" s="5"/>
      <c r="B710" s="5"/>
      <c r="C710" s="5"/>
      <c r="D710" s="5"/>
      <c r="E710" s="67"/>
      <c r="F710" s="2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</row>
    <row r="711">
      <c r="A711" s="5"/>
      <c r="B711" s="5"/>
      <c r="C711" s="5"/>
      <c r="D711" s="5"/>
      <c r="E711" s="67"/>
      <c r="F711" s="2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</row>
    <row r="712">
      <c r="A712" s="5"/>
      <c r="B712" s="5"/>
      <c r="C712" s="5"/>
      <c r="D712" s="5"/>
      <c r="E712" s="67"/>
      <c r="F712" s="2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</row>
    <row r="713">
      <c r="A713" s="5"/>
      <c r="B713" s="5"/>
      <c r="C713" s="5"/>
      <c r="D713" s="5"/>
      <c r="E713" s="67"/>
      <c r="F713" s="2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</row>
    <row r="714">
      <c r="A714" s="5"/>
      <c r="B714" s="5"/>
      <c r="C714" s="5"/>
      <c r="D714" s="5"/>
      <c r="E714" s="67"/>
      <c r="F714" s="2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</row>
    <row r="715">
      <c r="A715" s="5"/>
      <c r="B715" s="5"/>
      <c r="C715" s="5"/>
      <c r="D715" s="5"/>
      <c r="E715" s="67"/>
      <c r="F715" s="2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</row>
    <row r="716">
      <c r="A716" s="5"/>
      <c r="B716" s="5"/>
      <c r="C716" s="5"/>
      <c r="D716" s="5"/>
      <c r="E716" s="67"/>
      <c r="F716" s="2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</row>
    <row r="717">
      <c r="A717" s="5"/>
      <c r="B717" s="5"/>
      <c r="C717" s="5"/>
      <c r="D717" s="5"/>
      <c r="E717" s="67"/>
      <c r="F717" s="2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</row>
    <row r="718">
      <c r="A718" s="5"/>
      <c r="B718" s="5"/>
      <c r="C718" s="5"/>
      <c r="D718" s="5"/>
      <c r="E718" s="67"/>
      <c r="F718" s="2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</row>
    <row r="719">
      <c r="A719" s="5"/>
      <c r="B719" s="5"/>
      <c r="C719" s="5"/>
      <c r="D719" s="5"/>
      <c r="E719" s="67"/>
      <c r="F719" s="2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</row>
    <row r="720">
      <c r="A720" s="5"/>
      <c r="B720" s="5"/>
      <c r="C720" s="5"/>
      <c r="D720" s="5"/>
      <c r="E720" s="67"/>
      <c r="F720" s="2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</row>
    <row r="721">
      <c r="A721" s="5"/>
      <c r="B721" s="5"/>
      <c r="C721" s="5"/>
      <c r="D721" s="5"/>
      <c r="E721" s="67"/>
      <c r="F721" s="2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</row>
    <row r="722">
      <c r="A722" s="5"/>
      <c r="B722" s="5"/>
      <c r="C722" s="5"/>
      <c r="D722" s="5"/>
      <c r="E722" s="67"/>
      <c r="F722" s="2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</row>
    <row r="723">
      <c r="A723" s="5"/>
      <c r="B723" s="5"/>
      <c r="C723" s="5"/>
      <c r="D723" s="5"/>
      <c r="E723" s="67"/>
      <c r="F723" s="2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</row>
    <row r="724">
      <c r="A724" s="5"/>
      <c r="B724" s="5"/>
      <c r="C724" s="5"/>
      <c r="D724" s="5"/>
      <c r="E724" s="67"/>
      <c r="F724" s="2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</row>
    <row r="725">
      <c r="A725" s="5"/>
      <c r="B725" s="5"/>
      <c r="C725" s="5"/>
      <c r="D725" s="5"/>
      <c r="E725" s="67"/>
      <c r="F725" s="2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</row>
    <row r="726">
      <c r="A726" s="5"/>
      <c r="B726" s="5"/>
      <c r="C726" s="5"/>
      <c r="D726" s="5"/>
      <c r="E726" s="67"/>
      <c r="F726" s="2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</row>
    <row r="727">
      <c r="A727" s="5"/>
      <c r="B727" s="5"/>
      <c r="C727" s="5"/>
      <c r="D727" s="5"/>
      <c r="E727" s="67"/>
      <c r="F727" s="2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</row>
    <row r="728">
      <c r="A728" s="5"/>
      <c r="B728" s="5"/>
      <c r="C728" s="5"/>
      <c r="D728" s="5"/>
      <c r="E728" s="67"/>
      <c r="F728" s="2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</row>
    <row r="729">
      <c r="A729" s="5"/>
      <c r="B729" s="5"/>
      <c r="C729" s="5"/>
      <c r="D729" s="5"/>
      <c r="E729" s="67"/>
      <c r="F729" s="2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</row>
    <row r="730">
      <c r="A730" s="5"/>
      <c r="B730" s="5"/>
      <c r="C730" s="5"/>
      <c r="D730" s="5"/>
      <c r="E730" s="67"/>
      <c r="F730" s="2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</row>
    <row r="731">
      <c r="A731" s="5"/>
      <c r="B731" s="5"/>
      <c r="C731" s="5"/>
      <c r="D731" s="5"/>
      <c r="E731" s="67"/>
      <c r="F731" s="2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</row>
    <row r="732">
      <c r="A732" s="5"/>
      <c r="B732" s="5"/>
      <c r="C732" s="5"/>
      <c r="D732" s="5"/>
      <c r="E732" s="67"/>
      <c r="F732" s="2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</row>
    <row r="733">
      <c r="A733" s="5"/>
      <c r="B733" s="5"/>
      <c r="C733" s="5"/>
      <c r="D733" s="5"/>
      <c r="E733" s="67"/>
      <c r="F733" s="2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</row>
    <row r="734">
      <c r="A734" s="5"/>
      <c r="B734" s="5"/>
      <c r="C734" s="5"/>
      <c r="D734" s="5"/>
      <c r="E734" s="67"/>
      <c r="F734" s="2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</row>
    <row r="735">
      <c r="A735" s="5"/>
      <c r="B735" s="5"/>
      <c r="C735" s="5"/>
      <c r="D735" s="5"/>
      <c r="E735" s="67"/>
      <c r="F735" s="2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</row>
    <row r="736">
      <c r="A736" s="5"/>
      <c r="B736" s="5"/>
      <c r="C736" s="5"/>
      <c r="D736" s="5"/>
      <c r="E736" s="67"/>
      <c r="F736" s="2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</row>
    <row r="737">
      <c r="A737" s="5"/>
      <c r="B737" s="5"/>
      <c r="C737" s="5"/>
      <c r="D737" s="5"/>
      <c r="E737" s="67"/>
      <c r="F737" s="2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</row>
    <row r="738">
      <c r="A738" s="5"/>
      <c r="B738" s="5"/>
      <c r="C738" s="5"/>
      <c r="D738" s="5"/>
      <c r="E738" s="67"/>
      <c r="F738" s="2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</row>
    <row r="739">
      <c r="A739" s="5"/>
      <c r="B739" s="5"/>
      <c r="C739" s="5"/>
      <c r="D739" s="5"/>
      <c r="E739" s="67"/>
      <c r="F739" s="2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</row>
    <row r="740">
      <c r="A740" s="5"/>
      <c r="B740" s="5"/>
      <c r="C740" s="5"/>
      <c r="D740" s="5"/>
      <c r="E740" s="67"/>
      <c r="F740" s="2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</row>
    <row r="741">
      <c r="A741" s="5"/>
      <c r="B741" s="5"/>
      <c r="C741" s="5"/>
      <c r="D741" s="5"/>
      <c r="E741" s="67"/>
      <c r="F741" s="2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</row>
    <row r="742">
      <c r="A742" s="5"/>
      <c r="B742" s="5"/>
      <c r="C742" s="5"/>
      <c r="D742" s="5"/>
      <c r="E742" s="67"/>
      <c r="F742" s="2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</row>
    <row r="743">
      <c r="A743" s="5"/>
      <c r="B743" s="5"/>
      <c r="C743" s="5"/>
      <c r="D743" s="5"/>
      <c r="E743" s="67"/>
      <c r="F743" s="2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</row>
    <row r="744">
      <c r="A744" s="5"/>
      <c r="B744" s="5"/>
      <c r="C744" s="5"/>
      <c r="D744" s="5"/>
      <c r="E744" s="67"/>
      <c r="F744" s="2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</row>
    <row r="745">
      <c r="A745" s="5"/>
      <c r="B745" s="5"/>
      <c r="C745" s="5"/>
      <c r="D745" s="5"/>
      <c r="E745" s="67"/>
      <c r="F745" s="2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</row>
    <row r="746">
      <c r="A746" s="5"/>
      <c r="B746" s="5"/>
      <c r="C746" s="5"/>
      <c r="D746" s="5"/>
      <c r="E746" s="67"/>
      <c r="F746" s="2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</row>
    <row r="747">
      <c r="A747" s="5"/>
      <c r="B747" s="5"/>
      <c r="C747" s="5"/>
      <c r="D747" s="5"/>
      <c r="E747" s="67"/>
      <c r="F747" s="2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</row>
    <row r="748">
      <c r="A748" s="5"/>
      <c r="B748" s="5"/>
      <c r="C748" s="5"/>
      <c r="D748" s="5"/>
      <c r="E748" s="67"/>
      <c r="F748" s="2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</row>
    <row r="749">
      <c r="A749" s="5"/>
      <c r="B749" s="5"/>
      <c r="C749" s="5"/>
      <c r="D749" s="5"/>
      <c r="E749" s="67"/>
      <c r="F749" s="2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</row>
    <row r="750">
      <c r="A750" s="5"/>
      <c r="B750" s="5"/>
      <c r="C750" s="5"/>
      <c r="D750" s="5"/>
      <c r="E750" s="67"/>
      <c r="F750" s="2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</row>
    <row r="751">
      <c r="A751" s="5"/>
      <c r="B751" s="5"/>
      <c r="C751" s="5"/>
      <c r="D751" s="5"/>
      <c r="E751" s="67"/>
      <c r="F751" s="2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</row>
    <row r="752">
      <c r="A752" s="5"/>
      <c r="B752" s="5"/>
      <c r="C752" s="5"/>
      <c r="D752" s="5"/>
      <c r="E752" s="67"/>
      <c r="F752" s="2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</row>
    <row r="753">
      <c r="A753" s="5"/>
      <c r="B753" s="5"/>
      <c r="C753" s="5"/>
      <c r="D753" s="5"/>
      <c r="E753" s="67"/>
      <c r="F753" s="2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</row>
    <row r="754">
      <c r="A754" s="5"/>
      <c r="B754" s="5"/>
      <c r="C754" s="5"/>
      <c r="D754" s="5"/>
      <c r="E754" s="67"/>
      <c r="F754" s="2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</row>
    <row r="755">
      <c r="A755" s="5"/>
      <c r="B755" s="5"/>
      <c r="C755" s="5"/>
      <c r="D755" s="5"/>
      <c r="E755" s="67"/>
      <c r="F755" s="2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</row>
    <row r="756">
      <c r="A756" s="5"/>
      <c r="B756" s="5"/>
      <c r="C756" s="5"/>
      <c r="D756" s="5"/>
      <c r="E756" s="67"/>
      <c r="F756" s="2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</row>
    <row r="757">
      <c r="A757" s="5"/>
      <c r="B757" s="5"/>
      <c r="C757" s="5"/>
      <c r="D757" s="5"/>
      <c r="E757" s="67"/>
      <c r="F757" s="2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</row>
    <row r="758">
      <c r="A758" s="5"/>
      <c r="B758" s="5"/>
      <c r="C758" s="5"/>
      <c r="D758" s="5"/>
      <c r="E758" s="67"/>
      <c r="F758" s="2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</row>
    <row r="759">
      <c r="A759" s="5"/>
      <c r="B759" s="5"/>
      <c r="C759" s="5"/>
      <c r="D759" s="5"/>
      <c r="E759" s="67"/>
      <c r="F759" s="2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</row>
    <row r="760">
      <c r="A760" s="5"/>
      <c r="B760" s="5"/>
      <c r="C760" s="5"/>
      <c r="D760" s="5"/>
      <c r="E760" s="67"/>
      <c r="F760" s="2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</row>
    <row r="761">
      <c r="A761" s="5"/>
      <c r="B761" s="5"/>
      <c r="C761" s="5"/>
      <c r="D761" s="5"/>
      <c r="E761" s="67"/>
      <c r="F761" s="2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</row>
    <row r="762">
      <c r="A762" s="5"/>
      <c r="B762" s="5"/>
      <c r="C762" s="5"/>
      <c r="D762" s="5"/>
      <c r="E762" s="67"/>
      <c r="F762" s="2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</row>
    <row r="763">
      <c r="A763" s="5"/>
      <c r="B763" s="5"/>
      <c r="C763" s="5"/>
      <c r="D763" s="5"/>
      <c r="E763" s="67"/>
      <c r="F763" s="2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</row>
    <row r="764">
      <c r="A764" s="5"/>
      <c r="B764" s="5"/>
      <c r="C764" s="5"/>
      <c r="D764" s="5"/>
      <c r="E764" s="67"/>
      <c r="F764" s="2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</row>
    <row r="765">
      <c r="A765" s="5"/>
      <c r="B765" s="5"/>
      <c r="C765" s="5"/>
      <c r="D765" s="5"/>
      <c r="E765" s="67"/>
      <c r="F765" s="2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</row>
    <row r="766">
      <c r="A766" s="5"/>
      <c r="B766" s="5"/>
      <c r="C766" s="5"/>
      <c r="D766" s="5"/>
      <c r="E766" s="67"/>
      <c r="F766" s="2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</row>
    <row r="767">
      <c r="A767" s="5"/>
      <c r="B767" s="5"/>
      <c r="C767" s="5"/>
      <c r="D767" s="5"/>
      <c r="E767" s="67"/>
      <c r="F767" s="2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</row>
    <row r="768">
      <c r="A768" s="5"/>
      <c r="B768" s="5"/>
      <c r="C768" s="5"/>
      <c r="D768" s="5"/>
      <c r="E768" s="67"/>
      <c r="F768" s="2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</row>
    <row r="769">
      <c r="A769" s="5"/>
      <c r="B769" s="5"/>
      <c r="C769" s="5"/>
      <c r="D769" s="5"/>
      <c r="E769" s="67"/>
      <c r="F769" s="2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</row>
    <row r="770">
      <c r="A770" s="5"/>
      <c r="B770" s="5"/>
      <c r="C770" s="5"/>
      <c r="D770" s="5"/>
      <c r="E770" s="67"/>
      <c r="F770" s="2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</row>
    <row r="771">
      <c r="A771" s="5"/>
      <c r="B771" s="5"/>
      <c r="C771" s="5"/>
      <c r="D771" s="5"/>
      <c r="E771" s="67"/>
      <c r="F771" s="2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</row>
    <row r="772">
      <c r="A772" s="5"/>
      <c r="B772" s="5"/>
      <c r="C772" s="5"/>
      <c r="D772" s="5"/>
      <c r="E772" s="67"/>
      <c r="F772" s="2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</row>
    <row r="773">
      <c r="A773" s="5"/>
      <c r="B773" s="5"/>
      <c r="C773" s="5"/>
      <c r="D773" s="5"/>
      <c r="E773" s="67"/>
      <c r="F773" s="2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</row>
    <row r="774">
      <c r="A774" s="5"/>
      <c r="B774" s="5"/>
      <c r="C774" s="5"/>
      <c r="D774" s="5"/>
      <c r="E774" s="67"/>
      <c r="F774" s="2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</row>
    <row r="775">
      <c r="A775" s="5"/>
      <c r="B775" s="5"/>
      <c r="C775" s="5"/>
      <c r="D775" s="5"/>
      <c r="E775" s="67"/>
      <c r="F775" s="2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</row>
    <row r="776">
      <c r="A776" s="5"/>
      <c r="B776" s="5"/>
      <c r="C776" s="5"/>
      <c r="D776" s="5"/>
      <c r="E776" s="67"/>
      <c r="F776" s="2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</row>
    <row r="777">
      <c r="A777" s="5"/>
      <c r="B777" s="5"/>
      <c r="C777" s="5"/>
      <c r="D777" s="5"/>
      <c r="E777" s="67"/>
      <c r="F777" s="2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</row>
    <row r="778">
      <c r="A778" s="5"/>
      <c r="B778" s="5"/>
      <c r="C778" s="5"/>
      <c r="D778" s="5"/>
      <c r="E778" s="67"/>
      <c r="F778" s="2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</row>
    <row r="779">
      <c r="A779" s="5"/>
      <c r="B779" s="5"/>
      <c r="C779" s="5"/>
      <c r="D779" s="5"/>
      <c r="E779" s="67"/>
      <c r="F779" s="2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</row>
    <row r="780">
      <c r="A780" s="5"/>
      <c r="B780" s="5"/>
      <c r="C780" s="5"/>
      <c r="D780" s="5"/>
      <c r="E780" s="67"/>
      <c r="F780" s="2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</row>
    <row r="781">
      <c r="A781" s="5"/>
      <c r="B781" s="5"/>
      <c r="C781" s="5"/>
      <c r="D781" s="5"/>
      <c r="E781" s="67"/>
      <c r="F781" s="2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</row>
    <row r="782">
      <c r="A782" s="5"/>
      <c r="B782" s="5"/>
      <c r="C782" s="5"/>
      <c r="D782" s="5"/>
      <c r="E782" s="67"/>
      <c r="F782" s="2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</row>
    <row r="783">
      <c r="A783" s="5"/>
      <c r="B783" s="5"/>
      <c r="C783" s="5"/>
      <c r="D783" s="5"/>
      <c r="E783" s="67"/>
      <c r="F783" s="2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</row>
    <row r="784">
      <c r="A784" s="5"/>
      <c r="B784" s="5"/>
      <c r="C784" s="5"/>
      <c r="D784" s="5"/>
      <c r="E784" s="67"/>
      <c r="F784" s="2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</row>
    <row r="785">
      <c r="A785" s="5"/>
      <c r="B785" s="5"/>
      <c r="C785" s="5"/>
      <c r="D785" s="5"/>
      <c r="E785" s="67"/>
      <c r="F785" s="2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</row>
    <row r="786">
      <c r="A786" s="5"/>
      <c r="B786" s="5"/>
      <c r="C786" s="5"/>
      <c r="D786" s="5"/>
      <c r="E786" s="67"/>
      <c r="F786" s="2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</row>
    <row r="787">
      <c r="A787" s="5"/>
      <c r="B787" s="5"/>
      <c r="C787" s="5"/>
      <c r="D787" s="5"/>
      <c r="E787" s="67"/>
      <c r="F787" s="2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</row>
    <row r="788">
      <c r="A788" s="5"/>
      <c r="B788" s="5"/>
      <c r="C788" s="5"/>
      <c r="D788" s="5"/>
      <c r="E788" s="67"/>
      <c r="F788" s="2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</row>
    <row r="789">
      <c r="A789" s="5"/>
      <c r="B789" s="5"/>
      <c r="C789" s="5"/>
      <c r="D789" s="5"/>
      <c r="E789" s="67"/>
      <c r="F789" s="2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</row>
    <row r="790">
      <c r="A790" s="5"/>
      <c r="B790" s="5"/>
      <c r="C790" s="5"/>
      <c r="D790" s="5"/>
      <c r="E790" s="67"/>
      <c r="F790" s="2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</row>
    <row r="791">
      <c r="A791" s="5"/>
      <c r="B791" s="5"/>
      <c r="C791" s="5"/>
      <c r="D791" s="5"/>
      <c r="E791" s="67"/>
      <c r="F791" s="2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</row>
    <row r="792">
      <c r="A792" s="5"/>
      <c r="B792" s="5"/>
      <c r="C792" s="5"/>
      <c r="D792" s="5"/>
      <c r="E792" s="67"/>
      <c r="F792" s="2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</row>
    <row r="793">
      <c r="A793" s="5"/>
      <c r="B793" s="5"/>
      <c r="C793" s="5"/>
      <c r="D793" s="5"/>
      <c r="E793" s="67"/>
      <c r="F793" s="2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</row>
    <row r="794">
      <c r="A794" s="5"/>
      <c r="B794" s="5"/>
      <c r="C794" s="5"/>
      <c r="D794" s="5"/>
      <c r="E794" s="67"/>
      <c r="F794" s="2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</row>
    <row r="795">
      <c r="A795" s="5"/>
      <c r="B795" s="5"/>
      <c r="C795" s="5"/>
      <c r="D795" s="5"/>
      <c r="E795" s="67"/>
      <c r="F795" s="2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</row>
    <row r="796">
      <c r="A796" s="5"/>
      <c r="B796" s="5"/>
      <c r="C796" s="5"/>
      <c r="D796" s="5"/>
      <c r="E796" s="67"/>
      <c r="F796" s="2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</row>
    <row r="797">
      <c r="A797" s="5"/>
      <c r="B797" s="5"/>
      <c r="C797" s="5"/>
      <c r="D797" s="5"/>
      <c r="E797" s="67"/>
      <c r="F797" s="2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</row>
    <row r="798">
      <c r="A798" s="5"/>
      <c r="B798" s="5"/>
      <c r="C798" s="5"/>
      <c r="D798" s="5"/>
      <c r="E798" s="67"/>
      <c r="F798" s="2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</row>
    <row r="799">
      <c r="A799" s="5"/>
      <c r="B799" s="5"/>
      <c r="C799" s="5"/>
      <c r="D799" s="5"/>
      <c r="E799" s="67"/>
      <c r="F799" s="2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</row>
    <row r="800">
      <c r="A800" s="5"/>
      <c r="B800" s="5"/>
      <c r="C800" s="5"/>
      <c r="D800" s="5"/>
      <c r="E800" s="67"/>
      <c r="F800" s="2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</row>
    <row r="801">
      <c r="A801" s="5"/>
      <c r="B801" s="5"/>
      <c r="C801" s="5"/>
      <c r="D801" s="5"/>
      <c r="E801" s="67"/>
      <c r="F801" s="2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</row>
    <row r="802">
      <c r="A802" s="5"/>
      <c r="B802" s="5"/>
      <c r="C802" s="5"/>
      <c r="D802" s="5"/>
      <c r="E802" s="67"/>
      <c r="F802" s="2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</row>
    <row r="803">
      <c r="A803" s="5"/>
      <c r="B803" s="5"/>
      <c r="C803" s="5"/>
      <c r="D803" s="5"/>
      <c r="E803" s="67"/>
      <c r="F803" s="2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</row>
    <row r="804">
      <c r="A804" s="5"/>
      <c r="B804" s="5"/>
      <c r="C804" s="5"/>
      <c r="D804" s="5"/>
      <c r="E804" s="67"/>
      <c r="F804" s="2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</row>
    <row r="805">
      <c r="A805" s="5"/>
      <c r="B805" s="5"/>
      <c r="C805" s="5"/>
      <c r="D805" s="5"/>
      <c r="E805" s="67"/>
      <c r="F805" s="2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</row>
    <row r="806">
      <c r="A806" s="5"/>
      <c r="B806" s="5"/>
      <c r="C806" s="5"/>
      <c r="D806" s="5"/>
      <c r="E806" s="67"/>
      <c r="F806" s="2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</row>
    <row r="807">
      <c r="A807" s="5"/>
      <c r="B807" s="5"/>
      <c r="C807" s="5"/>
      <c r="D807" s="5"/>
      <c r="E807" s="67"/>
      <c r="F807" s="2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</row>
    <row r="808">
      <c r="A808" s="5"/>
      <c r="B808" s="5"/>
      <c r="C808" s="5"/>
      <c r="D808" s="5"/>
      <c r="E808" s="67"/>
      <c r="F808" s="2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</row>
    <row r="809">
      <c r="A809" s="5"/>
      <c r="B809" s="5"/>
      <c r="C809" s="5"/>
      <c r="D809" s="5"/>
      <c r="E809" s="67"/>
      <c r="F809" s="2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</row>
    <row r="810">
      <c r="A810" s="5"/>
      <c r="B810" s="5"/>
      <c r="C810" s="5"/>
      <c r="D810" s="5"/>
      <c r="E810" s="67"/>
      <c r="F810" s="2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</row>
    <row r="811">
      <c r="A811" s="5"/>
      <c r="B811" s="5"/>
      <c r="C811" s="5"/>
      <c r="D811" s="5"/>
      <c r="E811" s="67"/>
      <c r="F811" s="2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</row>
    <row r="812">
      <c r="A812" s="5"/>
      <c r="B812" s="5"/>
      <c r="C812" s="5"/>
      <c r="D812" s="5"/>
      <c r="E812" s="67"/>
      <c r="F812" s="2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</row>
    <row r="813">
      <c r="A813" s="5"/>
      <c r="B813" s="5"/>
      <c r="C813" s="5"/>
      <c r="D813" s="5"/>
      <c r="E813" s="67"/>
      <c r="F813" s="2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</row>
    <row r="814">
      <c r="A814" s="5"/>
      <c r="B814" s="5"/>
      <c r="C814" s="5"/>
      <c r="D814" s="5"/>
      <c r="E814" s="67"/>
      <c r="F814" s="2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</row>
    <row r="815">
      <c r="A815" s="5"/>
      <c r="B815" s="5"/>
      <c r="C815" s="5"/>
      <c r="D815" s="5"/>
      <c r="E815" s="67"/>
      <c r="F815" s="2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</row>
    <row r="816">
      <c r="A816" s="5"/>
      <c r="B816" s="5"/>
      <c r="C816" s="5"/>
      <c r="D816" s="5"/>
      <c r="E816" s="67"/>
      <c r="F816" s="2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</row>
    <row r="817">
      <c r="A817" s="5"/>
      <c r="B817" s="5"/>
      <c r="C817" s="5"/>
      <c r="D817" s="5"/>
      <c r="E817" s="67"/>
      <c r="F817" s="2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</row>
    <row r="818">
      <c r="A818" s="5"/>
      <c r="B818" s="5"/>
      <c r="C818" s="5"/>
      <c r="D818" s="5"/>
      <c r="E818" s="67"/>
      <c r="F818" s="2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</row>
    <row r="819">
      <c r="A819" s="5"/>
      <c r="B819" s="5"/>
      <c r="C819" s="5"/>
      <c r="D819" s="5"/>
      <c r="E819" s="67"/>
      <c r="F819" s="2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</row>
    <row r="820">
      <c r="A820" s="5"/>
      <c r="B820" s="5"/>
      <c r="C820" s="5"/>
      <c r="D820" s="5"/>
      <c r="E820" s="67"/>
      <c r="F820" s="2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</row>
    <row r="821">
      <c r="A821" s="5"/>
      <c r="B821" s="5"/>
      <c r="C821" s="5"/>
      <c r="D821" s="5"/>
      <c r="E821" s="67"/>
      <c r="F821" s="2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</row>
    <row r="822">
      <c r="A822" s="5"/>
      <c r="B822" s="5"/>
      <c r="C822" s="5"/>
      <c r="D822" s="5"/>
      <c r="E822" s="67"/>
      <c r="F822" s="2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</row>
    <row r="823">
      <c r="A823" s="5"/>
      <c r="B823" s="5"/>
      <c r="C823" s="5"/>
      <c r="D823" s="5"/>
      <c r="E823" s="67"/>
      <c r="F823" s="2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</row>
    <row r="824">
      <c r="A824" s="5"/>
      <c r="B824" s="5"/>
      <c r="C824" s="5"/>
      <c r="D824" s="5"/>
      <c r="E824" s="67"/>
      <c r="F824" s="2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</row>
    <row r="825">
      <c r="A825" s="5"/>
      <c r="B825" s="5"/>
      <c r="C825" s="5"/>
      <c r="D825" s="5"/>
      <c r="E825" s="67"/>
      <c r="F825" s="2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</row>
    <row r="826">
      <c r="A826" s="5"/>
      <c r="B826" s="5"/>
      <c r="C826" s="5"/>
      <c r="D826" s="5"/>
      <c r="E826" s="67"/>
      <c r="F826" s="2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</row>
    <row r="827">
      <c r="A827" s="5"/>
      <c r="B827" s="5"/>
      <c r="C827" s="5"/>
      <c r="D827" s="5"/>
      <c r="E827" s="67"/>
      <c r="F827" s="2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</row>
    <row r="828">
      <c r="A828" s="5"/>
      <c r="B828" s="5"/>
      <c r="C828" s="5"/>
      <c r="D828" s="5"/>
      <c r="E828" s="67"/>
      <c r="F828" s="2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</row>
    <row r="829">
      <c r="A829" s="5"/>
      <c r="B829" s="5"/>
      <c r="C829" s="5"/>
      <c r="D829" s="5"/>
      <c r="E829" s="67"/>
      <c r="F829" s="2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</row>
    <row r="830">
      <c r="A830" s="5"/>
      <c r="B830" s="5"/>
      <c r="C830" s="5"/>
      <c r="D830" s="5"/>
      <c r="E830" s="67"/>
      <c r="F830" s="2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</row>
    <row r="831">
      <c r="A831" s="5"/>
      <c r="B831" s="5"/>
      <c r="C831" s="5"/>
      <c r="D831" s="5"/>
      <c r="E831" s="67"/>
      <c r="F831" s="2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</row>
    <row r="832">
      <c r="A832" s="5"/>
      <c r="B832" s="5"/>
      <c r="C832" s="5"/>
      <c r="D832" s="5"/>
      <c r="E832" s="67"/>
      <c r="F832" s="2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</row>
    <row r="833">
      <c r="A833" s="5"/>
      <c r="B833" s="5"/>
      <c r="C833" s="5"/>
      <c r="D833" s="5"/>
      <c r="E833" s="67"/>
      <c r="F833" s="2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</row>
    <row r="834">
      <c r="A834" s="5"/>
      <c r="B834" s="5"/>
      <c r="C834" s="5"/>
      <c r="D834" s="5"/>
      <c r="E834" s="67"/>
      <c r="F834" s="2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</row>
    <row r="835">
      <c r="A835" s="5"/>
      <c r="B835" s="5"/>
      <c r="C835" s="5"/>
      <c r="D835" s="5"/>
      <c r="E835" s="67"/>
      <c r="F835" s="2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</row>
    <row r="836">
      <c r="A836" s="5"/>
      <c r="B836" s="5"/>
      <c r="C836" s="5"/>
      <c r="D836" s="5"/>
      <c r="E836" s="67"/>
      <c r="F836" s="2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</row>
    <row r="837">
      <c r="A837" s="5"/>
      <c r="B837" s="5"/>
      <c r="C837" s="5"/>
      <c r="D837" s="5"/>
      <c r="E837" s="67"/>
      <c r="F837" s="2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</row>
    <row r="838">
      <c r="A838" s="5"/>
      <c r="B838" s="5"/>
      <c r="C838" s="5"/>
      <c r="D838" s="5"/>
      <c r="E838" s="67"/>
      <c r="F838" s="2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</row>
    <row r="839">
      <c r="A839" s="5"/>
      <c r="B839" s="5"/>
      <c r="C839" s="5"/>
      <c r="D839" s="5"/>
      <c r="E839" s="67"/>
      <c r="F839" s="2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</row>
    <row r="840">
      <c r="A840" s="5"/>
      <c r="B840" s="5"/>
      <c r="C840" s="5"/>
      <c r="D840" s="5"/>
      <c r="E840" s="67"/>
      <c r="F840" s="2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</row>
    <row r="841">
      <c r="A841" s="5"/>
      <c r="B841" s="5"/>
      <c r="C841" s="5"/>
      <c r="D841" s="5"/>
      <c r="E841" s="67"/>
      <c r="F841" s="2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</row>
    <row r="842">
      <c r="A842" s="5"/>
      <c r="B842" s="5"/>
      <c r="C842" s="5"/>
      <c r="D842" s="5"/>
      <c r="E842" s="67"/>
      <c r="F842" s="2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</row>
    <row r="843">
      <c r="A843" s="5"/>
      <c r="B843" s="5"/>
      <c r="C843" s="5"/>
      <c r="D843" s="5"/>
      <c r="E843" s="67"/>
      <c r="F843" s="2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</row>
    <row r="844">
      <c r="A844" s="5"/>
      <c r="B844" s="5"/>
      <c r="C844" s="5"/>
      <c r="D844" s="5"/>
      <c r="E844" s="67"/>
      <c r="F844" s="2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</row>
    <row r="845">
      <c r="A845" s="5"/>
      <c r="B845" s="5"/>
      <c r="C845" s="5"/>
      <c r="D845" s="5"/>
      <c r="E845" s="67"/>
      <c r="F845" s="2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</row>
    <row r="846">
      <c r="A846" s="5"/>
      <c r="B846" s="5"/>
      <c r="C846" s="5"/>
      <c r="D846" s="5"/>
      <c r="E846" s="67"/>
      <c r="F846" s="2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</row>
    <row r="847">
      <c r="A847" s="5"/>
      <c r="B847" s="5"/>
      <c r="C847" s="5"/>
      <c r="D847" s="5"/>
      <c r="E847" s="67"/>
      <c r="F847" s="2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</row>
    <row r="848">
      <c r="A848" s="5"/>
      <c r="B848" s="5"/>
      <c r="C848" s="5"/>
      <c r="D848" s="5"/>
      <c r="E848" s="67"/>
      <c r="F848" s="2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</row>
    <row r="849">
      <c r="A849" s="5"/>
      <c r="B849" s="5"/>
      <c r="C849" s="5"/>
      <c r="D849" s="5"/>
      <c r="E849" s="67"/>
      <c r="F849" s="2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</row>
    <row r="850">
      <c r="A850" s="5"/>
      <c r="B850" s="5"/>
      <c r="C850" s="5"/>
      <c r="D850" s="5"/>
      <c r="E850" s="67"/>
      <c r="F850" s="2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</row>
    <row r="851">
      <c r="A851" s="5"/>
      <c r="B851" s="5"/>
      <c r="C851" s="5"/>
      <c r="D851" s="5"/>
      <c r="E851" s="67"/>
      <c r="F851" s="2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</row>
    <row r="852">
      <c r="A852" s="5"/>
      <c r="B852" s="5"/>
      <c r="C852" s="5"/>
      <c r="D852" s="5"/>
      <c r="E852" s="67"/>
      <c r="F852" s="2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</row>
    <row r="853">
      <c r="A853" s="5"/>
      <c r="B853" s="5"/>
      <c r="C853" s="5"/>
      <c r="D853" s="5"/>
      <c r="E853" s="67"/>
      <c r="F853" s="2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</row>
    <row r="854">
      <c r="A854" s="5"/>
      <c r="B854" s="5"/>
      <c r="C854" s="5"/>
      <c r="D854" s="5"/>
      <c r="E854" s="67"/>
      <c r="F854" s="2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</row>
    <row r="855">
      <c r="A855" s="5"/>
      <c r="B855" s="5"/>
      <c r="C855" s="5"/>
      <c r="D855" s="5"/>
      <c r="E855" s="67"/>
      <c r="F855" s="2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</row>
    <row r="856">
      <c r="A856" s="5"/>
      <c r="B856" s="5"/>
      <c r="C856" s="5"/>
      <c r="D856" s="5"/>
      <c r="E856" s="67"/>
      <c r="F856" s="2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</row>
    <row r="857">
      <c r="A857" s="5"/>
      <c r="B857" s="5"/>
      <c r="C857" s="5"/>
      <c r="D857" s="5"/>
      <c r="E857" s="67"/>
      <c r="F857" s="2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</row>
    <row r="858">
      <c r="A858" s="5"/>
      <c r="B858" s="5"/>
      <c r="C858" s="5"/>
      <c r="D858" s="5"/>
      <c r="E858" s="67"/>
      <c r="F858" s="2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</row>
    <row r="859">
      <c r="A859" s="5"/>
      <c r="B859" s="5"/>
      <c r="C859" s="5"/>
      <c r="D859" s="5"/>
      <c r="E859" s="67"/>
      <c r="F859" s="2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</row>
    <row r="860">
      <c r="A860" s="5"/>
      <c r="B860" s="5"/>
      <c r="C860" s="5"/>
      <c r="D860" s="5"/>
      <c r="E860" s="67"/>
      <c r="F860" s="2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</row>
    <row r="861">
      <c r="A861" s="5"/>
      <c r="B861" s="5"/>
      <c r="C861" s="5"/>
      <c r="D861" s="5"/>
      <c r="E861" s="67"/>
      <c r="F861" s="2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</row>
    <row r="862">
      <c r="A862" s="5"/>
      <c r="B862" s="5"/>
      <c r="C862" s="5"/>
      <c r="D862" s="5"/>
      <c r="E862" s="67"/>
      <c r="F862" s="2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</row>
    <row r="863">
      <c r="A863" s="5"/>
      <c r="B863" s="5"/>
      <c r="C863" s="5"/>
      <c r="D863" s="5"/>
      <c r="E863" s="67"/>
      <c r="F863" s="2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</row>
    <row r="864">
      <c r="A864" s="5"/>
      <c r="B864" s="5"/>
      <c r="C864" s="5"/>
      <c r="D864" s="5"/>
      <c r="E864" s="67"/>
      <c r="F864" s="2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</row>
    <row r="865">
      <c r="A865" s="5"/>
      <c r="B865" s="5"/>
      <c r="C865" s="5"/>
      <c r="D865" s="5"/>
      <c r="E865" s="67"/>
      <c r="F865" s="2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</row>
    <row r="866">
      <c r="A866" s="5"/>
      <c r="B866" s="5"/>
      <c r="C866" s="5"/>
      <c r="D866" s="5"/>
      <c r="E866" s="67"/>
      <c r="F866" s="2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</row>
    <row r="867">
      <c r="A867" s="5"/>
      <c r="B867" s="5"/>
      <c r="C867" s="5"/>
      <c r="D867" s="5"/>
      <c r="E867" s="67"/>
      <c r="F867" s="2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</row>
    <row r="868">
      <c r="A868" s="5"/>
      <c r="B868" s="5"/>
      <c r="C868" s="5"/>
      <c r="D868" s="5"/>
      <c r="E868" s="67"/>
      <c r="F868" s="2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</row>
    <row r="869">
      <c r="A869" s="5"/>
      <c r="B869" s="5"/>
      <c r="C869" s="5"/>
      <c r="D869" s="5"/>
      <c r="E869" s="67"/>
      <c r="F869" s="2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</row>
    <row r="870">
      <c r="A870" s="5"/>
      <c r="B870" s="5"/>
      <c r="C870" s="5"/>
      <c r="D870" s="5"/>
      <c r="E870" s="67"/>
      <c r="F870" s="2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</row>
    <row r="871">
      <c r="A871" s="5"/>
      <c r="B871" s="5"/>
      <c r="C871" s="5"/>
      <c r="D871" s="5"/>
      <c r="E871" s="67"/>
      <c r="F871" s="2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</row>
    <row r="872">
      <c r="A872" s="5"/>
      <c r="B872" s="5"/>
      <c r="C872" s="5"/>
      <c r="D872" s="5"/>
      <c r="E872" s="67"/>
      <c r="F872" s="2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</row>
    <row r="873">
      <c r="A873" s="5"/>
      <c r="B873" s="5"/>
      <c r="C873" s="5"/>
      <c r="D873" s="5"/>
      <c r="E873" s="67"/>
      <c r="F873" s="2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</row>
    <row r="874">
      <c r="A874" s="5"/>
      <c r="B874" s="5"/>
      <c r="C874" s="5"/>
      <c r="D874" s="5"/>
      <c r="E874" s="67"/>
      <c r="F874" s="2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</row>
    <row r="875">
      <c r="A875" s="5"/>
      <c r="B875" s="5"/>
      <c r="C875" s="5"/>
      <c r="D875" s="5"/>
      <c r="E875" s="67"/>
      <c r="F875" s="2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</row>
    <row r="876">
      <c r="A876" s="5"/>
      <c r="B876" s="5"/>
      <c r="C876" s="5"/>
      <c r="D876" s="5"/>
      <c r="E876" s="67"/>
      <c r="F876" s="2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</row>
    <row r="877">
      <c r="A877" s="5"/>
      <c r="B877" s="5"/>
      <c r="C877" s="5"/>
      <c r="D877" s="5"/>
      <c r="E877" s="67"/>
      <c r="F877" s="2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</row>
    <row r="878">
      <c r="A878" s="5"/>
      <c r="B878" s="5"/>
      <c r="C878" s="5"/>
      <c r="D878" s="5"/>
      <c r="E878" s="67"/>
      <c r="F878" s="2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</row>
    <row r="879">
      <c r="A879" s="5"/>
      <c r="B879" s="5"/>
      <c r="C879" s="5"/>
      <c r="D879" s="5"/>
      <c r="E879" s="67"/>
      <c r="F879" s="2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</row>
    <row r="880">
      <c r="A880" s="5"/>
      <c r="B880" s="5"/>
      <c r="C880" s="5"/>
      <c r="D880" s="5"/>
      <c r="E880" s="67"/>
      <c r="F880" s="2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</row>
    <row r="881">
      <c r="A881" s="5"/>
      <c r="B881" s="5"/>
      <c r="C881" s="5"/>
      <c r="D881" s="5"/>
      <c r="E881" s="67"/>
      <c r="F881" s="2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</row>
    <row r="882">
      <c r="A882" s="5"/>
      <c r="B882" s="5"/>
      <c r="C882" s="5"/>
      <c r="D882" s="5"/>
      <c r="E882" s="67"/>
      <c r="F882" s="2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</row>
    <row r="883">
      <c r="A883" s="5"/>
      <c r="B883" s="5"/>
      <c r="C883" s="5"/>
      <c r="D883" s="5"/>
      <c r="E883" s="67"/>
      <c r="F883" s="2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</row>
    <row r="884">
      <c r="A884" s="5"/>
      <c r="B884" s="5"/>
      <c r="C884" s="5"/>
      <c r="D884" s="5"/>
      <c r="E884" s="67"/>
      <c r="F884" s="2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</row>
    <row r="885">
      <c r="A885" s="5"/>
      <c r="B885" s="5"/>
      <c r="C885" s="5"/>
      <c r="D885" s="5"/>
      <c r="E885" s="67"/>
      <c r="F885" s="2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</row>
    <row r="886">
      <c r="A886" s="5"/>
      <c r="B886" s="5"/>
      <c r="C886" s="5"/>
      <c r="D886" s="5"/>
      <c r="E886" s="67"/>
      <c r="F886" s="2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</row>
    <row r="887">
      <c r="A887" s="5"/>
      <c r="B887" s="5"/>
      <c r="C887" s="5"/>
      <c r="D887" s="5"/>
      <c r="E887" s="67"/>
      <c r="F887" s="2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</row>
    <row r="888">
      <c r="A888" s="5"/>
      <c r="B888" s="5"/>
      <c r="C888" s="5"/>
      <c r="D888" s="5"/>
      <c r="E888" s="67"/>
      <c r="F888" s="2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</row>
    <row r="889">
      <c r="A889" s="5"/>
      <c r="B889" s="5"/>
      <c r="C889" s="5"/>
      <c r="D889" s="5"/>
      <c r="E889" s="67"/>
      <c r="F889" s="2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</row>
    <row r="890">
      <c r="A890" s="5"/>
      <c r="B890" s="5"/>
      <c r="C890" s="5"/>
      <c r="D890" s="5"/>
      <c r="E890" s="67"/>
      <c r="F890" s="2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</row>
    <row r="891">
      <c r="A891" s="5"/>
      <c r="B891" s="5"/>
      <c r="C891" s="5"/>
      <c r="D891" s="5"/>
      <c r="E891" s="67"/>
      <c r="F891" s="2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</row>
    <row r="892">
      <c r="A892" s="5"/>
      <c r="B892" s="5"/>
      <c r="C892" s="5"/>
      <c r="D892" s="5"/>
      <c r="E892" s="67"/>
      <c r="F892" s="2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</row>
    <row r="893">
      <c r="A893" s="5"/>
      <c r="B893" s="5"/>
      <c r="C893" s="5"/>
      <c r="D893" s="5"/>
      <c r="E893" s="67"/>
      <c r="F893" s="2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</row>
    <row r="894">
      <c r="A894" s="5"/>
      <c r="B894" s="5"/>
      <c r="C894" s="5"/>
      <c r="D894" s="5"/>
      <c r="E894" s="67"/>
      <c r="F894" s="2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</row>
    <row r="895">
      <c r="A895" s="5"/>
      <c r="B895" s="5"/>
      <c r="C895" s="5"/>
      <c r="D895" s="5"/>
      <c r="E895" s="67"/>
      <c r="F895" s="2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</row>
    <row r="896">
      <c r="A896" s="5"/>
      <c r="B896" s="5"/>
      <c r="C896" s="5"/>
      <c r="D896" s="5"/>
      <c r="E896" s="67"/>
      <c r="F896" s="2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</row>
    <row r="897">
      <c r="A897" s="5"/>
      <c r="B897" s="5"/>
      <c r="C897" s="5"/>
      <c r="D897" s="5"/>
      <c r="E897" s="67"/>
      <c r="F897" s="2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</row>
    <row r="898">
      <c r="A898" s="5"/>
      <c r="B898" s="5"/>
      <c r="C898" s="5"/>
      <c r="D898" s="5"/>
      <c r="E898" s="67"/>
      <c r="F898" s="2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</row>
    <row r="899">
      <c r="A899" s="5"/>
      <c r="B899" s="5"/>
      <c r="C899" s="5"/>
      <c r="D899" s="5"/>
      <c r="E899" s="67"/>
      <c r="F899" s="2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</row>
    <row r="900">
      <c r="A900" s="5"/>
      <c r="B900" s="5"/>
      <c r="C900" s="5"/>
      <c r="D900" s="5"/>
      <c r="E900" s="67"/>
      <c r="F900" s="2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</row>
    <row r="901">
      <c r="A901" s="5"/>
      <c r="B901" s="5"/>
      <c r="C901" s="5"/>
      <c r="D901" s="5"/>
      <c r="E901" s="67"/>
      <c r="F901" s="2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</row>
    <row r="902">
      <c r="A902" s="5"/>
      <c r="B902" s="5"/>
      <c r="C902" s="5"/>
      <c r="D902" s="5"/>
      <c r="E902" s="67"/>
      <c r="F902" s="2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</row>
    <row r="903">
      <c r="A903" s="5"/>
      <c r="B903" s="5"/>
      <c r="C903" s="5"/>
      <c r="D903" s="5"/>
      <c r="E903" s="67"/>
      <c r="F903" s="2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</row>
    <row r="904">
      <c r="A904" s="5"/>
      <c r="B904" s="5"/>
      <c r="C904" s="5"/>
      <c r="D904" s="5"/>
      <c r="E904" s="67"/>
      <c r="F904" s="2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</row>
    <row r="905">
      <c r="A905" s="5"/>
      <c r="B905" s="5"/>
      <c r="C905" s="5"/>
      <c r="D905" s="5"/>
      <c r="E905" s="67"/>
      <c r="F905" s="2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</row>
    <row r="906">
      <c r="A906" s="5"/>
      <c r="B906" s="5"/>
      <c r="C906" s="5"/>
      <c r="D906" s="5"/>
      <c r="E906" s="67"/>
      <c r="F906" s="2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</row>
    <row r="907">
      <c r="A907" s="5"/>
      <c r="B907" s="5"/>
      <c r="C907" s="5"/>
      <c r="D907" s="5"/>
      <c r="E907" s="67"/>
      <c r="F907" s="2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</row>
    <row r="908">
      <c r="A908" s="5"/>
      <c r="B908" s="5"/>
      <c r="C908" s="5"/>
      <c r="D908" s="5"/>
      <c r="E908" s="67"/>
      <c r="F908" s="2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</row>
    <row r="909">
      <c r="A909" s="5"/>
      <c r="B909" s="5"/>
      <c r="C909" s="5"/>
      <c r="D909" s="5"/>
      <c r="E909" s="67"/>
      <c r="F909" s="2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</row>
    <row r="910">
      <c r="A910" s="5"/>
      <c r="B910" s="5"/>
      <c r="C910" s="5"/>
      <c r="D910" s="5"/>
      <c r="E910" s="67"/>
      <c r="F910" s="2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</row>
    <row r="911">
      <c r="A911" s="5"/>
      <c r="B911" s="5"/>
      <c r="C911" s="5"/>
      <c r="D911" s="5"/>
      <c r="E911" s="67"/>
      <c r="F911" s="2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</row>
    <row r="912">
      <c r="A912" s="5"/>
      <c r="B912" s="5"/>
      <c r="C912" s="5"/>
      <c r="D912" s="5"/>
      <c r="E912" s="67"/>
      <c r="F912" s="2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</row>
    <row r="913">
      <c r="A913" s="5"/>
      <c r="B913" s="5"/>
      <c r="C913" s="5"/>
      <c r="D913" s="5"/>
      <c r="E913" s="67"/>
      <c r="F913" s="2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</row>
    <row r="914">
      <c r="A914" s="5"/>
      <c r="B914" s="5"/>
      <c r="C914" s="5"/>
      <c r="D914" s="5"/>
      <c r="E914" s="67"/>
      <c r="F914" s="2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</row>
    <row r="915">
      <c r="A915" s="5"/>
      <c r="B915" s="5"/>
      <c r="C915" s="5"/>
      <c r="D915" s="5"/>
      <c r="E915" s="67"/>
      <c r="F915" s="2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</row>
    <row r="916">
      <c r="A916" s="5"/>
      <c r="B916" s="5"/>
      <c r="C916" s="5"/>
      <c r="D916" s="5"/>
      <c r="E916" s="67"/>
      <c r="F916" s="2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</row>
    <row r="917">
      <c r="A917" s="5"/>
      <c r="B917" s="5"/>
      <c r="C917" s="5"/>
      <c r="D917" s="5"/>
      <c r="E917" s="67"/>
      <c r="F917" s="2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</row>
    <row r="918">
      <c r="A918" s="5"/>
      <c r="B918" s="5"/>
      <c r="C918" s="5"/>
      <c r="D918" s="5"/>
      <c r="E918" s="67"/>
      <c r="F918" s="2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</row>
    <row r="919">
      <c r="A919" s="5"/>
      <c r="B919" s="5"/>
      <c r="C919" s="5"/>
      <c r="D919" s="5"/>
      <c r="E919" s="67"/>
      <c r="F919" s="2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</row>
    <row r="920">
      <c r="A920" s="5"/>
      <c r="B920" s="5"/>
      <c r="C920" s="5"/>
      <c r="D920" s="5"/>
      <c r="E920" s="67"/>
      <c r="F920" s="2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</row>
    <row r="921">
      <c r="A921" s="5"/>
      <c r="B921" s="5"/>
      <c r="C921" s="5"/>
      <c r="D921" s="5"/>
      <c r="E921" s="67"/>
      <c r="F921" s="2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</row>
    <row r="922">
      <c r="A922" s="5"/>
      <c r="B922" s="5"/>
      <c r="C922" s="5"/>
      <c r="D922" s="5"/>
      <c r="E922" s="67"/>
      <c r="F922" s="2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</row>
    <row r="923">
      <c r="A923" s="5"/>
      <c r="B923" s="5"/>
      <c r="C923" s="5"/>
      <c r="D923" s="5"/>
      <c r="E923" s="67"/>
      <c r="F923" s="2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</row>
    <row r="924">
      <c r="A924" s="5"/>
      <c r="B924" s="5"/>
      <c r="C924" s="5"/>
      <c r="D924" s="5"/>
      <c r="E924" s="67"/>
      <c r="F924" s="2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</row>
    <row r="925">
      <c r="A925" s="5"/>
      <c r="B925" s="5"/>
      <c r="C925" s="5"/>
      <c r="D925" s="5"/>
      <c r="E925" s="67"/>
      <c r="F925" s="2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</row>
    <row r="926">
      <c r="A926" s="5"/>
      <c r="B926" s="5"/>
      <c r="C926" s="5"/>
      <c r="D926" s="5"/>
      <c r="E926" s="67"/>
      <c r="F926" s="2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</row>
    <row r="927">
      <c r="A927" s="5"/>
      <c r="B927" s="5"/>
      <c r="C927" s="5"/>
      <c r="D927" s="5"/>
      <c r="E927" s="67"/>
      <c r="F927" s="2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</row>
    <row r="928">
      <c r="A928" s="5"/>
      <c r="B928" s="5"/>
      <c r="C928" s="5"/>
      <c r="D928" s="5"/>
      <c r="E928" s="67"/>
      <c r="F928" s="2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</row>
    <row r="929">
      <c r="A929" s="5"/>
      <c r="B929" s="5"/>
      <c r="C929" s="5"/>
      <c r="D929" s="5"/>
      <c r="E929" s="67"/>
      <c r="F929" s="2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</row>
    <row r="930">
      <c r="A930" s="5"/>
      <c r="B930" s="5"/>
      <c r="C930" s="5"/>
      <c r="D930" s="5"/>
      <c r="E930" s="67"/>
      <c r="F930" s="2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</row>
    <row r="931">
      <c r="A931" s="5"/>
      <c r="B931" s="5"/>
      <c r="C931" s="5"/>
      <c r="D931" s="5"/>
      <c r="E931" s="67"/>
      <c r="F931" s="2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</row>
    <row r="932">
      <c r="A932" s="5"/>
      <c r="B932" s="5"/>
      <c r="C932" s="5"/>
      <c r="D932" s="5"/>
      <c r="E932" s="67"/>
      <c r="F932" s="2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</row>
    <row r="933">
      <c r="A933" s="5"/>
      <c r="B933" s="5"/>
      <c r="C933" s="5"/>
      <c r="D933" s="5"/>
      <c r="E933" s="67"/>
      <c r="F933" s="2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</row>
    <row r="934">
      <c r="A934" s="5"/>
      <c r="B934" s="5"/>
      <c r="C934" s="5"/>
      <c r="D934" s="5"/>
      <c r="E934" s="67"/>
      <c r="F934" s="2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</row>
    <row r="935">
      <c r="A935" s="5"/>
      <c r="B935" s="5"/>
      <c r="C935" s="5"/>
      <c r="D935" s="5"/>
      <c r="E935" s="67"/>
      <c r="F935" s="2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</row>
    <row r="936">
      <c r="A936" s="5"/>
      <c r="B936" s="5"/>
      <c r="C936" s="5"/>
      <c r="D936" s="5"/>
      <c r="E936" s="67"/>
      <c r="F936" s="2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</row>
    <row r="937">
      <c r="A937" s="5"/>
      <c r="B937" s="5"/>
      <c r="C937" s="5"/>
      <c r="D937" s="5"/>
      <c r="E937" s="67"/>
      <c r="F937" s="2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</row>
    <row r="938">
      <c r="A938" s="5"/>
      <c r="B938" s="5"/>
      <c r="C938" s="5"/>
      <c r="D938" s="5"/>
      <c r="E938" s="67"/>
      <c r="F938" s="2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</row>
    <row r="939">
      <c r="A939" s="5"/>
      <c r="B939" s="5"/>
      <c r="C939" s="5"/>
      <c r="D939" s="5"/>
      <c r="E939" s="67"/>
      <c r="F939" s="2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</row>
    <row r="940">
      <c r="A940" s="5"/>
      <c r="B940" s="5"/>
      <c r="C940" s="5"/>
      <c r="D940" s="5"/>
      <c r="E940" s="67"/>
      <c r="F940" s="2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</row>
    <row r="941">
      <c r="A941" s="5"/>
      <c r="B941" s="5"/>
      <c r="C941" s="5"/>
      <c r="D941" s="5"/>
      <c r="E941" s="67"/>
      <c r="F941" s="2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</row>
    <row r="942">
      <c r="A942" s="5"/>
      <c r="B942" s="5"/>
      <c r="C942" s="5"/>
      <c r="D942" s="5"/>
      <c r="E942" s="67"/>
      <c r="F942" s="2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</row>
    <row r="943">
      <c r="A943" s="5"/>
      <c r="B943" s="5"/>
      <c r="C943" s="5"/>
      <c r="D943" s="5"/>
      <c r="E943" s="67"/>
      <c r="F943" s="2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</row>
    <row r="944">
      <c r="A944" s="5"/>
      <c r="B944" s="5"/>
      <c r="C944" s="5"/>
      <c r="D944" s="5"/>
      <c r="E944" s="67"/>
      <c r="F944" s="2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</row>
    <row r="945">
      <c r="A945" s="5"/>
      <c r="B945" s="5"/>
      <c r="C945" s="5"/>
      <c r="D945" s="5"/>
      <c r="E945" s="67"/>
      <c r="F945" s="2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</row>
    <row r="946">
      <c r="A946" s="5"/>
      <c r="B946" s="5"/>
      <c r="C946" s="5"/>
      <c r="D946" s="5"/>
      <c r="E946" s="67"/>
      <c r="F946" s="2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</row>
    <row r="947">
      <c r="A947" s="5"/>
      <c r="B947" s="5"/>
      <c r="C947" s="5"/>
      <c r="D947" s="5"/>
      <c r="E947" s="67"/>
      <c r="F947" s="2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</row>
    <row r="948">
      <c r="A948" s="5"/>
      <c r="B948" s="5"/>
      <c r="C948" s="5"/>
      <c r="D948" s="5"/>
      <c r="E948" s="67"/>
      <c r="F948" s="2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</row>
    <row r="949">
      <c r="A949" s="5"/>
      <c r="B949" s="5"/>
      <c r="C949" s="5"/>
      <c r="D949" s="5"/>
      <c r="E949" s="67"/>
      <c r="F949" s="2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</row>
    <row r="950">
      <c r="A950" s="5"/>
      <c r="B950" s="5"/>
      <c r="C950" s="5"/>
      <c r="D950" s="5"/>
      <c r="E950" s="67"/>
      <c r="F950" s="2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</row>
    <row r="951">
      <c r="A951" s="5"/>
      <c r="B951" s="5"/>
      <c r="C951" s="5"/>
      <c r="D951" s="5"/>
      <c r="E951" s="67"/>
      <c r="F951" s="2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</row>
    <row r="952">
      <c r="A952" s="5"/>
      <c r="B952" s="5"/>
      <c r="C952" s="5"/>
      <c r="D952" s="5"/>
      <c r="E952" s="67"/>
      <c r="F952" s="2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</row>
    <row r="953">
      <c r="A953" s="5"/>
      <c r="B953" s="5"/>
      <c r="C953" s="5"/>
      <c r="D953" s="5"/>
      <c r="E953" s="67"/>
      <c r="F953" s="2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</row>
    <row r="954">
      <c r="A954" s="5"/>
      <c r="B954" s="5"/>
      <c r="C954" s="5"/>
      <c r="D954" s="5"/>
      <c r="E954" s="67"/>
      <c r="F954" s="2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</row>
    <row r="955">
      <c r="A955" s="5"/>
      <c r="B955" s="5"/>
      <c r="C955" s="5"/>
      <c r="D955" s="5"/>
      <c r="E955" s="67"/>
      <c r="F955" s="2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</row>
    <row r="956">
      <c r="A956" s="5"/>
      <c r="B956" s="5"/>
      <c r="C956" s="5"/>
      <c r="D956" s="5"/>
      <c r="E956" s="67"/>
      <c r="F956" s="2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</row>
    <row r="957">
      <c r="A957" s="5"/>
      <c r="B957" s="5"/>
      <c r="C957" s="5"/>
      <c r="D957" s="5"/>
      <c r="E957" s="67"/>
      <c r="F957" s="2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</row>
    <row r="958">
      <c r="A958" s="5"/>
      <c r="B958" s="5"/>
      <c r="C958" s="5"/>
      <c r="D958" s="5"/>
      <c r="E958" s="67"/>
      <c r="F958" s="2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</row>
    <row r="959">
      <c r="A959" s="5"/>
      <c r="B959" s="5"/>
      <c r="C959" s="5"/>
      <c r="D959" s="5"/>
      <c r="E959" s="67"/>
      <c r="F959" s="2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</row>
    <row r="960">
      <c r="A960" s="5"/>
      <c r="B960" s="5"/>
      <c r="C960" s="5"/>
      <c r="D960" s="5"/>
      <c r="E960" s="67"/>
      <c r="F960" s="2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</row>
    <row r="961">
      <c r="A961" s="5"/>
      <c r="B961" s="5"/>
      <c r="C961" s="5"/>
      <c r="D961" s="5"/>
      <c r="E961" s="67"/>
      <c r="F961" s="2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</row>
    <row r="962">
      <c r="A962" s="5"/>
      <c r="B962" s="5"/>
      <c r="C962" s="5"/>
      <c r="D962" s="5"/>
      <c r="E962" s="67"/>
      <c r="F962" s="2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</row>
    <row r="963">
      <c r="A963" s="5"/>
      <c r="B963" s="5"/>
      <c r="C963" s="5"/>
      <c r="D963" s="5"/>
      <c r="E963" s="67"/>
      <c r="F963" s="2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</row>
    <row r="964">
      <c r="A964" s="5"/>
      <c r="B964" s="5"/>
      <c r="C964" s="5"/>
      <c r="D964" s="5"/>
      <c r="E964" s="67"/>
      <c r="F964" s="2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</row>
    <row r="965">
      <c r="A965" s="5"/>
      <c r="B965" s="5"/>
      <c r="C965" s="5"/>
      <c r="D965" s="5"/>
      <c r="E965" s="67"/>
      <c r="F965" s="2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</row>
    <row r="966">
      <c r="A966" s="5"/>
      <c r="B966" s="5"/>
      <c r="C966" s="5"/>
      <c r="D966" s="5"/>
      <c r="E966" s="67"/>
      <c r="F966" s="2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</row>
    <row r="967">
      <c r="A967" s="5"/>
      <c r="B967" s="5"/>
      <c r="C967" s="5"/>
      <c r="D967" s="5"/>
      <c r="E967" s="67"/>
      <c r="F967" s="2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</row>
    <row r="968">
      <c r="A968" s="5"/>
      <c r="B968" s="5"/>
      <c r="C968" s="5"/>
      <c r="D968" s="5"/>
      <c r="E968" s="67"/>
      <c r="F968" s="2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</row>
    <row r="969">
      <c r="A969" s="5"/>
      <c r="B969" s="5"/>
      <c r="C969" s="5"/>
      <c r="D969" s="5"/>
      <c r="E969" s="67"/>
      <c r="F969" s="2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</row>
    <row r="970">
      <c r="A970" s="5"/>
      <c r="B970" s="5"/>
      <c r="C970" s="5"/>
      <c r="D970" s="5"/>
      <c r="E970" s="67"/>
      <c r="F970" s="2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</row>
    <row r="971">
      <c r="A971" s="5"/>
      <c r="B971" s="5"/>
      <c r="C971" s="5"/>
      <c r="D971" s="5"/>
      <c r="E971" s="67"/>
      <c r="F971" s="2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</row>
    <row r="972">
      <c r="A972" s="5"/>
      <c r="B972" s="5"/>
      <c r="C972" s="5"/>
      <c r="D972" s="5"/>
      <c r="E972" s="67"/>
      <c r="F972" s="2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</row>
    <row r="973">
      <c r="A973" s="5"/>
      <c r="B973" s="5"/>
      <c r="C973" s="5"/>
      <c r="D973" s="5"/>
      <c r="E973" s="67"/>
      <c r="F973" s="2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</row>
    <row r="974">
      <c r="A974" s="5"/>
      <c r="B974" s="5"/>
      <c r="C974" s="5"/>
      <c r="D974" s="5"/>
      <c r="E974" s="67"/>
      <c r="F974" s="2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</row>
    <row r="975">
      <c r="A975" s="5"/>
      <c r="B975" s="5"/>
      <c r="C975" s="5"/>
      <c r="D975" s="5"/>
      <c r="E975" s="67"/>
      <c r="F975" s="2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</row>
    <row r="976">
      <c r="A976" s="5"/>
      <c r="B976" s="5"/>
      <c r="C976" s="5"/>
      <c r="D976" s="5"/>
      <c r="E976" s="67"/>
      <c r="F976" s="2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</row>
    <row r="977">
      <c r="A977" s="5"/>
      <c r="B977" s="5"/>
      <c r="C977" s="5"/>
      <c r="D977" s="5"/>
      <c r="E977" s="67"/>
      <c r="F977" s="2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</row>
    <row r="978">
      <c r="A978" s="5"/>
      <c r="B978" s="5"/>
      <c r="C978" s="5"/>
      <c r="D978" s="5"/>
      <c r="E978" s="67"/>
      <c r="F978" s="2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</row>
    <row r="979">
      <c r="A979" s="5"/>
      <c r="B979" s="5"/>
      <c r="C979" s="5"/>
      <c r="D979" s="5"/>
      <c r="E979" s="67"/>
      <c r="F979" s="2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</row>
    <row r="980">
      <c r="A980" s="5"/>
      <c r="B980" s="5"/>
      <c r="C980" s="5"/>
      <c r="D980" s="5"/>
      <c r="E980" s="67"/>
      <c r="F980" s="2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</row>
    <row r="981">
      <c r="A981" s="5"/>
      <c r="B981" s="5"/>
      <c r="C981" s="5"/>
      <c r="D981" s="5"/>
      <c r="E981" s="67"/>
      <c r="F981" s="2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</row>
    <row r="982">
      <c r="A982" s="5"/>
      <c r="B982" s="5"/>
      <c r="C982" s="5"/>
      <c r="D982" s="5"/>
      <c r="E982" s="67"/>
      <c r="F982" s="2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</row>
    <row r="983">
      <c r="A983" s="5"/>
      <c r="B983" s="5"/>
      <c r="C983" s="5"/>
      <c r="D983" s="5"/>
      <c r="E983" s="67"/>
      <c r="F983" s="2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</row>
    <row r="984">
      <c r="A984" s="5"/>
      <c r="B984" s="5"/>
      <c r="C984" s="5"/>
      <c r="D984" s="5"/>
      <c r="E984" s="67"/>
      <c r="F984" s="2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</row>
    <row r="985">
      <c r="A985" s="5"/>
      <c r="B985" s="5"/>
      <c r="C985" s="5"/>
      <c r="D985" s="5"/>
      <c r="E985" s="67"/>
      <c r="F985" s="2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</row>
    <row r="986">
      <c r="A986" s="5"/>
      <c r="B986" s="5"/>
      <c r="C986" s="5"/>
      <c r="D986" s="5"/>
      <c r="E986" s="67"/>
      <c r="F986" s="2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</row>
    <row r="987">
      <c r="A987" s="5"/>
      <c r="B987" s="5"/>
      <c r="C987" s="5"/>
      <c r="D987" s="5"/>
      <c r="E987" s="67"/>
      <c r="F987" s="2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</row>
    <row r="988">
      <c r="A988" s="5"/>
      <c r="B988" s="5"/>
      <c r="C988" s="5"/>
      <c r="D988" s="5"/>
      <c r="E988" s="67"/>
      <c r="F988" s="2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</row>
    <row r="989">
      <c r="A989" s="5"/>
      <c r="B989" s="5"/>
      <c r="C989" s="5"/>
      <c r="D989" s="5"/>
      <c r="E989" s="67"/>
      <c r="F989" s="2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</row>
    <row r="990">
      <c r="A990" s="5"/>
      <c r="B990" s="5"/>
      <c r="C990" s="5"/>
      <c r="D990" s="5"/>
      <c r="E990" s="67"/>
      <c r="F990" s="2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</row>
    <row r="991">
      <c r="A991" s="5"/>
      <c r="B991" s="5"/>
      <c r="C991" s="5"/>
      <c r="D991" s="5"/>
      <c r="E991" s="67"/>
      <c r="F991" s="2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</row>
    <row r="992">
      <c r="A992" s="5"/>
      <c r="B992" s="5"/>
      <c r="C992" s="5"/>
      <c r="D992" s="5"/>
      <c r="E992" s="67"/>
      <c r="F992" s="2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</row>
    <row r="993">
      <c r="A993" s="5"/>
      <c r="B993" s="5"/>
      <c r="C993" s="5"/>
      <c r="D993" s="5"/>
      <c r="E993" s="67"/>
      <c r="F993" s="2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</row>
    <row r="994">
      <c r="A994" s="5"/>
      <c r="B994" s="5"/>
      <c r="C994" s="5"/>
      <c r="D994" s="5"/>
      <c r="E994" s="67"/>
      <c r="F994" s="2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</row>
    <row r="995">
      <c r="A995" s="5"/>
      <c r="B995" s="5"/>
      <c r="C995" s="5"/>
      <c r="D995" s="5"/>
      <c r="E995" s="67"/>
      <c r="F995" s="2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</row>
    <row r="996">
      <c r="A996" s="5"/>
      <c r="B996" s="5"/>
      <c r="C996" s="5"/>
      <c r="D996" s="5"/>
      <c r="E996" s="67"/>
      <c r="F996" s="2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</row>
    <row r="997">
      <c r="A997" s="5"/>
      <c r="B997" s="5"/>
      <c r="C997" s="5"/>
      <c r="D997" s="5"/>
      <c r="E997" s="67"/>
      <c r="F997" s="2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</row>
    <row r="998">
      <c r="A998" s="5"/>
      <c r="B998" s="5"/>
      <c r="C998" s="5"/>
      <c r="D998" s="5"/>
      <c r="E998" s="67"/>
      <c r="F998" s="2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</row>
    <row r="999">
      <c r="A999" s="5"/>
      <c r="B999" s="5"/>
      <c r="C999" s="5"/>
      <c r="D999" s="5"/>
      <c r="E999" s="67"/>
      <c r="F999" s="2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</row>
    <row r="1000">
      <c r="A1000" s="5"/>
      <c r="B1000" s="5"/>
      <c r="C1000" s="5"/>
      <c r="D1000" s="5"/>
      <c r="E1000" s="67"/>
      <c r="F1000" s="2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</cols>
  <sheetData>
    <row r="1">
      <c r="A1" s="77" t="str">
        <f>IFERROR(__xludf.DUMMYFUNCTION("IMPORTRANGE(""https://docs.google.com/spreadsheets/d/1byb9bvFcmGc6Kf1LTvm48va0vCE1WjTAE5QN3bReSFU/edit?gid=1761317581#gid=1761317581"", ""食譜!A:ZZZ"")"),"")</f>
        <v/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>
        <f>IFERROR(__xludf.DUMMYFUNCTION("""COMPUTED_VALUE"""),90.0)</f>
        <v>90</v>
      </c>
      <c r="S1" s="78">
        <f>IFERROR(__xludf.DUMMYFUNCTION("""COMPUTED_VALUE"""),98.0)</f>
        <v>98</v>
      </c>
      <c r="T1" s="78">
        <f>IFERROR(__xludf.DUMMYFUNCTION("""COMPUTED_VALUE"""),100.0)</f>
        <v>100</v>
      </c>
      <c r="U1" s="78">
        <f>IFERROR(__xludf.DUMMYFUNCTION("""COMPUTED_VALUE"""),101.0)</f>
        <v>101</v>
      </c>
      <c r="V1" s="78">
        <f>IFERROR(__xludf.DUMMYFUNCTION("""COMPUTED_VALUE"""),103.0)</f>
        <v>103</v>
      </c>
      <c r="W1" s="78">
        <f>IFERROR(__xludf.DUMMYFUNCTION("""COMPUTED_VALUE"""),109.0)</f>
        <v>109</v>
      </c>
      <c r="X1" s="78">
        <f>IFERROR(__xludf.DUMMYFUNCTION("""COMPUTED_VALUE"""),110.0)</f>
        <v>110</v>
      </c>
      <c r="Y1" s="78">
        <f>IFERROR(__xludf.DUMMYFUNCTION("""COMPUTED_VALUE"""),115.0)</f>
        <v>115</v>
      </c>
      <c r="Z1" s="78">
        <f>IFERROR(__xludf.DUMMYFUNCTION("""COMPUTED_VALUE"""),121.0)</f>
        <v>121</v>
      </c>
      <c r="AA1" s="78">
        <f>IFERROR(__xludf.DUMMYFUNCTION("""COMPUTED_VALUE"""),124.0)</f>
        <v>124</v>
      </c>
      <c r="AB1" s="78">
        <f>IFERROR(__xludf.DUMMYFUNCTION("""COMPUTED_VALUE"""),130.0)</f>
        <v>130</v>
      </c>
      <c r="AC1" s="78">
        <f>IFERROR(__xludf.DUMMYFUNCTION("""COMPUTED_VALUE"""),140.0)</f>
        <v>140</v>
      </c>
      <c r="AD1" s="78">
        <f>IFERROR(__xludf.DUMMYFUNCTION("""COMPUTED_VALUE"""),151.0)</f>
        <v>151</v>
      </c>
      <c r="AE1" s="78">
        <f>IFERROR(__xludf.DUMMYFUNCTION("""COMPUTED_VALUE"""),153.0)</f>
        <v>153</v>
      </c>
      <c r="AF1" s="78">
        <f>IFERROR(__xludf.DUMMYFUNCTION("""COMPUTED_VALUE"""),162.0)</f>
        <v>162</v>
      </c>
      <c r="AG1" s="78">
        <f>IFERROR(__xludf.DUMMYFUNCTION("""COMPUTED_VALUE"""),167.0)</f>
        <v>167</v>
      </c>
      <c r="AH1" s="78">
        <f>IFERROR(__xludf.DUMMYFUNCTION("""COMPUTED_VALUE"""),185.0)</f>
        <v>185</v>
      </c>
      <c r="AI1" s="78">
        <f>IFERROR(__xludf.DUMMYFUNCTION("""COMPUTED_VALUE"""),250.0)</f>
        <v>250</v>
      </c>
      <c r="AJ1" s="78">
        <f>IFERROR(__xludf.DUMMYFUNCTION("""COMPUTED_VALUE"""),342.0)</f>
        <v>342</v>
      </c>
      <c r="AK1" s="78"/>
      <c r="AL1" s="78"/>
      <c r="AM1" s="78"/>
      <c r="AN1" s="78"/>
      <c r="AO1" s="78"/>
      <c r="AP1" s="78"/>
      <c r="AQ1" s="78"/>
      <c r="AR1" s="78"/>
      <c r="AS1" s="78"/>
    </row>
    <row r="2">
      <c r="A2" s="79" t="str">
        <f>IFERROR(__xludf.DUMMYFUNCTION("""COMPUTED_VALUE"""),"圖")</f>
        <v>圖</v>
      </c>
      <c r="B2" s="80" t="str">
        <f>IFERROR(__xludf.DUMMYFUNCTION("""COMPUTED_VALUE"""),"食譜名")</f>
        <v>食譜名</v>
      </c>
      <c r="C2" s="80" t="str">
        <f>IFERROR(__xludf.DUMMYFUNCTION("""COMPUTED_VALUE"""),"名")</f>
        <v>名</v>
      </c>
      <c r="D2" s="80" t="str">
        <f>IFERROR(__xludf.DUMMYFUNCTION("""COMPUTED_VALUE"""),"食材數量")</f>
        <v>食材數量</v>
      </c>
      <c r="E2" s="80" t="str">
        <f>IFERROR(__xludf.DUMMYFUNCTION("""COMPUTED_VALUE"""),"類型")</f>
        <v>類型</v>
      </c>
      <c r="F2" s="80" t="str">
        <f>IFERROR(__xludf.DUMMYFUNCTION("""COMPUTED_VALUE"""),"階級獎勵")</f>
        <v>階級獎勵</v>
      </c>
      <c r="G2" s="81" t="str">
        <f>IFERROR(__xludf.DUMMYFUNCTION("""COMPUTED_VALUE"""),"純食材*數量加總")</f>
        <v>純食材*數量加總</v>
      </c>
      <c r="H2" s="81" t="str">
        <f>IFERROR(__xludf.DUMMYFUNCTION("""COMPUTED_VALUE"""),"加成後")</f>
        <v>加成後</v>
      </c>
      <c r="I2" s="80" t="str">
        <f>IFERROR(__xludf.DUMMYFUNCTION("""COMPUTED_VALUE"""),"清單")</f>
        <v>清單</v>
      </c>
      <c r="J2" s="80" t="str">
        <f>IFERROR(__xludf.DUMMYFUNCTION("""COMPUTED_VALUE"""),"食材1")</f>
        <v>食材1</v>
      </c>
      <c r="K2" s="80" t="str">
        <f>IFERROR(__xludf.DUMMYFUNCTION("""COMPUTED_VALUE"""),"數1")</f>
        <v>數1</v>
      </c>
      <c r="L2" s="80" t="str">
        <f>IFERROR(__xludf.DUMMYFUNCTION("""COMPUTED_VALUE"""),"食材2")</f>
        <v>食材2</v>
      </c>
      <c r="M2" s="80" t="str">
        <f>IFERROR(__xludf.DUMMYFUNCTION("""COMPUTED_VALUE"""),"數2")</f>
        <v>數2</v>
      </c>
      <c r="N2" s="80" t="str">
        <f>IFERROR(__xludf.DUMMYFUNCTION("""COMPUTED_VALUE"""),"食材3")</f>
        <v>食材3</v>
      </c>
      <c r="O2" s="80" t="str">
        <f>IFERROR(__xludf.DUMMYFUNCTION("""COMPUTED_VALUE"""),"數3")</f>
        <v>數3</v>
      </c>
      <c r="P2" s="80" t="str">
        <f>IFERROR(__xludf.DUMMYFUNCTION("""COMPUTED_VALUE"""),"食材4")</f>
        <v>食材4</v>
      </c>
      <c r="Q2" s="80" t="str">
        <f>IFERROR(__xludf.DUMMYFUNCTION("""COMPUTED_VALUE"""),"數4")</f>
        <v>數4</v>
      </c>
      <c r="R2" s="80" t="str">
        <f>IFERROR(__xludf.DUMMYFUNCTION("""COMPUTED_VALUE"""),"特選蘋果")</f>
        <v>特選蘋果</v>
      </c>
      <c r="S2" s="80" t="str">
        <f>IFERROR(__xludf.DUMMYFUNCTION("""COMPUTED_VALUE"""),"哞哞鮮奶")</f>
        <v>哞哞鮮奶</v>
      </c>
      <c r="T2" s="80" t="str">
        <f>IFERROR(__xludf.DUMMYFUNCTION("""COMPUTED_VALUE"""),"萌綠大豆")</f>
        <v>萌綠大豆</v>
      </c>
      <c r="U2" s="80" t="str">
        <f>IFERROR(__xludf.DUMMYFUNCTION("""COMPUTED_VALUE"""),"甜甜蜜")</f>
        <v>甜甜蜜</v>
      </c>
      <c r="V2" s="80" t="str">
        <f>IFERROR(__xludf.DUMMYFUNCTION("""COMPUTED_VALUE"""),"豆製肉")</f>
        <v>豆製肉</v>
      </c>
      <c r="W2" s="80" t="str">
        <f>IFERROR(__xludf.DUMMYFUNCTION("""COMPUTED_VALUE"""),"暖暖薑")</f>
        <v>暖暖薑</v>
      </c>
      <c r="X2" s="80" t="str">
        <f>IFERROR(__xludf.DUMMYFUNCTION("""COMPUTED_VALUE"""),"好眠番茄")</f>
        <v>好眠番茄</v>
      </c>
      <c r="Y2" s="80" t="str">
        <f>IFERROR(__xludf.DUMMYFUNCTION("""COMPUTED_VALUE"""),"特選蛋")</f>
        <v>特選蛋</v>
      </c>
      <c r="Z2" s="80" t="str">
        <f>IFERROR(__xludf.DUMMYFUNCTION("""COMPUTED_VALUE"""),"純粹油")</f>
        <v>純粹油</v>
      </c>
      <c r="AA2" s="80" t="str">
        <f>IFERROR(__xludf.DUMMYFUNCTION("""COMPUTED_VALUE"""),"窩心洋芋")</f>
        <v>窩心洋芋</v>
      </c>
      <c r="AB2" s="80" t="str">
        <f>IFERROR(__xludf.DUMMYFUNCTION("""COMPUTED_VALUE"""),"火辣香草")</f>
        <v>火辣香草</v>
      </c>
      <c r="AC2" s="80" t="str">
        <f>IFERROR(__xludf.DUMMYFUNCTION("""COMPUTED_VALUE"""),"萌綠玉米")</f>
        <v>萌綠玉米</v>
      </c>
      <c r="AD2" s="80" t="str">
        <f>IFERROR(__xludf.DUMMYFUNCTION("""COMPUTED_VALUE"""),"放鬆可可")</f>
        <v>放鬆可可</v>
      </c>
      <c r="AE2" s="80" t="str">
        <f>IFERROR(__xludf.DUMMYFUNCTION("""COMPUTED_VALUE"""),"醒腦咖啡豆")</f>
        <v>醒腦咖啡豆</v>
      </c>
      <c r="AF2" s="80" t="str">
        <f>IFERROR(__xludf.DUMMYFUNCTION("""COMPUTED_VALUE"""),"嫩亮酪梨")</f>
        <v>嫩亮酪梨</v>
      </c>
      <c r="AG2" s="80" t="str">
        <f>IFERROR(__xludf.DUMMYFUNCTION("""COMPUTED_VALUE"""),"品鮮蘑菇")</f>
        <v>品鮮蘑菇</v>
      </c>
      <c r="AH2" s="80" t="str">
        <f>IFERROR(__xludf.DUMMYFUNCTION("""COMPUTED_VALUE"""),"粗枝大蔥")</f>
        <v>粗枝大蔥</v>
      </c>
      <c r="AI2" s="80" t="str">
        <f>IFERROR(__xludf.DUMMYFUNCTION("""COMPUTED_VALUE"""),"沉甸甸南瓜")</f>
        <v>沉甸甸南瓜</v>
      </c>
      <c r="AJ2" s="80" t="str">
        <f>IFERROR(__xludf.DUMMYFUNCTION("""COMPUTED_VALUE"""),"美味尾巴")</f>
        <v>美味尾巴</v>
      </c>
      <c r="AK2" s="80"/>
      <c r="AL2" s="80"/>
      <c r="AM2" s="80"/>
      <c r="AN2" s="80"/>
      <c r="AO2" s="80"/>
      <c r="AP2" s="80"/>
      <c r="AQ2" s="80"/>
      <c r="AR2" s="80"/>
      <c r="AS2" s="80"/>
    </row>
    <row r="3" ht="49.5" customHeight="1">
      <c r="A3" s="77" t="str">
        <f>IFERROR(__xludf.DUMMYFUNCTION("""COMPUTED_VALUE"""),"")</f>
        <v/>
      </c>
      <c r="B3" s="78" t="str">
        <f>IFERROR(__xludf.DUMMYFUNCTION("""COMPUTED_VALUE"""),"拌拌沙拉")</f>
        <v>拌拌沙拉</v>
      </c>
      <c r="C3" s="78" t="str">
        <f>IFERROR(__xludf.DUMMYFUNCTION("""COMPUTED_VALUE"""),"mixedsalad")</f>
        <v>mixedsalad</v>
      </c>
      <c r="D3" s="78">
        <f>IFERROR(__xludf.DUMMYFUNCTION("""COMPUTED_VALUE"""),0.0)</f>
        <v>0</v>
      </c>
      <c r="E3" s="78" t="str">
        <f>IFERROR(__xludf.DUMMYFUNCTION("""COMPUTED_VALUE"""),"沙拉")</f>
        <v>沙拉</v>
      </c>
      <c r="F3" s="82">
        <f>IFERROR(__xludf.DUMMYFUNCTION("""COMPUTED_VALUE"""),0.0)</f>
        <v>0</v>
      </c>
      <c r="G3" s="83">
        <f>IFERROR(__xludf.DUMMYFUNCTION("""COMPUTED_VALUE"""),0.0)</f>
        <v>0</v>
      </c>
      <c r="H3" s="83">
        <f>IFERROR(__xludf.DUMMYFUNCTION("""COMPUTED_VALUE"""),0.0)</f>
        <v>0</v>
      </c>
      <c r="I3" s="78" t="str">
        <f>IFERROR(__xludf.DUMMYFUNCTION("""COMPUTED_VALUE"""),"")</f>
        <v/>
      </c>
      <c r="J3" s="78"/>
      <c r="K3" s="78"/>
      <c r="L3" s="78"/>
      <c r="M3" s="78"/>
      <c r="N3" s="78"/>
      <c r="O3" s="78"/>
      <c r="P3" s="78"/>
      <c r="Q3" s="78"/>
      <c r="R3" s="78" t="str">
        <f>IFERROR(__xludf.DUMMYFUNCTION("""COMPUTED_VALUE"""),"")</f>
        <v/>
      </c>
      <c r="S3" s="78" t="str">
        <f>IFERROR(__xludf.DUMMYFUNCTION("""COMPUTED_VALUE"""),"")</f>
        <v/>
      </c>
      <c r="T3" s="78" t="str">
        <f>IFERROR(__xludf.DUMMYFUNCTION("""COMPUTED_VALUE"""),"")</f>
        <v/>
      </c>
      <c r="U3" s="78" t="str">
        <f>IFERROR(__xludf.DUMMYFUNCTION("""COMPUTED_VALUE"""),"")</f>
        <v/>
      </c>
      <c r="V3" s="78" t="str">
        <f>IFERROR(__xludf.DUMMYFUNCTION("""COMPUTED_VALUE"""),"")</f>
        <v/>
      </c>
      <c r="W3" s="78" t="str">
        <f>IFERROR(__xludf.DUMMYFUNCTION("""COMPUTED_VALUE"""),"")</f>
        <v/>
      </c>
      <c r="X3" s="78" t="str">
        <f>IFERROR(__xludf.DUMMYFUNCTION("""COMPUTED_VALUE"""),"")</f>
        <v/>
      </c>
      <c r="Y3" s="78" t="str">
        <f>IFERROR(__xludf.DUMMYFUNCTION("""COMPUTED_VALUE"""),"")</f>
        <v/>
      </c>
      <c r="Z3" s="78" t="str">
        <f>IFERROR(__xludf.DUMMYFUNCTION("""COMPUTED_VALUE"""),"")</f>
        <v/>
      </c>
      <c r="AA3" s="78" t="str">
        <f>IFERROR(__xludf.DUMMYFUNCTION("""COMPUTED_VALUE"""),"")</f>
        <v/>
      </c>
      <c r="AB3" s="78" t="str">
        <f>IFERROR(__xludf.DUMMYFUNCTION("""COMPUTED_VALUE"""),"")</f>
        <v/>
      </c>
      <c r="AC3" s="78" t="str">
        <f>IFERROR(__xludf.DUMMYFUNCTION("""COMPUTED_VALUE"""),"")</f>
        <v/>
      </c>
      <c r="AD3" s="78" t="str">
        <f>IFERROR(__xludf.DUMMYFUNCTION("""COMPUTED_VALUE"""),"")</f>
        <v/>
      </c>
      <c r="AE3" s="78" t="str">
        <f>IFERROR(__xludf.DUMMYFUNCTION("""COMPUTED_VALUE"""),"")</f>
        <v/>
      </c>
      <c r="AF3" s="78" t="str">
        <f>IFERROR(__xludf.DUMMYFUNCTION("""COMPUTED_VALUE"""),"")</f>
        <v/>
      </c>
      <c r="AG3" s="78" t="str">
        <f>IFERROR(__xludf.DUMMYFUNCTION("""COMPUTED_VALUE"""),"")</f>
        <v/>
      </c>
      <c r="AH3" s="78" t="str">
        <f>IFERROR(__xludf.DUMMYFUNCTION("""COMPUTED_VALUE"""),"")</f>
        <v/>
      </c>
      <c r="AI3" s="78" t="str">
        <f>IFERROR(__xludf.DUMMYFUNCTION("""COMPUTED_VALUE"""),"")</f>
        <v/>
      </c>
      <c r="AJ3" s="78" t="str">
        <f>IFERROR(__xludf.DUMMYFUNCTION("""COMPUTED_VALUE"""),"")</f>
        <v/>
      </c>
      <c r="AK3" s="78">
        <f>IFERROR(__xludf.DUMMYFUNCTION("""COMPUTED_VALUE"""),0.0)</f>
        <v>0</v>
      </c>
      <c r="AL3" s="78"/>
      <c r="AM3" s="78"/>
      <c r="AN3" s="78"/>
      <c r="AO3" s="78"/>
      <c r="AP3" s="78"/>
      <c r="AQ3" s="78"/>
      <c r="AR3" s="78"/>
      <c r="AS3" s="78"/>
    </row>
    <row r="4" ht="49.5" customHeight="1">
      <c r="A4" s="77" t="str">
        <f>IFERROR(__xludf.DUMMYFUNCTION("""COMPUTED_VALUE"""),"")</f>
        <v/>
      </c>
      <c r="B4" s="78" t="str">
        <f>IFERROR(__xludf.DUMMYFUNCTION("""COMPUTED_VALUE"""),"特選蘋果沙拉")</f>
        <v>特選蘋果沙拉</v>
      </c>
      <c r="C4" s="78" t="str">
        <f>IFERROR(__xludf.DUMMYFUNCTION("""COMPUTED_VALUE"""),"fancyapplesalad")</f>
        <v>fancyapplesalad</v>
      </c>
      <c r="D4" s="78">
        <f>IFERROR(__xludf.DUMMYFUNCTION("""COMPUTED_VALUE"""),8.0)</f>
        <v>8</v>
      </c>
      <c r="E4" s="78" t="str">
        <f>IFERROR(__xludf.DUMMYFUNCTION("""COMPUTED_VALUE"""),"沙拉")</f>
        <v>沙拉</v>
      </c>
      <c r="F4" s="82">
        <f>IFERROR(__xludf.DUMMYFUNCTION("""COMPUTED_VALUE"""),0.19)</f>
        <v>0.19</v>
      </c>
      <c r="G4" s="83">
        <f>IFERROR(__xludf.DUMMYFUNCTION("""COMPUTED_VALUE"""),720.0)</f>
        <v>720</v>
      </c>
      <c r="H4" s="83">
        <f>IFERROR(__xludf.DUMMYFUNCTION("""COMPUTED_VALUE"""),855.0)</f>
        <v>855</v>
      </c>
      <c r="I4" s="78" t="str">
        <f>IFERROR(__xludf.DUMMYFUNCTION("""COMPUTED_VALUE"""),"特選蘋果,8")</f>
        <v>特選蘋果,8</v>
      </c>
      <c r="J4" s="78" t="str">
        <f>IFERROR(__xludf.DUMMYFUNCTION("""COMPUTED_VALUE"""),"特選蘋果")</f>
        <v>特選蘋果</v>
      </c>
      <c r="K4" s="78">
        <f>IFERROR(__xludf.DUMMYFUNCTION("""COMPUTED_VALUE"""),8.0)</f>
        <v>8</v>
      </c>
      <c r="L4" s="78"/>
      <c r="M4" s="78"/>
      <c r="N4" s="78"/>
      <c r="O4" s="78"/>
      <c r="P4" s="78"/>
      <c r="Q4" s="78"/>
      <c r="R4" s="78">
        <f>IFERROR(__xludf.DUMMYFUNCTION("""COMPUTED_VALUE"""),8.0)</f>
        <v>8</v>
      </c>
      <c r="S4" s="78" t="str">
        <f>IFERROR(__xludf.DUMMYFUNCTION("""COMPUTED_VALUE"""),"")</f>
        <v/>
      </c>
      <c r="T4" s="78" t="str">
        <f>IFERROR(__xludf.DUMMYFUNCTION("""COMPUTED_VALUE"""),"")</f>
        <v/>
      </c>
      <c r="U4" s="78" t="str">
        <f>IFERROR(__xludf.DUMMYFUNCTION("""COMPUTED_VALUE"""),"")</f>
        <v/>
      </c>
      <c r="V4" s="78" t="str">
        <f>IFERROR(__xludf.DUMMYFUNCTION("""COMPUTED_VALUE"""),"")</f>
        <v/>
      </c>
      <c r="W4" s="78" t="str">
        <f>IFERROR(__xludf.DUMMYFUNCTION("""COMPUTED_VALUE"""),"")</f>
        <v/>
      </c>
      <c r="X4" s="78" t="str">
        <f>IFERROR(__xludf.DUMMYFUNCTION("""COMPUTED_VALUE"""),"")</f>
        <v/>
      </c>
      <c r="Y4" s="78" t="str">
        <f>IFERROR(__xludf.DUMMYFUNCTION("""COMPUTED_VALUE"""),"")</f>
        <v/>
      </c>
      <c r="Z4" s="78" t="str">
        <f>IFERROR(__xludf.DUMMYFUNCTION("""COMPUTED_VALUE"""),"")</f>
        <v/>
      </c>
      <c r="AA4" s="78" t="str">
        <f>IFERROR(__xludf.DUMMYFUNCTION("""COMPUTED_VALUE"""),"")</f>
        <v/>
      </c>
      <c r="AB4" s="78" t="str">
        <f>IFERROR(__xludf.DUMMYFUNCTION("""COMPUTED_VALUE"""),"")</f>
        <v/>
      </c>
      <c r="AC4" s="78" t="str">
        <f>IFERROR(__xludf.DUMMYFUNCTION("""COMPUTED_VALUE"""),"")</f>
        <v/>
      </c>
      <c r="AD4" s="78" t="str">
        <f>IFERROR(__xludf.DUMMYFUNCTION("""COMPUTED_VALUE"""),"")</f>
        <v/>
      </c>
      <c r="AE4" s="78" t="str">
        <f>IFERROR(__xludf.DUMMYFUNCTION("""COMPUTED_VALUE"""),"")</f>
        <v/>
      </c>
      <c r="AF4" s="78" t="str">
        <f>IFERROR(__xludf.DUMMYFUNCTION("""COMPUTED_VALUE"""),"")</f>
        <v/>
      </c>
      <c r="AG4" s="78" t="str">
        <f>IFERROR(__xludf.DUMMYFUNCTION("""COMPUTED_VALUE"""),"")</f>
        <v/>
      </c>
      <c r="AH4" s="78" t="str">
        <f>IFERROR(__xludf.DUMMYFUNCTION("""COMPUTED_VALUE"""),"")</f>
        <v/>
      </c>
      <c r="AI4" s="78" t="str">
        <f>IFERROR(__xludf.DUMMYFUNCTION("""COMPUTED_VALUE"""),"")</f>
        <v/>
      </c>
      <c r="AJ4" s="78" t="str">
        <f>IFERROR(__xludf.DUMMYFUNCTION("""COMPUTED_VALUE"""),"")</f>
        <v/>
      </c>
      <c r="AK4" s="78">
        <f>IFERROR(__xludf.DUMMYFUNCTION("""COMPUTED_VALUE"""),0.0)</f>
        <v>0</v>
      </c>
      <c r="AL4" s="78"/>
      <c r="AM4" s="78"/>
      <c r="AN4" s="78"/>
      <c r="AO4" s="78"/>
      <c r="AP4" s="78"/>
      <c r="AQ4" s="78"/>
      <c r="AR4" s="78"/>
      <c r="AS4" s="78"/>
    </row>
    <row r="5" ht="49.5" customHeight="1">
      <c r="A5" s="77" t="str">
        <f>IFERROR(__xludf.DUMMYFUNCTION("""COMPUTED_VALUE"""),"")</f>
        <v/>
      </c>
      <c r="B5" s="78" t="str">
        <f>IFERROR(__xludf.DUMMYFUNCTION("""COMPUTED_VALUE"""),"豆製火腿沙拉")</f>
        <v>豆製火腿沙拉</v>
      </c>
      <c r="C5" s="78" t="str">
        <f>IFERROR(__xludf.DUMMYFUNCTION("""COMPUTED_VALUE"""),"beanhamsalad")</f>
        <v>beanhamsalad</v>
      </c>
      <c r="D5" s="78">
        <f>IFERROR(__xludf.DUMMYFUNCTION("""COMPUTED_VALUE"""),8.0)</f>
        <v>8</v>
      </c>
      <c r="E5" s="78" t="str">
        <f>IFERROR(__xludf.DUMMYFUNCTION("""COMPUTED_VALUE"""),"沙拉")</f>
        <v>沙拉</v>
      </c>
      <c r="F5" s="82">
        <f>IFERROR(__xludf.DUMMYFUNCTION("""COMPUTED_VALUE"""),0.19)</f>
        <v>0.19</v>
      </c>
      <c r="G5" s="83">
        <f>IFERROR(__xludf.DUMMYFUNCTION("""COMPUTED_VALUE"""),824.0)</f>
        <v>824</v>
      </c>
      <c r="H5" s="83">
        <f>IFERROR(__xludf.DUMMYFUNCTION("""COMPUTED_VALUE"""),978.0)</f>
        <v>978</v>
      </c>
      <c r="I5" s="78" t="str">
        <f>IFERROR(__xludf.DUMMYFUNCTION("""COMPUTED_VALUE"""),"豆製肉,8")</f>
        <v>豆製肉,8</v>
      </c>
      <c r="J5" s="78" t="str">
        <f>IFERROR(__xludf.DUMMYFUNCTION("""COMPUTED_VALUE"""),"豆製肉")</f>
        <v>豆製肉</v>
      </c>
      <c r="K5" s="78">
        <f>IFERROR(__xludf.DUMMYFUNCTION("""COMPUTED_VALUE"""),8.0)</f>
        <v>8</v>
      </c>
      <c r="L5" s="78"/>
      <c r="M5" s="78"/>
      <c r="N5" s="78"/>
      <c r="O5" s="78"/>
      <c r="P5" s="78"/>
      <c r="Q5" s="78"/>
      <c r="R5" s="78" t="str">
        <f>IFERROR(__xludf.DUMMYFUNCTION("""COMPUTED_VALUE"""),"")</f>
        <v/>
      </c>
      <c r="S5" s="78" t="str">
        <f>IFERROR(__xludf.DUMMYFUNCTION("""COMPUTED_VALUE"""),"")</f>
        <v/>
      </c>
      <c r="T5" s="78" t="str">
        <f>IFERROR(__xludf.DUMMYFUNCTION("""COMPUTED_VALUE"""),"")</f>
        <v/>
      </c>
      <c r="U5" s="78" t="str">
        <f>IFERROR(__xludf.DUMMYFUNCTION("""COMPUTED_VALUE"""),"")</f>
        <v/>
      </c>
      <c r="V5" s="78">
        <f>IFERROR(__xludf.DUMMYFUNCTION("""COMPUTED_VALUE"""),8.0)</f>
        <v>8</v>
      </c>
      <c r="W5" s="78" t="str">
        <f>IFERROR(__xludf.DUMMYFUNCTION("""COMPUTED_VALUE"""),"")</f>
        <v/>
      </c>
      <c r="X5" s="78" t="str">
        <f>IFERROR(__xludf.DUMMYFUNCTION("""COMPUTED_VALUE"""),"")</f>
        <v/>
      </c>
      <c r="Y5" s="78" t="str">
        <f>IFERROR(__xludf.DUMMYFUNCTION("""COMPUTED_VALUE"""),"")</f>
        <v/>
      </c>
      <c r="Z5" s="78" t="str">
        <f>IFERROR(__xludf.DUMMYFUNCTION("""COMPUTED_VALUE"""),"")</f>
        <v/>
      </c>
      <c r="AA5" s="78" t="str">
        <f>IFERROR(__xludf.DUMMYFUNCTION("""COMPUTED_VALUE"""),"")</f>
        <v/>
      </c>
      <c r="AB5" s="78" t="str">
        <f>IFERROR(__xludf.DUMMYFUNCTION("""COMPUTED_VALUE"""),"")</f>
        <v/>
      </c>
      <c r="AC5" s="78" t="str">
        <f>IFERROR(__xludf.DUMMYFUNCTION("""COMPUTED_VALUE"""),"")</f>
        <v/>
      </c>
      <c r="AD5" s="78" t="str">
        <f>IFERROR(__xludf.DUMMYFUNCTION("""COMPUTED_VALUE"""),"")</f>
        <v/>
      </c>
      <c r="AE5" s="78" t="str">
        <f>IFERROR(__xludf.DUMMYFUNCTION("""COMPUTED_VALUE"""),"")</f>
        <v/>
      </c>
      <c r="AF5" s="78" t="str">
        <f>IFERROR(__xludf.DUMMYFUNCTION("""COMPUTED_VALUE"""),"")</f>
        <v/>
      </c>
      <c r="AG5" s="78" t="str">
        <f>IFERROR(__xludf.DUMMYFUNCTION("""COMPUTED_VALUE"""),"")</f>
        <v/>
      </c>
      <c r="AH5" s="78" t="str">
        <f>IFERROR(__xludf.DUMMYFUNCTION("""COMPUTED_VALUE"""),"")</f>
        <v/>
      </c>
      <c r="AI5" s="78" t="str">
        <f>IFERROR(__xludf.DUMMYFUNCTION("""COMPUTED_VALUE"""),"")</f>
        <v/>
      </c>
      <c r="AJ5" s="78" t="str">
        <f>IFERROR(__xludf.DUMMYFUNCTION("""COMPUTED_VALUE"""),"")</f>
        <v/>
      </c>
      <c r="AK5" s="78">
        <f>IFERROR(__xludf.DUMMYFUNCTION("""COMPUTED_VALUE"""),0.0)</f>
        <v>0</v>
      </c>
      <c r="AL5" s="78"/>
      <c r="AM5" s="78"/>
      <c r="AN5" s="78"/>
      <c r="AO5" s="78"/>
      <c r="AP5" s="78"/>
      <c r="AQ5" s="78"/>
      <c r="AR5" s="78"/>
      <c r="AS5" s="78"/>
    </row>
    <row r="6" ht="49.5" customHeight="1">
      <c r="A6" s="77" t="str">
        <f>IFERROR(__xludf.DUMMYFUNCTION("""COMPUTED_VALUE"""),"")</f>
        <v/>
      </c>
      <c r="B6" s="78" t="str">
        <f>IFERROR(__xludf.DUMMYFUNCTION("""COMPUTED_VALUE"""),"好眠番茄沙拉")</f>
        <v>好眠番茄沙拉</v>
      </c>
      <c r="C6" s="78" t="str">
        <f>IFERROR(__xludf.DUMMYFUNCTION("""COMPUTED_VALUE"""),"snoozytomatosalad")</f>
        <v>snoozytomatosalad</v>
      </c>
      <c r="D6" s="78">
        <f>IFERROR(__xludf.DUMMYFUNCTION("""COMPUTED_VALUE"""),8.0)</f>
        <v>8</v>
      </c>
      <c r="E6" s="78" t="str">
        <f>IFERROR(__xludf.DUMMYFUNCTION("""COMPUTED_VALUE"""),"沙拉")</f>
        <v>沙拉</v>
      </c>
      <c r="F6" s="82">
        <f>IFERROR(__xludf.DUMMYFUNCTION("""COMPUTED_VALUE"""),0.19)</f>
        <v>0.19</v>
      </c>
      <c r="G6" s="83">
        <f>IFERROR(__xludf.DUMMYFUNCTION("""COMPUTED_VALUE"""),880.0)</f>
        <v>880</v>
      </c>
      <c r="H6" s="83">
        <f>IFERROR(__xludf.DUMMYFUNCTION("""COMPUTED_VALUE"""),1045.0)</f>
        <v>1045</v>
      </c>
      <c r="I6" s="78" t="str">
        <f>IFERROR(__xludf.DUMMYFUNCTION("""COMPUTED_VALUE"""),"好眠番茄,8")</f>
        <v>好眠番茄,8</v>
      </c>
      <c r="J6" s="78" t="str">
        <f>IFERROR(__xludf.DUMMYFUNCTION("""COMPUTED_VALUE"""),"好眠番茄")</f>
        <v>好眠番茄</v>
      </c>
      <c r="K6" s="78">
        <f>IFERROR(__xludf.DUMMYFUNCTION("""COMPUTED_VALUE"""),8.0)</f>
        <v>8</v>
      </c>
      <c r="L6" s="78"/>
      <c r="M6" s="78"/>
      <c r="N6" s="78"/>
      <c r="O6" s="78"/>
      <c r="P6" s="78"/>
      <c r="Q6" s="78"/>
      <c r="R6" s="78" t="str">
        <f>IFERROR(__xludf.DUMMYFUNCTION("""COMPUTED_VALUE"""),"")</f>
        <v/>
      </c>
      <c r="S6" s="78" t="str">
        <f>IFERROR(__xludf.DUMMYFUNCTION("""COMPUTED_VALUE"""),"")</f>
        <v/>
      </c>
      <c r="T6" s="78" t="str">
        <f>IFERROR(__xludf.DUMMYFUNCTION("""COMPUTED_VALUE"""),"")</f>
        <v/>
      </c>
      <c r="U6" s="78" t="str">
        <f>IFERROR(__xludf.DUMMYFUNCTION("""COMPUTED_VALUE"""),"")</f>
        <v/>
      </c>
      <c r="V6" s="78" t="str">
        <f>IFERROR(__xludf.DUMMYFUNCTION("""COMPUTED_VALUE"""),"")</f>
        <v/>
      </c>
      <c r="W6" s="78" t="str">
        <f>IFERROR(__xludf.DUMMYFUNCTION("""COMPUTED_VALUE"""),"")</f>
        <v/>
      </c>
      <c r="X6" s="78">
        <f>IFERROR(__xludf.DUMMYFUNCTION("""COMPUTED_VALUE"""),8.0)</f>
        <v>8</v>
      </c>
      <c r="Y6" s="78" t="str">
        <f>IFERROR(__xludf.DUMMYFUNCTION("""COMPUTED_VALUE"""),"")</f>
        <v/>
      </c>
      <c r="Z6" s="78" t="str">
        <f>IFERROR(__xludf.DUMMYFUNCTION("""COMPUTED_VALUE"""),"")</f>
        <v/>
      </c>
      <c r="AA6" s="78" t="str">
        <f>IFERROR(__xludf.DUMMYFUNCTION("""COMPUTED_VALUE"""),"")</f>
        <v/>
      </c>
      <c r="AB6" s="78" t="str">
        <f>IFERROR(__xludf.DUMMYFUNCTION("""COMPUTED_VALUE"""),"")</f>
        <v/>
      </c>
      <c r="AC6" s="78" t="str">
        <f>IFERROR(__xludf.DUMMYFUNCTION("""COMPUTED_VALUE"""),"")</f>
        <v/>
      </c>
      <c r="AD6" s="78" t="str">
        <f>IFERROR(__xludf.DUMMYFUNCTION("""COMPUTED_VALUE"""),"")</f>
        <v/>
      </c>
      <c r="AE6" s="78" t="str">
        <f>IFERROR(__xludf.DUMMYFUNCTION("""COMPUTED_VALUE"""),"")</f>
        <v/>
      </c>
      <c r="AF6" s="78" t="str">
        <f>IFERROR(__xludf.DUMMYFUNCTION("""COMPUTED_VALUE"""),"")</f>
        <v/>
      </c>
      <c r="AG6" s="78" t="str">
        <f>IFERROR(__xludf.DUMMYFUNCTION("""COMPUTED_VALUE"""),"")</f>
        <v/>
      </c>
      <c r="AH6" s="78" t="str">
        <f>IFERROR(__xludf.DUMMYFUNCTION("""COMPUTED_VALUE"""),"")</f>
        <v/>
      </c>
      <c r="AI6" s="78" t="str">
        <f>IFERROR(__xludf.DUMMYFUNCTION("""COMPUTED_VALUE"""),"")</f>
        <v/>
      </c>
      <c r="AJ6" s="78" t="str">
        <f>IFERROR(__xludf.DUMMYFUNCTION("""COMPUTED_VALUE"""),"")</f>
        <v/>
      </c>
      <c r="AK6" s="78">
        <f>IFERROR(__xludf.DUMMYFUNCTION("""COMPUTED_VALUE"""),0.0)</f>
        <v>0</v>
      </c>
      <c r="AL6" s="78"/>
      <c r="AM6" s="78"/>
      <c r="AN6" s="78"/>
      <c r="AO6" s="78"/>
      <c r="AP6" s="78"/>
      <c r="AQ6" s="78"/>
      <c r="AR6" s="78"/>
      <c r="AS6" s="78"/>
    </row>
    <row r="7" ht="49.5" customHeight="1">
      <c r="A7" s="77" t="str">
        <f>IFERROR(__xludf.DUMMYFUNCTION("""COMPUTED_VALUE"""),"")</f>
        <v/>
      </c>
      <c r="B7" s="78" t="str">
        <f>IFERROR(__xludf.DUMMYFUNCTION("""COMPUTED_VALUE"""),"撥雪凱薩沙拉")</f>
        <v>撥雪凱薩沙拉</v>
      </c>
      <c r="C7" s="78" t="str">
        <f>IFERROR(__xludf.DUMMYFUNCTION("""COMPUTED_VALUE"""),"snowcloakcaesarsalad")</f>
        <v>snowcloakcaesarsalad</v>
      </c>
      <c r="D7" s="78">
        <f>IFERROR(__xludf.DUMMYFUNCTION("""COMPUTED_VALUE"""),16.0)</f>
        <v>16</v>
      </c>
      <c r="E7" s="78" t="str">
        <f>IFERROR(__xludf.DUMMYFUNCTION("""COMPUTED_VALUE"""),"沙拉")</f>
        <v>沙拉</v>
      </c>
      <c r="F7" s="82">
        <f>IFERROR(__xludf.DUMMYFUNCTION("""COMPUTED_VALUE"""),0.19)</f>
        <v>0.19</v>
      </c>
      <c r="G7" s="83">
        <f>IFERROR(__xludf.DUMMYFUNCTION("""COMPUTED_VALUE"""),1598.0)</f>
        <v>1598</v>
      </c>
      <c r="H7" s="83">
        <f>IFERROR(__xludf.DUMMYFUNCTION("""COMPUTED_VALUE"""),1898.0)</f>
        <v>1898</v>
      </c>
      <c r="I7" s="78" t="str">
        <f>IFERROR(__xludf.DUMMYFUNCTION("""COMPUTED_VALUE"""),"哞哞鮮奶,10,豆製肉,6")</f>
        <v>哞哞鮮奶,10,豆製肉,6</v>
      </c>
      <c r="J7" s="78" t="str">
        <f>IFERROR(__xludf.DUMMYFUNCTION("""COMPUTED_VALUE"""),"哞哞鮮奶")</f>
        <v>哞哞鮮奶</v>
      </c>
      <c r="K7" s="78">
        <f>IFERROR(__xludf.DUMMYFUNCTION("""COMPUTED_VALUE"""),10.0)</f>
        <v>10</v>
      </c>
      <c r="L7" s="78" t="str">
        <f>IFERROR(__xludf.DUMMYFUNCTION("""COMPUTED_VALUE"""),"豆製肉")</f>
        <v>豆製肉</v>
      </c>
      <c r="M7" s="78">
        <f>IFERROR(__xludf.DUMMYFUNCTION("""COMPUTED_VALUE"""),6.0)</f>
        <v>6</v>
      </c>
      <c r="N7" s="78"/>
      <c r="O7" s="78"/>
      <c r="P7" s="78"/>
      <c r="Q7" s="78"/>
      <c r="R7" s="78" t="str">
        <f>IFERROR(__xludf.DUMMYFUNCTION("""COMPUTED_VALUE"""),"")</f>
        <v/>
      </c>
      <c r="S7" s="78">
        <f>IFERROR(__xludf.DUMMYFUNCTION("""COMPUTED_VALUE"""),10.0)</f>
        <v>10</v>
      </c>
      <c r="T7" s="78" t="str">
        <f>IFERROR(__xludf.DUMMYFUNCTION("""COMPUTED_VALUE"""),"")</f>
        <v/>
      </c>
      <c r="U7" s="78" t="str">
        <f>IFERROR(__xludf.DUMMYFUNCTION("""COMPUTED_VALUE"""),"")</f>
        <v/>
      </c>
      <c r="V7" s="78">
        <f>IFERROR(__xludf.DUMMYFUNCTION("""COMPUTED_VALUE"""),6.0)</f>
        <v>6</v>
      </c>
      <c r="W7" s="78" t="str">
        <f>IFERROR(__xludf.DUMMYFUNCTION("""COMPUTED_VALUE"""),"")</f>
        <v/>
      </c>
      <c r="X7" s="78" t="str">
        <f>IFERROR(__xludf.DUMMYFUNCTION("""COMPUTED_VALUE"""),"")</f>
        <v/>
      </c>
      <c r="Y7" s="78" t="str">
        <f>IFERROR(__xludf.DUMMYFUNCTION("""COMPUTED_VALUE"""),"")</f>
        <v/>
      </c>
      <c r="Z7" s="78" t="str">
        <f>IFERROR(__xludf.DUMMYFUNCTION("""COMPUTED_VALUE"""),"")</f>
        <v/>
      </c>
      <c r="AA7" s="78" t="str">
        <f>IFERROR(__xludf.DUMMYFUNCTION("""COMPUTED_VALUE"""),"")</f>
        <v/>
      </c>
      <c r="AB7" s="78" t="str">
        <f>IFERROR(__xludf.DUMMYFUNCTION("""COMPUTED_VALUE"""),"")</f>
        <v/>
      </c>
      <c r="AC7" s="78" t="str">
        <f>IFERROR(__xludf.DUMMYFUNCTION("""COMPUTED_VALUE"""),"")</f>
        <v/>
      </c>
      <c r="AD7" s="78" t="str">
        <f>IFERROR(__xludf.DUMMYFUNCTION("""COMPUTED_VALUE"""),"")</f>
        <v/>
      </c>
      <c r="AE7" s="78" t="str">
        <f>IFERROR(__xludf.DUMMYFUNCTION("""COMPUTED_VALUE"""),"")</f>
        <v/>
      </c>
      <c r="AF7" s="78" t="str">
        <f>IFERROR(__xludf.DUMMYFUNCTION("""COMPUTED_VALUE"""),"")</f>
        <v/>
      </c>
      <c r="AG7" s="78" t="str">
        <f>IFERROR(__xludf.DUMMYFUNCTION("""COMPUTED_VALUE"""),"")</f>
        <v/>
      </c>
      <c r="AH7" s="78" t="str">
        <f>IFERROR(__xludf.DUMMYFUNCTION("""COMPUTED_VALUE"""),"")</f>
        <v/>
      </c>
      <c r="AI7" s="78" t="str">
        <f>IFERROR(__xludf.DUMMYFUNCTION("""COMPUTED_VALUE"""),"")</f>
        <v/>
      </c>
      <c r="AJ7" s="78" t="str">
        <f>IFERROR(__xludf.DUMMYFUNCTION("""COMPUTED_VALUE"""),"")</f>
        <v/>
      </c>
      <c r="AK7" s="78">
        <f>IFERROR(__xludf.DUMMYFUNCTION("""COMPUTED_VALUE"""),0.0)</f>
        <v>0</v>
      </c>
      <c r="AL7" s="78"/>
      <c r="AM7" s="78"/>
      <c r="AN7" s="78"/>
      <c r="AO7" s="78"/>
      <c r="AP7" s="78"/>
      <c r="AQ7" s="78"/>
      <c r="AR7" s="78"/>
      <c r="AS7" s="78"/>
    </row>
    <row r="8" ht="49.5" customHeight="1">
      <c r="A8" s="77" t="str">
        <f>IFERROR(__xludf.DUMMYFUNCTION("""COMPUTED_VALUE"""),"")</f>
        <v/>
      </c>
      <c r="B8" s="78" t="str">
        <f>IFERROR(__xludf.DUMMYFUNCTION("""COMPUTED_VALUE"""),"熱風豆腐沙拉")</f>
        <v>熱風豆腐沙拉</v>
      </c>
      <c r="C8" s="78" t="str">
        <f>IFERROR(__xludf.DUMMYFUNCTION("""COMPUTED_VALUE"""),"heatwavetofusalad")</f>
        <v>heatwavetofusalad</v>
      </c>
      <c r="D8" s="78">
        <f>IFERROR(__xludf.DUMMYFUNCTION("""COMPUTED_VALUE"""),16.0)</f>
        <v>16</v>
      </c>
      <c r="E8" s="78" t="str">
        <f>IFERROR(__xludf.DUMMYFUNCTION("""COMPUTED_VALUE"""),"沙拉")</f>
        <v>沙拉</v>
      </c>
      <c r="F8" s="82">
        <f>IFERROR(__xludf.DUMMYFUNCTION("""COMPUTED_VALUE"""),0.19)</f>
        <v>0.19</v>
      </c>
      <c r="G8" s="83">
        <f>IFERROR(__xludf.DUMMYFUNCTION("""COMPUTED_VALUE"""),1780.0)</f>
        <v>1780</v>
      </c>
      <c r="H8" s="83">
        <f>IFERROR(__xludf.DUMMYFUNCTION("""COMPUTED_VALUE"""),2114.0)</f>
        <v>2114</v>
      </c>
      <c r="I8" s="78" t="str">
        <f>IFERROR(__xludf.DUMMYFUNCTION("""COMPUTED_VALUE"""),"萌綠大豆,10,火辣香草,6")</f>
        <v>萌綠大豆,10,火辣香草,6</v>
      </c>
      <c r="J8" s="78" t="str">
        <f>IFERROR(__xludf.DUMMYFUNCTION("""COMPUTED_VALUE"""),"萌綠大豆")</f>
        <v>萌綠大豆</v>
      </c>
      <c r="K8" s="78">
        <f>IFERROR(__xludf.DUMMYFUNCTION("""COMPUTED_VALUE"""),10.0)</f>
        <v>10</v>
      </c>
      <c r="L8" s="78" t="str">
        <f>IFERROR(__xludf.DUMMYFUNCTION("""COMPUTED_VALUE"""),"火辣香草")</f>
        <v>火辣香草</v>
      </c>
      <c r="M8" s="78">
        <f>IFERROR(__xludf.DUMMYFUNCTION("""COMPUTED_VALUE"""),6.0)</f>
        <v>6</v>
      </c>
      <c r="N8" s="78"/>
      <c r="O8" s="78"/>
      <c r="P8" s="78"/>
      <c r="Q8" s="78"/>
      <c r="R8" s="78" t="str">
        <f>IFERROR(__xludf.DUMMYFUNCTION("""COMPUTED_VALUE"""),"")</f>
        <v/>
      </c>
      <c r="S8" s="78" t="str">
        <f>IFERROR(__xludf.DUMMYFUNCTION("""COMPUTED_VALUE"""),"")</f>
        <v/>
      </c>
      <c r="T8" s="78">
        <f>IFERROR(__xludf.DUMMYFUNCTION("""COMPUTED_VALUE"""),10.0)</f>
        <v>10</v>
      </c>
      <c r="U8" s="78" t="str">
        <f>IFERROR(__xludf.DUMMYFUNCTION("""COMPUTED_VALUE"""),"")</f>
        <v/>
      </c>
      <c r="V8" s="78" t="str">
        <f>IFERROR(__xludf.DUMMYFUNCTION("""COMPUTED_VALUE"""),"")</f>
        <v/>
      </c>
      <c r="W8" s="78" t="str">
        <f>IFERROR(__xludf.DUMMYFUNCTION("""COMPUTED_VALUE"""),"")</f>
        <v/>
      </c>
      <c r="X8" s="78" t="str">
        <f>IFERROR(__xludf.DUMMYFUNCTION("""COMPUTED_VALUE"""),"")</f>
        <v/>
      </c>
      <c r="Y8" s="78" t="str">
        <f>IFERROR(__xludf.DUMMYFUNCTION("""COMPUTED_VALUE"""),"")</f>
        <v/>
      </c>
      <c r="Z8" s="78" t="str">
        <f>IFERROR(__xludf.DUMMYFUNCTION("""COMPUTED_VALUE"""),"")</f>
        <v/>
      </c>
      <c r="AA8" s="78" t="str">
        <f>IFERROR(__xludf.DUMMYFUNCTION("""COMPUTED_VALUE"""),"")</f>
        <v/>
      </c>
      <c r="AB8" s="78">
        <f>IFERROR(__xludf.DUMMYFUNCTION("""COMPUTED_VALUE"""),6.0)</f>
        <v>6</v>
      </c>
      <c r="AC8" s="78" t="str">
        <f>IFERROR(__xludf.DUMMYFUNCTION("""COMPUTED_VALUE"""),"")</f>
        <v/>
      </c>
      <c r="AD8" s="78" t="str">
        <f>IFERROR(__xludf.DUMMYFUNCTION("""COMPUTED_VALUE"""),"")</f>
        <v/>
      </c>
      <c r="AE8" s="78" t="str">
        <f>IFERROR(__xludf.DUMMYFUNCTION("""COMPUTED_VALUE"""),"")</f>
        <v/>
      </c>
      <c r="AF8" s="78" t="str">
        <f>IFERROR(__xludf.DUMMYFUNCTION("""COMPUTED_VALUE"""),"")</f>
        <v/>
      </c>
      <c r="AG8" s="78" t="str">
        <f>IFERROR(__xludf.DUMMYFUNCTION("""COMPUTED_VALUE"""),"")</f>
        <v/>
      </c>
      <c r="AH8" s="78" t="str">
        <f>IFERROR(__xludf.DUMMYFUNCTION("""COMPUTED_VALUE"""),"")</f>
        <v/>
      </c>
      <c r="AI8" s="78" t="str">
        <f>IFERROR(__xludf.DUMMYFUNCTION("""COMPUTED_VALUE"""),"")</f>
        <v/>
      </c>
      <c r="AJ8" s="78" t="str">
        <f>IFERROR(__xludf.DUMMYFUNCTION("""COMPUTED_VALUE"""),"")</f>
        <v/>
      </c>
      <c r="AK8" s="78">
        <f>IFERROR(__xludf.DUMMYFUNCTION("""COMPUTED_VALUE"""),0.0)</f>
        <v>0</v>
      </c>
      <c r="AL8" s="78"/>
      <c r="AM8" s="78"/>
      <c r="AN8" s="78"/>
      <c r="AO8" s="78"/>
      <c r="AP8" s="78"/>
      <c r="AQ8" s="78"/>
      <c r="AR8" s="78"/>
      <c r="AS8" s="78"/>
    </row>
    <row r="9" ht="49.5" customHeight="1">
      <c r="A9" s="77" t="str">
        <f>IFERROR(__xludf.DUMMYFUNCTION("""COMPUTED_VALUE"""),"")</f>
        <v/>
      </c>
      <c r="B9" s="78" t="str">
        <f>IFERROR(__xludf.DUMMYFUNCTION("""COMPUTED_VALUE"""),"迷人蘋果起司沙拉")</f>
        <v>迷人蘋果起司沙拉</v>
      </c>
      <c r="C9" s="78" t="str">
        <f>IFERROR(__xludf.DUMMYFUNCTION("""COMPUTED_VALUE"""),"dazzlingapplecheesesalad")</f>
        <v>dazzlingapplecheesesalad</v>
      </c>
      <c r="D9" s="78">
        <f>IFERROR(__xludf.DUMMYFUNCTION("""COMPUTED_VALUE"""),23.0)</f>
        <v>23</v>
      </c>
      <c r="E9" s="78" t="str">
        <f>IFERROR(__xludf.DUMMYFUNCTION("""COMPUTED_VALUE"""),"沙拉")</f>
        <v>沙拉</v>
      </c>
      <c r="F9" s="82">
        <f>IFERROR(__xludf.DUMMYFUNCTION("""COMPUTED_VALUE"""),0.21)</f>
        <v>0.21</v>
      </c>
      <c r="G9" s="83">
        <f>IFERROR(__xludf.DUMMYFUNCTION("""COMPUTED_VALUE"""),2203.0)</f>
        <v>2203</v>
      </c>
      <c r="H9" s="83">
        <f>IFERROR(__xludf.DUMMYFUNCTION("""COMPUTED_VALUE"""),2655.0)</f>
        <v>2655</v>
      </c>
      <c r="I9" s="78" t="str">
        <f>IFERROR(__xludf.DUMMYFUNCTION("""COMPUTED_VALUE"""),"特選蘋果,15,哞哞鮮奶,5,純粹油,3")</f>
        <v>特選蘋果,15,哞哞鮮奶,5,純粹油,3</v>
      </c>
      <c r="J9" s="78" t="str">
        <f>IFERROR(__xludf.DUMMYFUNCTION("""COMPUTED_VALUE"""),"特選蘋果")</f>
        <v>特選蘋果</v>
      </c>
      <c r="K9" s="78">
        <f>IFERROR(__xludf.DUMMYFUNCTION("""COMPUTED_VALUE"""),15.0)</f>
        <v>15</v>
      </c>
      <c r="L9" s="78" t="str">
        <f>IFERROR(__xludf.DUMMYFUNCTION("""COMPUTED_VALUE"""),"哞哞鮮奶")</f>
        <v>哞哞鮮奶</v>
      </c>
      <c r="M9" s="78">
        <f>IFERROR(__xludf.DUMMYFUNCTION("""COMPUTED_VALUE"""),5.0)</f>
        <v>5</v>
      </c>
      <c r="N9" s="78" t="str">
        <f>IFERROR(__xludf.DUMMYFUNCTION("""COMPUTED_VALUE"""),"純粹油")</f>
        <v>純粹油</v>
      </c>
      <c r="O9" s="78">
        <f>IFERROR(__xludf.DUMMYFUNCTION("""COMPUTED_VALUE"""),3.0)</f>
        <v>3</v>
      </c>
      <c r="P9" s="78"/>
      <c r="Q9" s="78"/>
      <c r="R9" s="78">
        <f>IFERROR(__xludf.DUMMYFUNCTION("""COMPUTED_VALUE"""),15.0)</f>
        <v>15</v>
      </c>
      <c r="S9" s="78">
        <f>IFERROR(__xludf.DUMMYFUNCTION("""COMPUTED_VALUE"""),5.0)</f>
        <v>5</v>
      </c>
      <c r="T9" s="78" t="str">
        <f>IFERROR(__xludf.DUMMYFUNCTION("""COMPUTED_VALUE"""),"")</f>
        <v/>
      </c>
      <c r="U9" s="78" t="str">
        <f>IFERROR(__xludf.DUMMYFUNCTION("""COMPUTED_VALUE"""),"")</f>
        <v/>
      </c>
      <c r="V9" s="78" t="str">
        <f>IFERROR(__xludf.DUMMYFUNCTION("""COMPUTED_VALUE"""),"")</f>
        <v/>
      </c>
      <c r="W9" s="78" t="str">
        <f>IFERROR(__xludf.DUMMYFUNCTION("""COMPUTED_VALUE"""),"")</f>
        <v/>
      </c>
      <c r="X9" s="78" t="str">
        <f>IFERROR(__xludf.DUMMYFUNCTION("""COMPUTED_VALUE"""),"")</f>
        <v/>
      </c>
      <c r="Y9" s="78" t="str">
        <f>IFERROR(__xludf.DUMMYFUNCTION("""COMPUTED_VALUE"""),"")</f>
        <v/>
      </c>
      <c r="Z9" s="78">
        <f>IFERROR(__xludf.DUMMYFUNCTION("""COMPUTED_VALUE"""),3.0)</f>
        <v>3</v>
      </c>
      <c r="AA9" s="78" t="str">
        <f>IFERROR(__xludf.DUMMYFUNCTION("""COMPUTED_VALUE"""),"")</f>
        <v/>
      </c>
      <c r="AB9" s="78" t="str">
        <f>IFERROR(__xludf.DUMMYFUNCTION("""COMPUTED_VALUE"""),"")</f>
        <v/>
      </c>
      <c r="AC9" s="78" t="str">
        <f>IFERROR(__xludf.DUMMYFUNCTION("""COMPUTED_VALUE"""),"")</f>
        <v/>
      </c>
      <c r="AD9" s="78" t="str">
        <f>IFERROR(__xludf.DUMMYFUNCTION("""COMPUTED_VALUE"""),"")</f>
        <v/>
      </c>
      <c r="AE9" s="78" t="str">
        <f>IFERROR(__xludf.DUMMYFUNCTION("""COMPUTED_VALUE"""),"")</f>
        <v/>
      </c>
      <c r="AF9" s="78" t="str">
        <f>IFERROR(__xludf.DUMMYFUNCTION("""COMPUTED_VALUE"""),"")</f>
        <v/>
      </c>
      <c r="AG9" s="78" t="str">
        <f>IFERROR(__xludf.DUMMYFUNCTION("""COMPUTED_VALUE"""),"")</f>
        <v/>
      </c>
      <c r="AH9" s="78" t="str">
        <f>IFERROR(__xludf.DUMMYFUNCTION("""COMPUTED_VALUE"""),"")</f>
        <v/>
      </c>
      <c r="AI9" s="78" t="str">
        <f>IFERROR(__xludf.DUMMYFUNCTION("""COMPUTED_VALUE"""),"")</f>
        <v/>
      </c>
      <c r="AJ9" s="78" t="str">
        <f>IFERROR(__xludf.DUMMYFUNCTION("""COMPUTED_VALUE"""),"")</f>
        <v/>
      </c>
      <c r="AK9" s="78">
        <f>IFERROR(__xludf.DUMMYFUNCTION("""COMPUTED_VALUE"""),0.0)</f>
        <v>0</v>
      </c>
      <c r="AL9" s="78"/>
      <c r="AM9" s="78"/>
      <c r="AN9" s="78"/>
      <c r="AO9" s="78"/>
      <c r="AP9" s="78"/>
      <c r="AQ9" s="78"/>
      <c r="AR9" s="78"/>
      <c r="AS9" s="78"/>
    </row>
    <row r="10" ht="49.5" customHeight="1">
      <c r="A10" s="77" t="str">
        <f>IFERROR(__xludf.DUMMYFUNCTION("""COMPUTED_VALUE"""),"")</f>
        <v/>
      </c>
      <c r="B10" s="78" t="str">
        <f>IFERROR(__xludf.DUMMYFUNCTION("""COMPUTED_VALUE"""),"亂擊玉米沙拉")</f>
        <v>亂擊玉米沙拉</v>
      </c>
      <c r="C10" s="78" t="str">
        <f>IFERROR(__xludf.DUMMYFUNCTION("""COMPUTED_VALUE"""),"furyattackcornsalad")</f>
        <v>furyattackcornsalad</v>
      </c>
      <c r="D10" s="78">
        <f>IFERROR(__xludf.DUMMYFUNCTION("""COMPUTED_VALUE"""),17.0)</f>
        <v>17</v>
      </c>
      <c r="E10" s="78" t="str">
        <f>IFERROR(__xludf.DUMMYFUNCTION("""COMPUTED_VALUE"""),"沙拉")</f>
        <v>沙拉</v>
      </c>
      <c r="F10" s="82">
        <f>IFERROR(__xludf.DUMMYFUNCTION("""COMPUTED_VALUE"""),0.25)</f>
        <v>0.25</v>
      </c>
      <c r="G10" s="83">
        <f>IFERROR(__xludf.DUMMYFUNCTION("""COMPUTED_VALUE"""),2228.0)</f>
        <v>2228</v>
      </c>
      <c r="H10" s="83">
        <f>IFERROR(__xludf.DUMMYFUNCTION("""COMPUTED_VALUE"""),2785.0)</f>
        <v>2785</v>
      </c>
      <c r="I10" s="78" t="str">
        <f>IFERROR(__xludf.DUMMYFUNCTION("""COMPUTED_VALUE"""),"萌綠玉米,9,純粹油,8")</f>
        <v>萌綠玉米,9,純粹油,8</v>
      </c>
      <c r="J10" s="78" t="str">
        <f>IFERROR(__xludf.DUMMYFUNCTION("""COMPUTED_VALUE"""),"萌綠玉米")</f>
        <v>萌綠玉米</v>
      </c>
      <c r="K10" s="78">
        <f>IFERROR(__xludf.DUMMYFUNCTION("""COMPUTED_VALUE"""),9.0)</f>
        <v>9</v>
      </c>
      <c r="L10" s="78" t="str">
        <f>IFERROR(__xludf.DUMMYFUNCTION("""COMPUTED_VALUE"""),"純粹油")</f>
        <v>純粹油</v>
      </c>
      <c r="M10" s="78">
        <f>IFERROR(__xludf.DUMMYFUNCTION("""COMPUTED_VALUE"""),8.0)</f>
        <v>8</v>
      </c>
      <c r="N10" s="78"/>
      <c r="O10" s="78"/>
      <c r="P10" s="78"/>
      <c r="Q10" s="78"/>
      <c r="R10" s="78" t="str">
        <f>IFERROR(__xludf.DUMMYFUNCTION("""COMPUTED_VALUE"""),"")</f>
        <v/>
      </c>
      <c r="S10" s="78" t="str">
        <f>IFERROR(__xludf.DUMMYFUNCTION("""COMPUTED_VALUE"""),"")</f>
        <v/>
      </c>
      <c r="T10" s="78" t="str">
        <f>IFERROR(__xludf.DUMMYFUNCTION("""COMPUTED_VALUE"""),"")</f>
        <v/>
      </c>
      <c r="U10" s="78" t="str">
        <f>IFERROR(__xludf.DUMMYFUNCTION("""COMPUTED_VALUE"""),"")</f>
        <v/>
      </c>
      <c r="V10" s="78" t="str">
        <f>IFERROR(__xludf.DUMMYFUNCTION("""COMPUTED_VALUE"""),"")</f>
        <v/>
      </c>
      <c r="W10" s="78" t="str">
        <f>IFERROR(__xludf.DUMMYFUNCTION("""COMPUTED_VALUE"""),"")</f>
        <v/>
      </c>
      <c r="X10" s="78" t="str">
        <f>IFERROR(__xludf.DUMMYFUNCTION("""COMPUTED_VALUE"""),"")</f>
        <v/>
      </c>
      <c r="Y10" s="78" t="str">
        <f>IFERROR(__xludf.DUMMYFUNCTION("""COMPUTED_VALUE"""),"")</f>
        <v/>
      </c>
      <c r="Z10" s="78">
        <f>IFERROR(__xludf.DUMMYFUNCTION("""COMPUTED_VALUE"""),8.0)</f>
        <v>8</v>
      </c>
      <c r="AA10" s="78" t="str">
        <f>IFERROR(__xludf.DUMMYFUNCTION("""COMPUTED_VALUE"""),"")</f>
        <v/>
      </c>
      <c r="AB10" s="78" t="str">
        <f>IFERROR(__xludf.DUMMYFUNCTION("""COMPUTED_VALUE"""),"")</f>
        <v/>
      </c>
      <c r="AC10" s="78">
        <f>IFERROR(__xludf.DUMMYFUNCTION("""COMPUTED_VALUE"""),9.0)</f>
        <v>9</v>
      </c>
      <c r="AD10" s="78" t="str">
        <f>IFERROR(__xludf.DUMMYFUNCTION("""COMPUTED_VALUE"""),"")</f>
        <v/>
      </c>
      <c r="AE10" s="78" t="str">
        <f>IFERROR(__xludf.DUMMYFUNCTION("""COMPUTED_VALUE"""),"")</f>
        <v/>
      </c>
      <c r="AF10" s="78" t="str">
        <f>IFERROR(__xludf.DUMMYFUNCTION("""COMPUTED_VALUE"""),"")</f>
        <v/>
      </c>
      <c r="AG10" s="78" t="str">
        <f>IFERROR(__xludf.DUMMYFUNCTION("""COMPUTED_VALUE"""),"")</f>
        <v/>
      </c>
      <c r="AH10" s="78" t="str">
        <f>IFERROR(__xludf.DUMMYFUNCTION("""COMPUTED_VALUE"""),"")</f>
        <v/>
      </c>
      <c r="AI10" s="78" t="str">
        <f>IFERROR(__xludf.DUMMYFUNCTION("""COMPUTED_VALUE"""),"")</f>
        <v/>
      </c>
      <c r="AJ10" s="78" t="str">
        <f>IFERROR(__xludf.DUMMYFUNCTION("""COMPUTED_VALUE"""),"")</f>
        <v/>
      </c>
      <c r="AK10" s="78">
        <f>IFERROR(__xludf.DUMMYFUNCTION("""COMPUTED_VALUE"""),0.0)</f>
        <v>0</v>
      </c>
      <c r="AL10" s="78"/>
      <c r="AM10" s="78"/>
      <c r="AN10" s="78"/>
      <c r="AO10" s="78"/>
      <c r="AP10" s="78"/>
      <c r="AQ10" s="78"/>
      <c r="AR10" s="78"/>
      <c r="AS10" s="78"/>
    </row>
    <row r="11" ht="49.5" customHeight="1">
      <c r="A11" s="77" t="str">
        <f>IFERROR(__xludf.DUMMYFUNCTION("""COMPUTED_VALUE"""),"")</f>
        <v/>
      </c>
      <c r="B11" s="78" t="str">
        <f>IFERROR(__xludf.DUMMYFUNCTION("""COMPUTED_VALUE"""),"免疫蔥花沙拉")</f>
        <v>免疫蔥花沙拉</v>
      </c>
      <c r="C11" s="78" t="str">
        <f>IFERROR(__xludf.DUMMYFUNCTION("""COMPUTED_VALUE"""),"immunityleeksalad")</f>
        <v>immunityleeksalad</v>
      </c>
      <c r="D11" s="78">
        <f>IFERROR(__xludf.DUMMYFUNCTION("""COMPUTED_VALUE"""),15.0)</f>
        <v>15</v>
      </c>
      <c r="E11" s="78" t="str">
        <f>IFERROR(__xludf.DUMMYFUNCTION("""COMPUTED_VALUE"""),"沙拉")</f>
        <v>沙拉</v>
      </c>
      <c r="F11" s="82">
        <f>IFERROR(__xludf.DUMMYFUNCTION("""COMPUTED_VALUE"""),0.19)</f>
        <v>0.19</v>
      </c>
      <c r="G11" s="83">
        <f>IFERROR(__xludf.DUMMYFUNCTION("""COMPUTED_VALUE"""),2395.0)</f>
        <v>2395</v>
      </c>
      <c r="H11" s="83">
        <f>IFERROR(__xludf.DUMMYFUNCTION("""COMPUTED_VALUE"""),2845.0)</f>
        <v>2845</v>
      </c>
      <c r="I11" s="78" t="str">
        <f>IFERROR(__xludf.DUMMYFUNCTION("""COMPUTED_VALUE"""),"粗枝大蔥,10,暖暖薑,5")</f>
        <v>粗枝大蔥,10,暖暖薑,5</v>
      </c>
      <c r="J11" s="78" t="str">
        <f>IFERROR(__xludf.DUMMYFUNCTION("""COMPUTED_VALUE"""),"粗枝大蔥")</f>
        <v>粗枝大蔥</v>
      </c>
      <c r="K11" s="78">
        <f>IFERROR(__xludf.DUMMYFUNCTION("""COMPUTED_VALUE"""),10.0)</f>
        <v>10</v>
      </c>
      <c r="L11" s="78" t="str">
        <f>IFERROR(__xludf.DUMMYFUNCTION("""COMPUTED_VALUE"""),"暖暖薑")</f>
        <v>暖暖薑</v>
      </c>
      <c r="M11" s="78">
        <f>IFERROR(__xludf.DUMMYFUNCTION("""COMPUTED_VALUE"""),5.0)</f>
        <v>5</v>
      </c>
      <c r="N11" s="78"/>
      <c r="O11" s="78"/>
      <c r="P11" s="78"/>
      <c r="Q11" s="78"/>
      <c r="R11" s="78" t="str">
        <f>IFERROR(__xludf.DUMMYFUNCTION("""COMPUTED_VALUE"""),"")</f>
        <v/>
      </c>
      <c r="S11" s="78" t="str">
        <f>IFERROR(__xludf.DUMMYFUNCTION("""COMPUTED_VALUE"""),"")</f>
        <v/>
      </c>
      <c r="T11" s="78" t="str">
        <f>IFERROR(__xludf.DUMMYFUNCTION("""COMPUTED_VALUE"""),"")</f>
        <v/>
      </c>
      <c r="U11" s="78" t="str">
        <f>IFERROR(__xludf.DUMMYFUNCTION("""COMPUTED_VALUE"""),"")</f>
        <v/>
      </c>
      <c r="V11" s="78" t="str">
        <f>IFERROR(__xludf.DUMMYFUNCTION("""COMPUTED_VALUE"""),"")</f>
        <v/>
      </c>
      <c r="W11" s="78">
        <f>IFERROR(__xludf.DUMMYFUNCTION("""COMPUTED_VALUE"""),5.0)</f>
        <v>5</v>
      </c>
      <c r="X11" s="78" t="str">
        <f>IFERROR(__xludf.DUMMYFUNCTION("""COMPUTED_VALUE"""),"")</f>
        <v/>
      </c>
      <c r="Y11" s="78" t="str">
        <f>IFERROR(__xludf.DUMMYFUNCTION("""COMPUTED_VALUE"""),"")</f>
        <v/>
      </c>
      <c r="Z11" s="78" t="str">
        <f>IFERROR(__xludf.DUMMYFUNCTION("""COMPUTED_VALUE"""),"")</f>
        <v/>
      </c>
      <c r="AA11" s="78" t="str">
        <f>IFERROR(__xludf.DUMMYFUNCTION("""COMPUTED_VALUE"""),"")</f>
        <v/>
      </c>
      <c r="AB11" s="78" t="str">
        <f>IFERROR(__xludf.DUMMYFUNCTION("""COMPUTED_VALUE"""),"")</f>
        <v/>
      </c>
      <c r="AC11" s="78" t="str">
        <f>IFERROR(__xludf.DUMMYFUNCTION("""COMPUTED_VALUE"""),"")</f>
        <v/>
      </c>
      <c r="AD11" s="78" t="str">
        <f>IFERROR(__xludf.DUMMYFUNCTION("""COMPUTED_VALUE"""),"")</f>
        <v/>
      </c>
      <c r="AE11" s="78" t="str">
        <f>IFERROR(__xludf.DUMMYFUNCTION("""COMPUTED_VALUE"""),"")</f>
        <v/>
      </c>
      <c r="AF11" s="78" t="str">
        <f>IFERROR(__xludf.DUMMYFUNCTION("""COMPUTED_VALUE"""),"")</f>
        <v/>
      </c>
      <c r="AG11" s="78" t="str">
        <f>IFERROR(__xludf.DUMMYFUNCTION("""COMPUTED_VALUE"""),"")</f>
        <v/>
      </c>
      <c r="AH11" s="78">
        <f>IFERROR(__xludf.DUMMYFUNCTION("""COMPUTED_VALUE"""),10.0)</f>
        <v>10</v>
      </c>
      <c r="AI11" s="78" t="str">
        <f>IFERROR(__xludf.DUMMYFUNCTION("""COMPUTED_VALUE"""),"")</f>
        <v/>
      </c>
      <c r="AJ11" s="78" t="str">
        <f>IFERROR(__xludf.DUMMYFUNCTION("""COMPUTED_VALUE"""),"")</f>
        <v/>
      </c>
      <c r="AK11" s="78">
        <f>IFERROR(__xludf.DUMMYFUNCTION("""COMPUTED_VALUE"""),0.0)</f>
        <v>0</v>
      </c>
      <c r="AL11" s="78"/>
      <c r="AM11" s="78"/>
      <c r="AN11" s="78"/>
      <c r="AO11" s="78"/>
      <c r="AP11" s="78"/>
      <c r="AQ11" s="78"/>
      <c r="AR11" s="78"/>
      <c r="AS11" s="78"/>
    </row>
    <row r="12" ht="49.5" customHeight="1">
      <c r="A12" s="77" t="str">
        <f>IFERROR(__xludf.DUMMYFUNCTION("""COMPUTED_VALUE"""),"")</f>
        <v/>
      </c>
      <c r="B12" s="78" t="str">
        <f>IFERROR(__xludf.DUMMYFUNCTION("""COMPUTED_VALUE"""),"哞哞起司番茄沙拉")</f>
        <v>哞哞起司番茄沙拉</v>
      </c>
      <c r="C12" s="78" t="str">
        <f>IFERROR(__xludf.DUMMYFUNCTION("""COMPUTED_VALUE"""),"moomoocapresesalad")</f>
        <v>moomoocapresesalad</v>
      </c>
      <c r="D12" s="78">
        <f>IFERROR(__xludf.DUMMYFUNCTION("""COMPUTED_VALUE"""),23.0)</f>
        <v>23</v>
      </c>
      <c r="E12" s="78" t="str">
        <f>IFERROR(__xludf.DUMMYFUNCTION("""COMPUTED_VALUE"""),"沙拉")</f>
        <v>沙拉</v>
      </c>
      <c r="F12" s="82">
        <f>IFERROR(__xludf.DUMMYFUNCTION("""COMPUTED_VALUE"""),0.21)</f>
        <v>0.21</v>
      </c>
      <c r="G12" s="83">
        <f>IFERROR(__xludf.DUMMYFUNCTION("""COMPUTED_VALUE"""),2441.0)</f>
        <v>2441</v>
      </c>
      <c r="H12" s="83">
        <f>IFERROR(__xludf.DUMMYFUNCTION("""COMPUTED_VALUE"""),2942.0)</f>
        <v>2942</v>
      </c>
      <c r="I12" s="78" t="str">
        <f>IFERROR(__xludf.DUMMYFUNCTION("""COMPUTED_VALUE"""),"哞哞鮮奶,12,好眠番茄,6,純粹油,5")</f>
        <v>哞哞鮮奶,12,好眠番茄,6,純粹油,5</v>
      </c>
      <c r="J12" s="78" t="str">
        <f>IFERROR(__xludf.DUMMYFUNCTION("""COMPUTED_VALUE"""),"哞哞鮮奶")</f>
        <v>哞哞鮮奶</v>
      </c>
      <c r="K12" s="78">
        <f>IFERROR(__xludf.DUMMYFUNCTION("""COMPUTED_VALUE"""),12.0)</f>
        <v>12</v>
      </c>
      <c r="L12" s="78" t="str">
        <f>IFERROR(__xludf.DUMMYFUNCTION("""COMPUTED_VALUE"""),"好眠番茄")</f>
        <v>好眠番茄</v>
      </c>
      <c r="M12" s="78">
        <f>IFERROR(__xludf.DUMMYFUNCTION("""COMPUTED_VALUE"""),6.0)</f>
        <v>6</v>
      </c>
      <c r="N12" s="78" t="str">
        <f>IFERROR(__xludf.DUMMYFUNCTION("""COMPUTED_VALUE"""),"純粹油")</f>
        <v>純粹油</v>
      </c>
      <c r="O12" s="78">
        <f>IFERROR(__xludf.DUMMYFUNCTION("""COMPUTED_VALUE"""),5.0)</f>
        <v>5</v>
      </c>
      <c r="P12" s="78"/>
      <c r="Q12" s="78"/>
      <c r="R12" s="78" t="str">
        <f>IFERROR(__xludf.DUMMYFUNCTION("""COMPUTED_VALUE"""),"")</f>
        <v/>
      </c>
      <c r="S12" s="78">
        <f>IFERROR(__xludf.DUMMYFUNCTION("""COMPUTED_VALUE"""),12.0)</f>
        <v>12</v>
      </c>
      <c r="T12" s="78" t="str">
        <f>IFERROR(__xludf.DUMMYFUNCTION("""COMPUTED_VALUE"""),"")</f>
        <v/>
      </c>
      <c r="U12" s="78" t="str">
        <f>IFERROR(__xludf.DUMMYFUNCTION("""COMPUTED_VALUE"""),"")</f>
        <v/>
      </c>
      <c r="V12" s="78" t="str">
        <f>IFERROR(__xludf.DUMMYFUNCTION("""COMPUTED_VALUE"""),"")</f>
        <v/>
      </c>
      <c r="W12" s="78" t="str">
        <f>IFERROR(__xludf.DUMMYFUNCTION("""COMPUTED_VALUE"""),"")</f>
        <v/>
      </c>
      <c r="X12" s="78">
        <f>IFERROR(__xludf.DUMMYFUNCTION("""COMPUTED_VALUE"""),6.0)</f>
        <v>6</v>
      </c>
      <c r="Y12" s="78" t="str">
        <f>IFERROR(__xludf.DUMMYFUNCTION("""COMPUTED_VALUE"""),"")</f>
        <v/>
      </c>
      <c r="Z12" s="78">
        <f>IFERROR(__xludf.DUMMYFUNCTION("""COMPUTED_VALUE"""),5.0)</f>
        <v>5</v>
      </c>
      <c r="AA12" s="78" t="str">
        <f>IFERROR(__xludf.DUMMYFUNCTION("""COMPUTED_VALUE"""),"")</f>
        <v/>
      </c>
      <c r="AB12" s="78" t="str">
        <f>IFERROR(__xludf.DUMMYFUNCTION("""COMPUTED_VALUE"""),"")</f>
        <v/>
      </c>
      <c r="AC12" s="78" t="str">
        <f>IFERROR(__xludf.DUMMYFUNCTION("""COMPUTED_VALUE"""),"")</f>
        <v/>
      </c>
      <c r="AD12" s="78" t="str">
        <f>IFERROR(__xludf.DUMMYFUNCTION("""COMPUTED_VALUE"""),"")</f>
        <v/>
      </c>
      <c r="AE12" s="78" t="str">
        <f>IFERROR(__xludf.DUMMYFUNCTION("""COMPUTED_VALUE"""),"")</f>
        <v/>
      </c>
      <c r="AF12" s="78" t="str">
        <f>IFERROR(__xludf.DUMMYFUNCTION("""COMPUTED_VALUE"""),"")</f>
        <v/>
      </c>
      <c r="AG12" s="78" t="str">
        <f>IFERROR(__xludf.DUMMYFUNCTION("""COMPUTED_VALUE"""),"")</f>
        <v/>
      </c>
      <c r="AH12" s="78" t="str">
        <f>IFERROR(__xludf.DUMMYFUNCTION("""COMPUTED_VALUE"""),"")</f>
        <v/>
      </c>
      <c r="AI12" s="78" t="str">
        <f>IFERROR(__xludf.DUMMYFUNCTION("""COMPUTED_VALUE"""),"")</f>
        <v/>
      </c>
      <c r="AJ12" s="78" t="str">
        <f>IFERROR(__xludf.DUMMYFUNCTION("""COMPUTED_VALUE"""),"")</f>
        <v/>
      </c>
      <c r="AK12" s="78">
        <f>IFERROR(__xludf.DUMMYFUNCTION("""COMPUTED_VALUE"""),0.0)</f>
        <v>0</v>
      </c>
      <c r="AL12" s="78"/>
      <c r="AM12" s="78"/>
      <c r="AN12" s="78"/>
      <c r="AO12" s="78"/>
      <c r="AP12" s="78"/>
      <c r="AQ12" s="78"/>
      <c r="AR12" s="78"/>
      <c r="AS12" s="78"/>
    </row>
    <row r="13" ht="49.5" customHeight="1">
      <c r="A13" s="77" t="str">
        <f>IFERROR(__xludf.DUMMYFUNCTION("""COMPUTED_VALUE"""),"")</f>
        <v/>
      </c>
      <c r="B13" s="78" t="str">
        <f>IFERROR(__xludf.DUMMYFUNCTION("""COMPUTED_VALUE"""),"蠻力豪邁沙拉")</f>
        <v>蠻力豪邁沙拉</v>
      </c>
      <c r="C13" s="78" t="str">
        <f>IFERROR(__xludf.DUMMYFUNCTION("""COMPUTED_VALUE"""),"superpowerextremesalad")</f>
        <v>superpowerextremesalad</v>
      </c>
      <c r="D13" s="78">
        <f>IFERROR(__xludf.DUMMYFUNCTION("""COMPUTED_VALUE"""),23.0)</f>
        <v>23</v>
      </c>
      <c r="E13" s="78" t="str">
        <f>IFERROR(__xludf.DUMMYFUNCTION("""COMPUTED_VALUE"""),"沙拉")</f>
        <v>沙拉</v>
      </c>
      <c r="F13" s="82">
        <f>IFERROR(__xludf.DUMMYFUNCTION("""COMPUTED_VALUE"""),0.2)</f>
        <v>0.2</v>
      </c>
      <c r="G13" s="83">
        <f>IFERROR(__xludf.DUMMYFUNCTION("""COMPUTED_VALUE"""),2528.0)</f>
        <v>2528</v>
      </c>
      <c r="H13" s="83">
        <f>IFERROR(__xludf.DUMMYFUNCTION("""COMPUTED_VALUE"""),3046.0)</f>
        <v>3046</v>
      </c>
      <c r="I13" s="78" t="str">
        <f>IFERROR(__xludf.DUMMYFUNCTION("""COMPUTED_VALUE"""),"豆製肉,9,暖暖薑,6,特選蛋,5,窩心洋芋,3")</f>
        <v>豆製肉,9,暖暖薑,6,特選蛋,5,窩心洋芋,3</v>
      </c>
      <c r="J13" s="78" t="str">
        <f>IFERROR(__xludf.DUMMYFUNCTION("""COMPUTED_VALUE"""),"豆製肉")</f>
        <v>豆製肉</v>
      </c>
      <c r="K13" s="78">
        <f>IFERROR(__xludf.DUMMYFUNCTION("""COMPUTED_VALUE"""),9.0)</f>
        <v>9</v>
      </c>
      <c r="L13" s="78" t="str">
        <f>IFERROR(__xludf.DUMMYFUNCTION("""COMPUTED_VALUE"""),"暖暖薑")</f>
        <v>暖暖薑</v>
      </c>
      <c r="M13" s="78">
        <f>IFERROR(__xludf.DUMMYFUNCTION("""COMPUTED_VALUE"""),6.0)</f>
        <v>6</v>
      </c>
      <c r="N13" s="78" t="str">
        <f>IFERROR(__xludf.DUMMYFUNCTION("""COMPUTED_VALUE"""),"特選蛋")</f>
        <v>特選蛋</v>
      </c>
      <c r="O13" s="78">
        <f>IFERROR(__xludf.DUMMYFUNCTION("""COMPUTED_VALUE"""),5.0)</f>
        <v>5</v>
      </c>
      <c r="P13" s="78" t="str">
        <f>IFERROR(__xludf.DUMMYFUNCTION("""COMPUTED_VALUE"""),"窩心洋芋")</f>
        <v>窩心洋芋</v>
      </c>
      <c r="Q13" s="78">
        <f>IFERROR(__xludf.DUMMYFUNCTION("""COMPUTED_VALUE"""),3.0)</f>
        <v>3</v>
      </c>
      <c r="R13" s="78" t="str">
        <f>IFERROR(__xludf.DUMMYFUNCTION("""COMPUTED_VALUE"""),"")</f>
        <v/>
      </c>
      <c r="S13" s="78" t="str">
        <f>IFERROR(__xludf.DUMMYFUNCTION("""COMPUTED_VALUE"""),"")</f>
        <v/>
      </c>
      <c r="T13" s="78" t="str">
        <f>IFERROR(__xludf.DUMMYFUNCTION("""COMPUTED_VALUE"""),"")</f>
        <v/>
      </c>
      <c r="U13" s="78" t="str">
        <f>IFERROR(__xludf.DUMMYFUNCTION("""COMPUTED_VALUE"""),"")</f>
        <v/>
      </c>
      <c r="V13" s="78">
        <f>IFERROR(__xludf.DUMMYFUNCTION("""COMPUTED_VALUE"""),9.0)</f>
        <v>9</v>
      </c>
      <c r="W13" s="78">
        <f>IFERROR(__xludf.DUMMYFUNCTION("""COMPUTED_VALUE"""),6.0)</f>
        <v>6</v>
      </c>
      <c r="X13" s="78" t="str">
        <f>IFERROR(__xludf.DUMMYFUNCTION("""COMPUTED_VALUE"""),"")</f>
        <v/>
      </c>
      <c r="Y13" s="78">
        <f>IFERROR(__xludf.DUMMYFUNCTION("""COMPUTED_VALUE"""),5.0)</f>
        <v>5</v>
      </c>
      <c r="Z13" s="78" t="str">
        <f>IFERROR(__xludf.DUMMYFUNCTION("""COMPUTED_VALUE"""),"")</f>
        <v/>
      </c>
      <c r="AA13" s="78">
        <f>IFERROR(__xludf.DUMMYFUNCTION("""COMPUTED_VALUE"""),3.0)</f>
        <v>3</v>
      </c>
      <c r="AB13" s="78" t="str">
        <f>IFERROR(__xludf.DUMMYFUNCTION("""COMPUTED_VALUE"""),"")</f>
        <v/>
      </c>
      <c r="AC13" s="78" t="str">
        <f>IFERROR(__xludf.DUMMYFUNCTION("""COMPUTED_VALUE"""),"")</f>
        <v/>
      </c>
      <c r="AD13" s="78" t="str">
        <f>IFERROR(__xludf.DUMMYFUNCTION("""COMPUTED_VALUE"""),"")</f>
        <v/>
      </c>
      <c r="AE13" s="78" t="str">
        <f>IFERROR(__xludf.DUMMYFUNCTION("""COMPUTED_VALUE"""),"")</f>
        <v/>
      </c>
      <c r="AF13" s="78" t="str">
        <f>IFERROR(__xludf.DUMMYFUNCTION("""COMPUTED_VALUE"""),"")</f>
        <v/>
      </c>
      <c r="AG13" s="78" t="str">
        <f>IFERROR(__xludf.DUMMYFUNCTION("""COMPUTED_VALUE"""),"")</f>
        <v/>
      </c>
      <c r="AH13" s="78" t="str">
        <f>IFERROR(__xludf.DUMMYFUNCTION("""COMPUTED_VALUE"""),"")</f>
        <v/>
      </c>
      <c r="AI13" s="78" t="str">
        <f>IFERROR(__xludf.DUMMYFUNCTION("""COMPUTED_VALUE"""),"")</f>
        <v/>
      </c>
      <c r="AJ13" s="78" t="str">
        <f>IFERROR(__xludf.DUMMYFUNCTION("""COMPUTED_VALUE"""),"")</f>
        <v/>
      </c>
      <c r="AK13" s="78" t="str">
        <f>IFERROR(__xludf.DUMMYFUNCTION("""COMPUTED_VALUE"""),"")</f>
        <v/>
      </c>
      <c r="AL13" s="78"/>
      <c r="AM13" s="78"/>
      <c r="AN13" s="78"/>
      <c r="AO13" s="78"/>
      <c r="AP13" s="78"/>
      <c r="AQ13" s="78"/>
      <c r="AR13" s="78"/>
      <c r="AS13" s="78"/>
    </row>
    <row r="14" ht="49.5" customHeight="1">
      <c r="A14" s="77" t="str">
        <f>IFERROR(__xludf.DUMMYFUNCTION("""COMPUTED_VALUE"""),"")</f>
        <v/>
      </c>
      <c r="B14" s="78" t="str">
        <f>IFERROR(__xludf.DUMMYFUNCTION("""COMPUTED_VALUE"""),"濕潤豆腐沙拉")</f>
        <v>濕潤豆腐沙拉</v>
      </c>
      <c r="C14" s="78" t="str">
        <f>IFERROR(__xludf.DUMMYFUNCTION("""COMPUTED_VALUE"""),"waterveiltofusalad")</f>
        <v>waterveiltofusalad</v>
      </c>
      <c r="D14" s="78">
        <f>IFERROR(__xludf.DUMMYFUNCTION("""COMPUTED_VALUE"""),24.0)</f>
        <v>24</v>
      </c>
      <c r="E14" s="78" t="str">
        <f>IFERROR(__xludf.DUMMYFUNCTION("""COMPUTED_VALUE"""),"沙拉")</f>
        <v>沙拉</v>
      </c>
      <c r="F14" s="82">
        <f>IFERROR(__xludf.DUMMYFUNCTION("""COMPUTED_VALUE"""),0.25)</f>
        <v>0.25</v>
      </c>
      <c r="G14" s="83">
        <f>IFERROR(__xludf.DUMMYFUNCTION("""COMPUTED_VALUE"""),2490.0)</f>
        <v>2490</v>
      </c>
      <c r="H14" s="83">
        <f>IFERROR(__xludf.DUMMYFUNCTION("""COMPUTED_VALUE"""),3113.0)</f>
        <v>3113</v>
      </c>
      <c r="I14" s="78" t="str">
        <f>IFERROR(__xludf.DUMMYFUNCTION("""COMPUTED_VALUE"""),"萌綠大豆,15,好眠番茄,9")</f>
        <v>萌綠大豆,15,好眠番茄,9</v>
      </c>
      <c r="J14" s="78" t="str">
        <f>IFERROR(__xludf.DUMMYFUNCTION("""COMPUTED_VALUE"""),"萌綠大豆")</f>
        <v>萌綠大豆</v>
      </c>
      <c r="K14" s="78">
        <f>IFERROR(__xludf.DUMMYFUNCTION("""COMPUTED_VALUE"""),15.0)</f>
        <v>15</v>
      </c>
      <c r="L14" s="78" t="str">
        <f>IFERROR(__xludf.DUMMYFUNCTION("""COMPUTED_VALUE"""),"好眠番茄")</f>
        <v>好眠番茄</v>
      </c>
      <c r="M14" s="78">
        <f>IFERROR(__xludf.DUMMYFUNCTION("""COMPUTED_VALUE"""),9.0)</f>
        <v>9</v>
      </c>
      <c r="N14" s="78"/>
      <c r="O14" s="78"/>
      <c r="P14" s="78"/>
      <c r="Q14" s="78"/>
      <c r="R14" s="78" t="str">
        <f>IFERROR(__xludf.DUMMYFUNCTION("""COMPUTED_VALUE"""),"")</f>
        <v/>
      </c>
      <c r="S14" s="78" t="str">
        <f>IFERROR(__xludf.DUMMYFUNCTION("""COMPUTED_VALUE"""),"")</f>
        <v/>
      </c>
      <c r="T14" s="78">
        <f>IFERROR(__xludf.DUMMYFUNCTION("""COMPUTED_VALUE"""),15.0)</f>
        <v>15</v>
      </c>
      <c r="U14" s="78" t="str">
        <f>IFERROR(__xludf.DUMMYFUNCTION("""COMPUTED_VALUE"""),"")</f>
        <v/>
      </c>
      <c r="V14" s="78" t="str">
        <f>IFERROR(__xludf.DUMMYFUNCTION("""COMPUTED_VALUE"""),"")</f>
        <v/>
      </c>
      <c r="W14" s="78" t="str">
        <f>IFERROR(__xludf.DUMMYFUNCTION("""COMPUTED_VALUE"""),"")</f>
        <v/>
      </c>
      <c r="X14" s="78">
        <f>IFERROR(__xludf.DUMMYFUNCTION("""COMPUTED_VALUE"""),9.0)</f>
        <v>9</v>
      </c>
      <c r="Y14" s="78" t="str">
        <f>IFERROR(__xludf.DUMMYFUNCTION("""COMPUTED_VALUE"""),"")</f>
        <v/>
      </c>
      <c r="Z14" s="78" t="str">
        <f>IFERROR(__xludf.DUMMYFUNCTION("""COMPUTED_VALUE"""),"")</f>
        <v/>
      </c>
      <c r="AA14" s="78" t="str">
        <f>IFERROR(__xludf.DUMMYFUNCTION("""COMPUTED_VALUE"""),"")</f>
        <v/>
      </c>
      <c r="AB14" s="78" t="str">
        <f>IFERROR(__xludf.DUMMYFUNCTION("""COMPUTED_VALUE"""),"")</f>
        <v/>
      </c>
      <c r="AC14" s="78" t="str">
        <f>IFERROR(__xludf.DUMMYFUNCTION("""COMPUTED_VALUE"""),"")</f>
        <v/>
      </c>
      <c r="AD14" s="78" t="str">
        <f>IFERROR(__xludf.DUMMYFUNCTION("""COMPUTED_VALUE"""),"")</f>
        <v/>
      </c>
      <c r="AE14" s="78" t="str">
        <f>IFERROR(__xludf.DUMMYFUNCTION("""COMPUTED_VALUE"""),"")</f>
        <v/>
      </c>
      <c r="AF14" s="78" t="str">
        <f>IFERROR(__xludf.DUMMYFUNCTION("""COMPUTED_VALUE"""),"")</f>
        <v/>
      </c>
      <c r="AG14" s="78" t="str">
        <f>IFERROR(__xludf.DUMMYFUNCTION("""COMPUTED_VALUE"""),"")</f>
        <v/>
      </c>
      <c r="AH14" s="78" t="str">
        <f>IFERROR(__xludf.DUMMYFUNCTION("""COMPUTED_VALUE"""),"")</f>
        <v/>
      </c>
      <c r="AI14" s="78" t="str">
        <f>IFERROR(__xludf.DUMMYFUNCTION("""COMPUTED_VALUE"""),"")</f>
        <v/>
      </c>
      <c r="AJ14" s="78" t="str">
        <f>IFERROR(__xludf.DUMMYFUNCTION("""COMPUTED_VALUE"""),"")</f>
        <v/>
      </c>
      <c r="AK14" s="78">
        <f>IFERROR(__xludf.DUMMYFUNCTION("""COMPUTED_VALUE"""),0.0)</f>
        <v>0</v>
      </c>
      <c r="AL14" s="78"/>
      <c r="AM14" s="78"/>
      <c r="AN14" s="78"/>
      <c r="AO14" s="78"/>
      <c r="AP14" s="78"/>
      <c r="AQ14" s="78"/>
      <c r="AR14" s="78"/>
      <c r="AS14" s="78"/>
    </row>
    <row r="15" ht="49.5" customHeight="1">
      <c r="A15" s="77" t="str">
        <f>IFERROR(__xludf.DUMMYFUNCTION("""COMPUTED_VALUE"""),"")</f>
        <v/>
      </c>
      <c r="B15" s="78" t="str">
        <f>IFERROR(__xludf.DUMMYFUNCTION("""COMPUTED_VALUE"""),"心情不定肉沙拉淋巧克力醬")</f>
        <v>心情不定肉沙拉淋巧克力醬</v>
      </c>
      <c r="C15" s="78" t="str">
        <f>IFERROR(__xludf.DUMMYFUNCTION("""COMPUTED_VALUE"""),"contrarychocolatemeatsalad")</f>
        <v>contrarychocolatemeatsalad</v>
      </c>
      <c r="D15" s="78">
        <f>IFERROR(__xludf.DUMMYFUNCTION("""COMPUTED_VALUE"""),23.0)</f>
        <v>23</v>
      </c>
      <c r="E15" s="78" t="str">
        <f>IFERROR(__xludf.DUMMYFUNCTION("""COMPUTED_VALUE"""),"沙拉")</f>
        <v>沙拉</v>
      </c>
      <c r="F15" s="82">
        <f>IFERROR(__xludf.DUMMYFUNCTION("""COMPUTED_VALUE"""),0.21)</f>
        <v>0.21</v>
      </c>
      <c r="G15" s="83">
        <f>IFERROR(__xludf.DUMMYFUNCTION("""COMPUTED_VALUE"""),3041.0)</f>
        <v>3041</v>
      </c>
      <c r="H15" s="83">
        <f>IFERROR(__xludf.DUMMYFUNCTION("""COMPUTED_VALUE"""),3665.0)</f>
        <v>3665</v>
      </c>
      <c r="I15" s="78" t="str">
        <f>IFERROR(__xludf.DUMMYFUNCTION("""COMPUTED_VALUE"""),"放鬆可可,14,豆製肉,9")</f>
        <v>放鬆可可,14,豆製肉,9</v>
      </c>
      <c r="J15" s="78" t="str">
        <f>IFERROR(__xludf.DUMMYFUNCTION("""COMPUTED_VALUE"""),"放鬆可可")</f>
        <v>放鬆可可</v>
      </c>
      <c r="K15" s="78">
        <f>IFERROR(__xludf.DUMMYFUNCTION("""COMPUTED_VALUE"""),14.0)</f>
        <v>14</v>
      </c>
      <c r="L15" s="78" t="str">
        <f>IFERROR(__xludf.DUMMYFUNCTION("""COMPUTED_VALUE"""),"豆製肉")</f>
        <v>豆製肉</v>
      </c>
      <c r="M15" s="78">
        <f>IFERROR(__xludf.DUMMYFUNCTION("""COMPUTED_VALUE"""),9.0)</f>
        <v>9</v>
      </c>
      <c r="N15" s="78"/>
      <c r="O15" s="78"/>
      <c r="P15" s="78"/>
      <c r="Q15" s="78"/>
      <c r="R15" s="78" t="str">
        <f>IFERROR(__xludf.DUMMYFUNCTION("""COMPUTED_VALUE"""),"")</f>
        <v/>
      </c>
      <c r="S15" s="78" t="str">
        <f>IFERROR(__xludf.DUMMYFUNCTION("""COMPUTED_VALUE"""),"")</f>
        <v/>
      </c>
      <c r="T15" s="78" t="str">
        <f>IFERROR(__xludf.DUMMYFUNCTION("""COMPUTED_VALUE"""),"")</f>
        <v/>
      </c>
      <c r="U15" s="78" t="str">
        <f>IFERROR(__xludf.DUMMYFUNCTION("""COMPUTED_VALUE"""),"")</f>
        <v/>
      </c>
      <c r="V15" s="78">
        <f>IFERROR(__xludf.DUMMYFUNCTION("""COMPUTED_VALUE"""),9.0)</f>
        <v>9</v>
      </c>
      <c r="W15" s="78" t="str">
        <f>IFERROR(__xludf.DUMMYFUNCTION("""COMPUTED_VALUE"""),"")</f>
        <v/>
      </c>
      <c r="X15" s="78" t="str">
        <f>IFERROR(__xludf.DUMMYFUNCTION("""COMPUTED_VALUE"""),"")</f>
        <v/>
      </c>
      <c r="Y15" s="78" t="str">
        <f>IFERROR(__xludf.DUMMYFUNCTION("""COMPUTED_VALUE"""),"")</f>
        <v/>
      </c>
      <c r="Z15" s="78" t="str">
        <f>IFERROR(__xludf.DUMMYFUNCTION("""COMPUTED_VALUE"""),"")</f>
        <v/>
      </c>
      <c r="AA15" s="78" t="str">
        <f>IFERROR(__xludf.DUMMYFUNCTION("""COMPUTED_VALUE"""),"")</f>
        <v/>
      </c>
      <c r="AB15" s="78" t="str">
        <f>IFERROR(__xludf.DUMMYFUNCTION("""COMPUTED_VALUE"""),"")</f>
        <v/>
      </c>
      <c r="AC15" s="78" t="str">
        <f>IFERROR(__xludf.DUMMYFUNCTION("""COMPUTED_VALUE"""),"")</f>
        <v/>
      </c>
      <c r="AD15" s="78">
        <f>IFERROR(__xludf.DUMMYFUNCTION("""COMPUTED_VALUE"""),14.0)</f>
        <v>14</v>
      </c>
      <c r="AE15" s="78" t="str">
        <f>IFERROR(__xludf.DUMMYFUNCTION("""COMPUTED_VALUE"""),"")</f>
        <v/>
      </c>
      <c r="AF15" s="78" t="str">
        <f>IFERROR(__xludf.DUMMYFUNCTION("""COMPUTED_VALUE"""),"")</f>
        <v/>
      </c>
      <c r="AG15" s="78" t="str">
        <f>IFERROR(__xludf.DUMMYFUNCTION("""COMPUTED_VALUE"""),"")</f>
        <v/>
      </c>
      <c r="AH15" s="78" t="str">
        <f>IFERROR(__xludf.DUMMYFUNCTION("""COMPUTED_VALUE"""),"")</f>
        <v/>
      </c>
      <c r="AI15" s="78" t="str">
        <f>IFERROR(__xludf.DUMMYFUNCTION("""COMPUTED_VALUE"""),"")</f>
        <v/>
      </c>
      <c r="AJ15" s="78" t="str">
        <f>IFERROR(__xludf.DUMMYFUNCTION("""COMPUTED_VALUE"""),"")</f>
        <v/>
      </c>
      <c r="AK15" s="78">
        <f>IFERROR(__xludf.DUMMYFUNCTION("""COMPUTED_VALUE"""),0.0)</f>
        <v>0</v>
      </c>
      <c r="AL15" s="78"/>
      <c r="AM15" s="78"/>
      <c r="AN15" s="78"/>
      <c r="AO15" s="78"/>
      <c r="AP15" s="78"/>
      <c r="AQ15" s="78"/>
      <c r="AR15" s="78"/>
      <c r="AS15" s="78"/>
    </row>
    <row r="16" ht="49.5" customHeight="1">
      <c r="A16" s="77" t="str">
        <f>IFERROR(__xludf.DUMMYFUNCTION("""COMPUTED_VALUE"""),"")</f>
        <v/>
      </c>
      <c r="B16" s="78" t="str">
        <f>IFERROR(__xludf.DUMMYFUNCTION("""COMPUTED_VALUE"""),"貪吃鬼洋芋沙拉")</f>
        <v>貪吃鬼洋芋沙拉</v>
      </c>
      <c r="C16" s="78" t="str">
        <f>IFERROR(__xludf.DUMMYFUNCTION("""COMPUTED_VALUE"""),"gluttonypotatosalad")</f>
        <v>gluttonypotatosalad</v>
      </c>
      <c r="D16" s="78">
        <f>IFERROR(__xludf.DUMMYFUNCTION("""COMPUTED_VALUE"""),36.0)</f>
        <v>36</v>
      </c>
      <c r="E16" s="78" t="str">
        <f>IFERROR(__xludf.DUMMYFUNCTION("""COMPUTED_VALUE"""),"沙拉")</f>
        <v>沙拉</v>
      </c>
      <c r="F16" s="82">
        <f>IFERROR(__xludf.DUMMYFUNCTION("""COMPUTED_VALUE"""),0.25)</f>
        <v>0.25</v>
      </c>
      <c r="G16" s="83">
        <f>IFERROR(__xludf.DUMMYFUNCTION("""COMPUTED_VALUE"""),4032.0)</f>
        <v>4032</v>
      </c>
      <c r="H16" s="83">
        <f>IFERROR(__xludf.DUMMYFUNCTION("""COMPUTED_VALUE"""),5040.0)</f>
        <v>5040</v>
      </c>
      <c r="I16" s="78" t="str">
        <f>IFERROR(__xludf.DUMMYFUNCTION("""COMPUTED_VALUE"""),"窩心洋芋,14,特選蛋,9,豆製肉,7,特選蘋果,6")</f>
        <v>窩心洋芋,14,特選蛋,9,豆製肉,7,特選蘋果,6</v>
      </c>
      <c r="J16" s="78" t="str">
        <f>IFERROR(__xludf.DUMMYFUNCTION("""COMPUTED_VALUE"""),"窩心洋芋")</f>
        <v>窩心洋芋</v>
      </c>
      <c r="K16" s="78">
        <f>IFERROR(__xludf.DUMMYFUNCTION("""COMPUTED_VALUE"""),14.0)</f>
        <v>14</v>
      </c>
      <c r="L16" s="78" t="str">
        <f>IFERROR(__xludf.DUMMYFUNCTION("""COMPUTED_VALUE"""),"特選蛋")</f>
        <v>特選蛋</v>
      </c>
      <c r="M16" s="78">
        <f>IFERROR(__xludf.DUMMYFUNCTION("""COMPUTED_VALUE"""),9.0)</f>
        <v>9</v>
      </c>
      <c r="N16" s="78" t="str">
        <f>IFERROR(__xludf.DUMMYFUNCTION("""COMPUTED_VALUE"""),"豆製肉")</f>
        <v>豆製肉</v>
      </c>
      <c r="O16" s="78">
        <f>IFERROR(__xludf.DUMMYFUNCTION("""COMPUTED_VALUE"""),7.0)</f>
        <v>7</v>
      </c>
      <c r="P16" s="78" t="str">
        <f>IFERROR(__xludf.DUMMYFUNCTION("""COMPUTED_VALUE"""),"特選蘋果")</f>
        <v>特選蘋果</v>
      </c>
      <c r="Q16" s="78">
        <f>IFERROR(__xludf.DUMMYFUNCTION("""COMPUTED_VALUE"""),6.0)</f>
        <v>6</v>
      </c>
      <c r="R16" s="78">
        <f>IFERROR(__xludf.DUMMYFUNCTION("""COMPUTED_VALUE"""),6.0)</f>
        <v>6</v>
      </c>
      <c r="S16" s="78" t="str">
        <f>IFERROR(__xludf.DUMMYFUNCTION("""COMPUTED_VALUE"""),"")</f>
        <v/>
      </c>
      <c r="T16" s="78" t="str">
        <f>IFERROR(__xludf.DUMMYFUNCTION("""COMPUTED_VALUE"""),"")</f>
        <v/>
      </c>
      <c r="U16" s="78" t="str">
        <f>IFERROR(__xludf.DUMMYFUNCTION("""COMPUTED_VALUE"""),"")</f>
        <v/>
      </c>
      <c r="V16" s="78">
        <f>IFERROR(__xludf.DUMMYFUNCTION("""COMPUTED_VALUE"""),7.0)</f>
        <v>7</v>
      </c>
      <c r="W16" s="78" t="str">
        <f>IFERROR(__xludf.DUMMYFUNCTION("""COMPUTED_VALUE"""),"")</f>
        <v/>
      </c>
      <c r="X16" s="78" t="str">
        <f>IFERROR(__xludf.DUMMYFUNCTION("""COMPUTED_VALUE"""),"")</f>
        <v/>
      </c>
      <c r="Y16" s="78">
        <f>IFERROR(__xludf.DUMMYFUNCTION("""COMPUTED_VALUE"""),9.0)</f>
        <v>9</v>
      </c>
      <c r="Z16" s="78" t="str">
        <f>IFERROR(__xludf.DUMMYFUNCTION("""COMPUTED_VALUE"""),"")</f>
        <v/>
      </c>
      <c r="AA16" s="78">
        <f>IFERROR(__xludf.DUMMYFUNCTION("""COMPUTED_VALUE"""),14.0)</f>
        <v>14</v>
      </c>
      <c r="AB16" s="78" t="str">
        <f>IFERROR(__xludf.DUMMYFUNCTION("""COMPUTED_VALUE"""),"")</f>
        <v/>
      </c>
      <c r="AC16" s="78" t="str">
        <f>IFERROR(__xludf.DUMMYFUNCTION("""COMPUTED_VALUE"""),"")</f>
        <v/>
      </c>
      <c r="AD16" s="78" t="str">
        <f>IFERROR(__xludf.DUMMYFUNCTION("""COMPUTED_VALUE"""),"")</f>
        <v/>
      </c>
      <c r="AE16" s="78" t="str">
        <f>IFERROR(__xludf.DUMMYFUNCTION("""COMPUTED_VALUE"""),"")</f>
        <v/>
      </c>
      <c r="AF16" s="78" t="str">
        <f>IFERROR(__xludf.DUMMYFUNCTION("""COMPUTED_VALUE"""),"")</f>
        <v/>
      </c>
      <c r="AG16" s="78" t="str">
        <f>IFERROR(__xludf.DUMMYFUNCTION("""COMPUTED_VALUE"""),"")</f>
        <v/>
      </c>
      <c r="AH16" s="78" t="str">
        <f>IFERROR(__xludf.DUMMYFUNCTION("""COMPUTED_VALUE"""),"")</f>
        <v/>
      </c>
      <c r="AI16" s="78" t="str">
        <f>IFERROR(__xludf.DUMMYFUNCTION("""COMPUTED_VALUE"""),"")</f>
        <v/>
      </c>
      <c r="AJ16" s="78" t="str">
        <f>IFERROR(__xludf.DUMMYFUNCTION("""COMPUTED_VALUE"""),"")</f>
        <v/>
      </c>
      <c r="AK16" s="78" t="str">
        <f>IFERROR(__xludf.DUMMYFUNCTION("""COMPUTED_VALUE"""),"")</f>
        <v/>
      </c>
      <c r="AL16" s="78"/>
      <c r="AM16" s="78"/>
      <c r="AN16" s="78"/>
      <c r="AO16" s="78"/>
      <c r="AP16" s="78"/>
      <c r="AQ16" s="78"/>
      <c r="AR16" s="78"/>
      <c r="AS16" s="78"/>
    </row>
    <row r="17" ht="49.5" customHeight="1">
      <c r="A17" s="77" t="str">
        <f>IFERROR(__xludf.DUMMYFUNCTION("""COMPUTED_VALUE"""),"")</f>
        <v/>
      </c>
      <c r="B17" s="78" t="str">
        <f>IFERROR(__xludf.DUMMYFUNCTION("""COMPUTED_VALUE"""),"過熱沙拉")</f>
        <v>過熱沙拉</v>
      </c>
      <c r="C17" s="78" t="str">
        <f>IFERROR(__xludf.DUMMYFUNCTION("""COMPUTED_VALUE"""),"overheatgingersalad")</f>
        <v>overheatgingersalad</v>
      </c>
      <c r="D17" s="78">
        <f>IFERROR(__xludf.DUMMYFUNCTION("""COMPUTED_VALUE"""),35.0)</f>
        <v>35</v>
      </c>
      <c r="E17" s="78" t="str">
        <f>IFERROR(__xludf.DUMMYFUNCTION("""COMPUTED_VALUE"""),"沙拉")</f>
        <v>沙拉</v>
      </c>
      <c r="F17" s="82">
        <f>IFERROR(__xludf.DUMMYFUNCTION("""COMPUTED_VALUE"""),0.25)</f>
        <v>0.25</v>
      </c>
      <c r="G17" s="83">
        <f>IFERROR(__xludf.DUMMYFUNCTION("""COMPUTED_VALUE"""),4180.0)</f>
        <v>4180</v>
      </c>
      <c r="H17" s="83">
        <f>IFERROR(__xludf.DUMMYFUNCTION("""COMPUTED_VALUE"""),5225.0)</f>
        <v>5225</v>
      </c>
      <c r="I17" s="78" t="str">
        <f>IFERROR(__xludf.DUMMYFUNCTION("""COMPUTED_VALUE"""),"火辣香草,17,暖暖薑,10,好眠番茄,8")</f>
        <v>火辣香草,17,暖暖薑,10,好眠番茄,8</v>
      </c>
      <c r="J17" s="78" t="str">
        <f>IFERROR(__xludf.DUMMYFUNCTION("""COMPUTED_VALUE"""),"火辣香草")</f>
        <v>火辣香草</v>
      </c>
      <c r="K17" s="78">
        <f>IFERROR(__xludf.DUMMYFUNCTION("""COMPUTED_VALUE"""),17.0)</f>
        <v>17</v>
      </c>
      <c r="L17" s="78" t="str">
        <f>IFERROR(__xludf.DUMMYFUNCTION("""COMPUTED_VALUE"""),"暖暖薑")</f>
        <v>暖暖薑</v>
      </c>
      <c r="M17" s="78">
        <f>IFERROR(__xludf.DUMMYFUNCTION("""COMPUTED_VALUE"""),10.0)</f>
        <v>10</v>
      </c>
      <c r="N17" s="78" t="str">
        <f>IFERROR(__xludf.DUMMYFUNCTION("""COMPUTED_VALUE"""),"好眠番茄")</f>
        <v>好眠番茄</v>
      </c>
      <c r="O17" s="78">
        <f>IFERROR(__xludf.DUMMYFUNCTION("""COMPUTED_VALUE"""),8.0)</f>
        <v>8</v>
      </c>
      <c r="P17" s="78"/>
      <c r="Q17" s="78"/>
      <c r="R17" s="78" t="str">
        <f>IFERROR(__xludf.DUMMYFUNCTION("""COMPUTED_VALUE"""),"")</f>
        <v/>
      </c>
      <c r="S17" s="78" t="str">
        <f>IFERROR(__xludf.DUMMYFUNCTION("""COMPUTED_VALUE"""),"")</f>
        <v/>
      </c>
      <c r="T17" s="78" t="str">
        <f>IFERROR(__xludf.DUMMYFUNCTION("""COMPUTED_VALUE"""),"")</f>
        <v/>
      </c>
      <c r="U17" s="78" t="str">
        <f>IFERROR(__xludf.DUMMYFUNCTION("""COMPUTED_VALUE"""),"")</f>
        <v/>
      </c>
      <c r="V17" s="78" t="str">
        <f>IFERROR(__xludf.DUMMYFUNCTION("""COMPUTED_VALUE"""),"")</f>
        <v/>
      </c>
      <c r="W17" s="78">
        <f>IFERROR(__xludf.DUMMYFUNCTION("""COMPUTED_VALUE"""),10.0)</f>
        <v>10</v>
      </c>
      <c r="X17" s="78">
        <f>IFERROR(__xludf.DUMMYFUNCTION("""COMPUTED_VALUE"""),8.0)</f>
        <v>8</v>
      </c>
      <c r="Y17" s="78" t="str">
        <f>IFERROR(__xludf.DUMMYFUNCTION("""COMPUTED_VALUE"""),"")</f>
        <v/>
      </c>
      <c r="Z17" s="78" t="str">
        <f>IFERROR(__xludf.DUMMYFUNCTION("""COMPUTED_VALUE"""),"")</f>
        <v/>
      </c>
      <c r="AA17" s="78" t="str">
        <f>IFERROR(__xludf.DUMMYFUNCTION("""COMPUTED_VALUE"""),"")</f>
        <v/>
      </c>
      <c r="AB17" s="78">
        <f>IFERROR(__xludf.DUMMYFUNCTION("""COMPUTED_VALUE"""),17.0)</f>
        <v>17</v>
      </c>
      <c r="AC17" s="78" t="str">
        <f>IFERROR(__xludf.DUMMYFUNCTION("""COMPUTED_VALUE"""),"")</f>
        <v/>
      </c>
      <c r="AD17" s="78" t="str">
        <f>IFERROR(__xludf.DUMMYFUNCTION("""COMPUTED_VALUE"""),"")</f>
        <v/>
      </c>
      <c r="AE17" s="78" t="str">
        <f>IFERROR(__xludf.DUMMYFUNCTION("""COMPUTED_VALUE"""),"")</f>
        <v/>
      </c>
      <c r="AF17" s="78" t="str">
        <f>IFERROR(__xludf.DUMMYFUNCTION("""COMPUTED_VALUE"""),"")</f>
        <v/>
      </c>
      <c r="AG17" s="78" t="str">
        <f>IFERROR(__xludf.DUMMYFUNCTION("""COMPUTED_VALUE"""),"")</f>
        <v/>
      </c>
      <c r="AH17" s="78" t="str">
        <f>IFERROR(__xludf.DUMMYFUNCTION("""COMPUTED_VALUE"""),"")</f>
        <v/>
      </c>
      <c r="AI17" s="78" t="str">
        <f>IFERROR(__xludf.DUMMYFUNCTION("""COMPUTED_VALUE"""),"")</f>
        <v/>
      </c>
      <c r="AJ17" s="78" t="str">
        <f>IFERROR(__xludf.DUMMYFUNCTION("""COMPUTED_VALUE"""),"")</f>
        <v/>
      </c>
      <c r="AK17" s="78">
        <f>IFERROR(__xludf.DUMMYFUNCTION("""COMPUTED_VALUE"""),0.0)</f>
        <v>0</v>
      </c>
      <c r="AL17" s="78"/>
      <c r="AM17" s="78"/>
      <c r="AN17" s="78"/>
      <c r="AO17" s="78"/>
      <c r="AP17" s="78"/>
      <c r="AQ17" s="78"/>
      <c r="AR17" s="78"/>
      <c r="AS17" s="78"/>
    </row>
    <row r="18" ht="49.5" customHeight="1">
      <c r="A18" s="77" t="str">
        <f>IFERROR(__xludf.DUMMYFUNCTION("""COMPUTED_VALUE"""),"")</f>
        <v/>
      </c>
      <c r="B18" s="78" t="str">
        <f>IFERROR(__xludf.DUMMYFUNCTION("""COMPUTED_VALUE"""),"蘑菇孢子沙拉")</f>
        <v>蘑菇孢子沙拉</v>
      </c>
      <c r="C18" s="78" t="str">
        <f>IFERROR(__xludf.DUMMYFUNCTION("""COMPUTED_VALUE"""),"sporemushroomsalad")</f>
        <v>sporemushroomsalad</v>
      </c>
      <c r="D18" s="78">
        <f>IFERROR(__xludf.DUMMYFUNCTION("""COMPUTED_VALUE"""),33.0)</f>
        <v>33</v>
      </c>
      <c r="E18" s="78" t="str">
        <f>IFERROR(__xludf.DUMMYFUNCTION("""COMPUTED_VALUE"""),"沙拉")</f>
        <v>沙拉</v>
      </c>
      <c r="F18" s="82">
        <f>IFERROR(__xludf.DUMMYFUNCTION("""COMPUTED_VALUE"""),0.25)</f>
        <v>0.25</v>
      </c>
      <c r="G18" s="83">
        <f>IFERROR(__xludf.DUMMYFUNCTION("""COMPUTED_VALUE"""),4687.0)</f>
        <v>4687</v>
      </c>
      <c r="H18" s="83">
        <f>IFERROR(__xludf.DUMMYFUNCTION("""COMPUTED_VALUE"""),5859.0)</f>
        <v>5859</v>
      </c>
      <c r="I18" s="78" t="str">
        <f>IFERROR(__xludf.DUMMYFUNCTION("""COMPUTED_VALUE"""),"品鮮蘑菇,17,好眠番茄,8,純粹油,8")</f>
        <v>品鮮蘑菇,17,好眠番茄,8,純粹油,8</v>
      </c>
      <c r="J18" s="78" t="str">
        <f>IFERROR(__xludf.DUMMYFUNCTION("""COMPUTED_VALUE"""),"品鮮蘑菇")</f>
        <v>品鮮蘑菇</v>
      </c>
      <c r="K18" s="78">
        <f>IFERROR(__xludf.DUMMYFUNCTION("""COMPUTED_VALUE"""),17.0)</f>
        <v>17</v>
      </c>
      <c r="L18" s="78" t="str">
        <f>IFERROR(__xludf.DUMMYFUNCTION("""COMPUTED_VALUE"""),"好眠番茄")</f>
        <v>好眠番茄</v>
      </c>
      <c r="M18" s="78">
        <f>IFERROR(__xludf.DUMMYFUNCTION("""COMPUTED_VALUE"""),8.0)</f>
        <v>8</v>
      </c>
      <c r="N18" s="78" t="str">
        <f>IFERROR(__xludf.DUMMYFUNCTION("""COMPUTED_VALUE"""),"純粹油")</f>
        <v>純粹油</v>
      </c>
      <c r="O18" s="78">
        <f>IFERROR(__xludf.DUMMYFUNCTION("""COMPUTED_VALUE"""),8.0)</f>
        <v>8</v>
      </c>
      <c r="P18" s="78"/>
      <c r="Q18" s="78"/>
      <c r="R18" s="78" t="str">
        <f>IFERROR(__xludf.DUMMYFUNCTION("""COMPUTED_VALUE"""),"")</f>
        <v/>
      </c>
      <c r="S18" s="78" t="str">
        <f>IFERROR(__xludf.DUMMYFUNCTION("""COMPUTED_VALUE"""),"")</f>
        <v/>
      </c>
      <c r="T18" s="78" t="str">
        <f>IFERROR(__xludf.DUMMYFUNCTION("""COMPUTED_VALUE"""),"")</f>
        <v/>
      </c>
      <c r="U18" s="78" t="str">
        <f>IFERROR(__xludf.DUMMYFUNCTION("""COMPUTED_VALUE"""),"")</f>
        <v/>
      </c>
      <c r="V18" s="78" t="str">
        <f>IFERROR(__xludf.DUMMYFUNCTION("""COMPUTED_VALUE"""),"")</f>
        <v/>
      </c>
      <c r="W18" s="78" t="str">
        <f>IFERROR(__xludf.DUMMYFUNCTION("""COMPUTED_VALUE"""),"")</f>
        <v/>
      </c>
      <c r="X18" s="78">
        <f>IFERROR(__xludf.DUMMYFUNCTION("""COMPUTED_VALUE"""),8.0)</f>
        <v>8</v>
      </c>
      <c r="Y18" s="78" t="str">
        <f>IFERROR(__xludf.DUMMYFUNCTION("""COMPUTED_VALUE"""),"")</f>
        <v/>
      </c>
      <c r="Z18" s="78">
        <f>IFERROR(__xludf.DUMMYFUNCTION("""COMPUTED_VALUE"""),8.0)</f>
        <v>8</v>
      </c>
      <c r="AA18" s="78" t="str">
        <f>IFERROR(__xludf.DUMMYFUNCTION("""COMPUTED_VALUE"""),"")</f>
        <v/>
      </c>
      <c r="AB18" s="78" t="str">
        <f>IFERROR(__xludf.DUMMYFUNCTION("""COMPUTED_VALUE"""),"")</f>
        <v/>
      </c>
      <c r="AC18" s="78" t="str">
        <f>IFERROR(__xludf.DUMMYFUNCTION("""COMPUTED_VALUE"""),"")</f>
        <v/>
      </c>
      <c r="AD18" s="78" t="str">
        <f>IFERROR(__xludf.DUMMYFUNCTION("""COMPUTED_VALUE"""),"")</f>
        <v/>
      </c>
      <c r="AE18" s="78" t="str">
        <f>IFERROR(__xludf.DUMMYFUNCTION("""COMPUTED_VALUE"""),"")</f>
        <v/>
      </c>
      <c r="AF18" s="78" t="str">
        <f>IFERROR(__xludf.DUMMYFUNCTION("""COMPUTED_VALUE"""),"")</f>
        <v/>
      </c>
      <c r="AG18" s="78">
        <f>IFERROR(__xludf.DUMMYFUNCTION("""COMPUTED_VALUE"""),17.0)</f>
        <v>17</v>
      </c>
      <c r="AH18" s="78" t="str">
        <f>IFERROR(__xludf.DUMMYFUNCTION("""COMPUTED_VALUE"""),"")</f>
        <v/>
      </c>
      <c r="AI18" s="78" t="str">
        <f>IFERROR(__xludf.DUMMYFUNCTION("""COMPUTED_VALUE"""),"")</f>
        <v/>
      </c>
      <c r="AJ18" s="78" t="str">
        <f>IFERROR(__xludf.DUMMYFUNCTION("""COMPUTED_VALUE"""),"")</f>
        <v/>
      </c>
      <c r="AK18" s="78">
        <f>IFERROR(__xludf.DUMMYFUNCTION("""COMPUTED_VALUE"""),0.0)</f>
        <v>0</v>
      </c>
      <c r="AL18" s="78"/>
      <c r="AM18" s="78"/>
      <c r="AN18" s="78"/>
      <c r="AO18" s="78"/>
      <c r="AP18" s="78"/>
      <c r="AQ18" s="78"/>
      <c r="AR18" s="78"/>
      <c r="AS18" s="78"/>
    </row>
    <row r="19" ht="49.5" customHeight="1">
      <c r="A19" s="77" t="str">
        <f>IFERROR(__xludf.DUMMYFUNCTION("""COMPUTED_VALUE"""),"")</f>
        <v/>
      </c>
      <c r="B19" s="78" t="str">
        <f>IFERROR(__xludf.DUMMYFUNCTION("""COMPUTED_VALUE"""),"碎裂酪梨沙拉")</f>
        <v>碎裂酪梨沙拉</v>
      </c>
      <c r="C19" s="78" t="str">
        <f>IFERROR(__xludf.DUMMYFUNCTION("""COMPUTED_VALUE"""),"lusciousavocadosalad")</f>
        <v>lusciousavocadosalad</v>
      </c>
      <c r="D19" s="78">
        <f>IFERROR(__xludf.DUMMYFUNCTION("""COMPUTED_VALUE"""),42.0)</f>
        <v>42</v>
      </c>
      <c r="E19" s="78" t="str">
        <f>IFERROR(__xludf.DUMMYFUNCTION("""COMPUTED_VALUE"""),"沙拉")</f>
        <v>沙拉</v>
      </c>
      <c r="F19" s="82">
        <f>IFERROR(__xludf.DUMMYFUNCTION("""COMPUTED_VALUE"""),0.35)</f>
        <v>0.35</v>
      </c>
      <c r="G19" s="83">
        <f>IFERROR(__xludf.DUMMYFUNCTION("""COMPUTED_VALUE"""),5278.0)</f>
        <v>5278</v>
      </c>
      <c r="H19" s="83">
        <f>IFERROR(__xludf.DUMMYFUNCTION("""COMPUTED_VALUE"""),7125.0)</f>
        <v>7125</v>
      </c>
      <c r="I19" s="78" t="str">
        <f>IFERROR(__xludf.DUMMYFUNCTION("""COMPUTED_VALUE"""),"嫩亮酪梨,14,萌綠大豆,18,純粹油,10")</f>
        <v>嫩亮酪梨,14,萌綠大豆,18,純粹油,10</v>
      </c>
      <c r="J19" s="78" t="str">
        <f>IFERROR(__xludf.DUMMYFUNCTION("""COMPUTED_VALUE"""),"嫩亮酪梨")</f>
        <v>嫩亮酪梨</v>
      </c>
      <c r="K19" s="78">
        <f>IFERROR(__xludf.DUMMYFUNCTION("""COMPUTED_VALUE"""),14.0)</f>
        <v>14</v>
      </c>
      <c r="L19" s="78" t="str">
        <f>IFERROR(__xludf.DUMMYFUNCTION("""COMPUTED_VALUE"""),"萌綠大豆")</f>
        <v>萌綠大豆</v>
      </c>
      <c r="M19" s="78">
        <f>IFERROR(__xludf.DUMMYFUNCTION("""COMPUTED_VALUE"""),18.0)</f>
        <v>18</v>
      </c>
      <c r="N19" s="78" t="str">
        <f>IFERROR(__xludf.DUMMYFUNCTION("""COMPUTED_VALUE"""),"純粹油")</f>
        <v>純粹油</v>
      </c>
      <c r="O19" s="78">
        <f>IFERROR(__xludf.DUMMYFUNCTION("""COMPUTED_VALUE"""),10.0)</f>
        <v>10</v>
      </c>
      <c r="P19" s="78"/>
      <c r="Q19" s="78"/>
      <c r="R19" s="78"/>
      <c r="S19" s="78"/>
      <c r="T19" s="78">
        <f>IFERROR(__xludf.DUMMYFUNCTION("""COMPUTED_VALUE"""),18.0)</f>
        <v>18</v>
      </c>
      <c r="U19" s="78"/>
      <c r="V19" s="78"/>
      <c r="W19" s="78"/>
      <c r="X19" s="78"/>
      <c r="Y19" s="78"/>
      <c r="Z19" s="78">
        <f>IFERROR(__xludf.DUMMYFUNCTION("""COMPUTED_VALUE"""),10.0)</f>
        <v>10</v>
      </c>
      <c r="AA19" s="78"/>
      <c r="AB19" s="78"/>
      <c r="AC19" s="78"/>
      <c r="AD19" s="78"/>
      <c r="AE19" s="78"/>
      <c r="AF19" s="78">
        <f>IFERROR(__xludf.DUMMYFUNCTION("""COMPUTED_VALUE"""),14.0)</f>
        <v>14</v>
      </c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</row>
    <row r="20" ht="49.5" customHeight="1">
      <c r="A20" s="77" t="str">
        <f>IFERROR(__xludf.DUMMYFUNCTION("""COMPUTED_VALUE"""),"")</f>
        <v/>
      </c>
      <c r="B20" s="78" t="str">
        <f>IFERROR(__xludf.DUMMYFUNCTION("""COMPUTED_VALUE"""),"冥想香甜沙拉")</f>
        <v>冥想香甜沙拉</v>
      </c>
      <c r="C20" s="78" t="str">
        <f>IFERROR(__xludf.DUMMYFUNCTION("""COMPUTED_VALUE"""),"calmmindfruitsalad")</f>
        <v>calmmindfruitsalad</v>
      </c>
      <c r="D20" s="78">
        <f>IFERROR(__xludf.DUMMYFUNCTION("""COMPUTED_VALUE"""),49.0)</f>
        <v>49</v>
      </c>
      <c r="E20" s="78" t="str">
        <f>IFERROR(__xludf.DUMMYFUNCTION("""COMPUTED_VALUE"""),"沙拉")</f>
        <v>沙拉</v>
      </c>
      <c r="F20" s="82">
        <f>IFERROR(__xludf.DUMMYFUNCTION("""COMPUTED_VALUE"""),0.48)</f>
        <v>0.48</v>
      </c>
      <c r="G20" s="83">
        <f>IFERROR(__xludf.DUMMYFUNCTION("""COMPUTED_VALUE"""),5186.0)</f>
        <v>5186</v>
      </c>
      <c r="H20" s="83">
        <f>IFERROR(__xludf.DUMMYFUNCTION("""COMPUTED_VALUE"""),7675.0)</f>
        <v>7675</v>
      </c>
      <c r="I20" s="78" t="str">
        <f>IFERROR(__xludf.DUMMYFUNCTION("""COMPUTED_VALUE"""),"特選蘋果,21,甜甜蜜,16,萌綠玉米,12")</f>
        <v>特選蘋果,21,甜甜蜜,16,萌綠玉米,12</v>
      </c>
      <c r="J20" s="78" t="str">
        <f>IFERROR(__xludf.DUMMYFUNCTION("""COMPUTED_VALUE"""),"特選蘋果")</f>
        <v>特選蘋果</v>
      </c>
      <c r="K20" s="78">
        <f>IFERROR(__xludf.DUMMYFUNCTION("""COMPUTED_VALUE"""),21.0)</f>
        <v>21</v>
      </c>
      <c r="L20" s="78" t="str">
        <f>IFERROR(__xludf.DUMMYFUNCTION("""COMPUTED_VALUE"""),"甜甜蜜")</f>
        <v>甜甜蜜</v>
      </c>
      <c r="M20" s="78">
        <f>IFERROR(__xludf.DUMMYFUNCTION("""COMPUTED_VALUE"""),16.0)</f>
        <v>16</v>
      </c>
      <c r="N20" s="78" t="str">
        <f>IFERROR(__xludf.DUMMYFUNCTION("""COMPUTED_VALUE"""),"萌綠玉米")</f>
        <v>萌綠玉米</v>
      </c>
      <c r="O20" s="78">
        <f>IFERROR(__xludf.DUMMYFUNCTION("""COMPUTED_VALUE"""),12.0)</f>
        <v>12</v>
      </c>
      <c r="P20" s="78"/>
      <c r="Q20" s="78"/>
      <c r="R20" s="78">
        <f>IFERROR(__xludf.DUMMYFUNCTION("""COMPUTED_VALUE"""),21.0)</f>
        <v>21</v>
      </c>
      <c r="S20" s="78" t="str">
        <f>IFERROR(__xludf.DUMMYFUNCTION("""COMPUTED_VALUE"""),"")</f>
        <v/>
      </c>
      <c r="T20" s="78" t="str">
        <f>IFERROR(__xludf.DUMMYFUNCTION("""COMPUTED_VALUE"""),"")</f>
        <v/>
      </c>
      <c r="U20" s="78">
        <f>IFERROR(__xludf.DUMMYFUNCTION("""COMPUTED_VALUE"""),16.0)</f>
        <v>16</v>
      </c>
      <c r="V20" s="78" t="str">
        <f>IFERROR(__xludf.DUMMYFUNCTION("""COMPUTED_VALUE"""),"")</f>
        <v/>
      </c>
      <c r="W20" s="78" t="str">
        <f>IFERROR(__xludf.DUMMYFUNCTION("""COMPUTED_VALUE"""),"")</f>
        <v/>
      </c>
      <c r="X20" s="78" t="str">
        <f>IFERROR(__xludf.DUMMYFUNCTION("""COMPUTED_VALUE"""),"")</f>
        <v/>
      </c>
      <c r="Y20" s="78" t="str">
        <f>IFERROR(__xludf.DUMMYFUNCTION("""COMPUTED_VALUE"""),"")</f>
        <v/>
      </c>
      <c r="Z20" s="78" t="str">
        <f>IFERROR(__xludf.DUMMYFUNCTION("""COMPUTED_VALUE"""),"")</f>
        <v/>
      </c>
      <c r="AA20" s="78" t="str">
        <f>IFERROR(__xludf.DUMMYFUNCTION("""COMPUTED_VALUE"""),"")</f>
        <v/>
      </c>
      <c r="AB20" s="78" t="str">
        <f>IFERROR(__xludf.DUMMYFUNCTION("""COMPUTED_VALUE"""),"")</f>
        <v/>
      </c>
      <c r="AC20" s="78">
        <f>IFERROR(__xludf.DUMMYFUNCTION("""COMPUTED_VALUE"""),12.0)</f>
        <v>12</v>
      </c>
      <c r="AD20" s="78" t="str">
        <f>IFERROR(__xludf.DUMMYFUNCTION("""COMPUTED_VALUE"""),"")</f>
        <v/>
      </c>
      <c r="AE20" s="78" t="str">
        <f>IFERROR(__xludf.DUMMYFUNCTION("""COMPUTED_VALUE"""),"")</f>
        <v/>
      </c>
      <c r="AF20" s="78" t="str">
        <f>IFERROR(__xludf.DUMMYFUNCTION("""COMPUTED_VALUE"""),"")</f>
        <v/>
      </c>
      <c r="AG20" s="78" t="str">
        <f>IFERROR(__xludf.DUMMYFUNCTION("""COMPUTED_VALUE"""),"")</f>
        <v/>
      </c>
      <c r="AH20" s="78" t="str">
        <f>IFERROR(__xludf.DUMMYFUNCTION("""COMPUTED_VALUE"""),"")</f>
        <v/>
      </c>
      <c r="AI20" s="78" t="str">
        <f>IFERROR(__xludf.DUMMYFUNCTION("""COMPUTED_VALUE"""),"")</f>
        <v/>
      </c>
      <c r="AJ20" s="78" t="str">
        <f>IFERROR(__xludf.DUMMYFUNCTION("""COMPUTED_VALUE"""),"")</f>
        <v/>
      </c>
      <c r="AK20" s="78">
        <f>IFERROR(__xludf.DUMMYFUNCTION("""COMPUTED_VALUE"""),0.0)</f>
        <v>0</v>
      </c>
      <c r="AL20" s="78"/>
      <c r="AM20" s="78"/>
      <c r="AN20" s="78"/>
      <c r="AO20" s="78"/>
      <c r="AP20" s="78"/>
      <c r="AQ20" s="78"/>
      <c r="AR20" s="78"/>
      <c r="AS20" s="78"/>
    </row>
    <row r="21" ht="49.5" customHeight="1">
      <c r="A21" s="77" t="str">
        <f>IFERROR(__xludf.DUMMYFUNCTION("""COMPUTED_VALUE"""),"")</f>
        <v/>
      </c>
      <c r="B21" s="78" t="str">
        <f>IFERROR(__xludf.DUMMYFUNCTION("""COMPUTED_VALUE"""),"呆呆獸尾巴的胡椒沙拉")</f>
        <v>呆呆獸尾巴的胡椒沙拉</v>
      </c>
      <c r="C21" s="78" t="str">
        <f>IFERROR(__xludf.DUMMYFUNCTION("""COMPUTED_VALUE"""),"slowpoketailpeppersalad")</f>
        <v>slowpoketailpeppersalad</v>
      </c>
      <c r="D21" s="78">
        <f>IFERROR(__xludf.DUMMYFUNCTION("""COMPUTED_VALUE"""),35.0)</f>
        <v>35</v>
      </c>
      <c r="E21" s="78" t="str">
        <f>IFERROR(__xludf.DUMMYFUNCTION("""COMPUTED_VALUE"""),"沙拉")</f>
        <v>沙拉</v>
      </c>
      <c r="F21" s="82">
        <f>IFERROR(__xludf.DUMMYFUNCTION("""COMPUTED_VALUE"""),0.25)</f>
        <v>0.25</v>
      </c>
      <c r="G21" s="83">
        <f>IFERROR(__xludf.DUMMYFUNCTION("""COMPUTED_VALUE"""),6535.0)</f>
        <v>6535</v>
      </c>
      <c r="H21" s="83">
        <f>IFERROR(__xludf.DUMMYFUNCTION("""COMPUTED_VALUE"""),8169.0)</f>
        <v>8169</v>
      </c>
      <c r="I21" s="78" t="str">
        <f>IFERROR(__xludf.DUMMYFUNCTION("""COMPUTED_VALUE"""),"純粹油,15,火辣香草,10,美味尾巴,10")</f>
        <v>純粹油,15,火辣香草,10,美味尾巴,10</v>
      </c>
      <c r="J21" s="78" t="str">
        <f>IFERROR(__xludf.DUMMYFUNCTION("""COMPUTED_VALUE"""),"純粹油")</f>
        <v>純粹油</v>
      </c>
      <c r="K21" s="78">
        <f>IFERROR(__xludf.DUMMYFUNCTION("""COMPUTED_VALUE"""),15.0)</f>
        <v>15</v>
      </c>
      <c r="L21" s="78" t="str">
        <f>IFERROR(__xludf.DUMMYFUNCTION("""COMPUTED_VALUE"""),"火辣香草")</f>
        <v>火辣香草</v>
      </c>
      <c r="M21" s="78">
        <f>IFERROR(__xludf.DUMMYFUNCTION("""COMPUTED_VALUE"""),10.0)</f>
        <v>10</v>
      </c>
      <c r="N21" s="78" t="str">
        <f>IFERROR(__xludf.DUMMYFUNCTION("""COMPUTED_VALUE"""),"美味尾巴")</f>
        <v>美味尾巴</v>
      </c>
      <c r="O21" s="78">
        <f>IFERROR(__xludf.DUMMYFUNCTION("""COMPUTED_VALUE"""),10.0)</f>
        <v>10</v>
      </c>
      <c r="P21" s="78"/>
      <c r="Q21" s="78"/>
      <c r="R21" s="78" t="str">
        <f>IFERROR(__xludf.DUMMYFUNCTION("""COMPUTED_VALUE"""),"")</f>
        <v/>
      </c>
      <c r="S21" s="78" t="str">
        <f>IFERROR(__xludf.DUMMYFUNCTION("""COMPUTED_VALUE"""),"")</f>
        <v/>
      </c>
      <c r="T21" s="78" t="str">
        <f>IFERROR(__xludf.DUMMYFUNCTION("""COMPUTED_VALUE"""),"")</f>
        <v/>
      </c>
      <c r="U21" s="78" t="str">
        <f>IFERROR(__xludf.DUMMYFUNCTION("""COMPUTED_VALUE"""),"")</f>
        <v/>
      </c>
      <c r="V21" s="78" t="str">
        <f>IFERROR(__xludf.DUMMYFUNCTION("""COMPUTED_VALUE"""),"")</f>
        <v/>
      </c>
      <c r="W21" s="78" t="str">
        <f>IFERROR(__xludf.DUMMYFUNCTION("""COMPUTED_VALUE"""),"")</f>
        <v/>
      </c>
      <c r="X21" s="78" t="str">
        <f>IFERROR(__xludf.DUMMYFUNCTION("""COMPUTED_VALUE"""),"")</f>
        <v/>
      </c>
      <c r="Y21" s="78" t="str">
        <f>IFERROR(__xludf.DUMMYFUNCTION("""COMPUTED_VALUE"""),"")</f>
        <v/>
      </c>
      <c r="Z21" s="78">
        <f>IFERROR(__xludf.DUMMYFUNCTION("""COMPUTED_VALUE"""),15.0)</f>
        <v>15</v>
      </c>
      <c r="AA21" s="78" t="str">
        <f>IFERROR(__xludf.DUMMYFUNCTION("""COMPUTED_VALUE"""),"")</f>
        <v/>
      </c>
      <c r="AB21" s="78">
        <f>IFERROR(__xludf.DUMMYFUNCTION("""COMPUTED_VALUE"""),10.0)</f>
        <v>10</v>
      </c>
      <c r="AC21" s="78" t="str">
        <f>IFERROR(__xludf.DUMMYFUNCTION("""COMPUTED_VALUE"""),"")</f>
        <v/>
      </c>
      <c r="AD21" s="78" t="str">
        <f>IFERROR(__xludf.DUMMYFUNCTION("""COMPUTED_VALUE"""),"")</f>
        <v/>
      </c>
      <c r="AE21" s="78" t="str">
        <f>IFERROR(__xludf.DUMMYFUNCTION("""COMPUTED_VALUE"""),"")</f>
        <v/>
      </c>
      <c r="AF21" s="78" t="str">
        <f>IFERROR(__xludf.DUMMYFUNCTION("""COMPUTED_VALUE"""),"")</f>
        <v/>
      </c>
      <c r="AG21" s="78" t="str">
        <f>IFERROR(__xludf.DUMMYFUNCTION("""COMPUTED_VALUE"""),"")</f>
        <v/>
      </c>
      <c r="AH21" s="78" t="str">
        <f>IFERROR(__xludf.DUMMYFUNCTION("""COMPUTED_VALUE"""),"")</f>
        <v/>
      </c>
      <c r="AI21" s="78" t="str">
        <f>IFERROR(__xludf.DUMMYFUNCTION("""COMPUTED_VALUE"""),"")</f>
        <v/>
      </c>
      <c r="AJ21" s="78">
        <f>IFERROR(__xludf.DUMMYFUNCTION("""COMPUTED_VALUE"""),10.0)</f>
        <v>10</v>
      </c>
      <c r="AK21" s="78">
        <f>IFERROR(__xludf.DUMMYFUNCTION("""COMPUTED_VALUE"""),0.0)</f>
        <v>0</v>
      </c>
      <c r="AL21" s="78"/>
      <c r="AM21" s="78"/>
      <c r="AN21" s="78"/>
      <c r="AO21" s="78"/>
      <c r="AP21" s="78"/>
      <c r="AQ21" s="78"/>
      <c r="AR21" s="78"/>
      <c r="AS21" s="78"/>
    </row>
    <row r="22" ht="49.5" customHeight="1">
      <c r="A22" s="77" t="str">
        <f>IFERROR(__xludf.DUMMYFUNCTION("""COMPUTED_VALUE"""),"")</f>
        <v/>
      </c>
      <c r="B22" s="78" t="str">
        <f>IFERROR(__xludf.DUMMYFUNCTION("""COMPUTED_VALUE"""),"十字切碎丁沙拉")</f>
        <v>十字切碎丁沙拉</v>
      </c>
      <c r="C22" s="78" t="str">
        <f>IFERROR(__xludf.DUMMYFUNCTION("""COMPUTED_VALUE"""),"crosschopsalad")</f>
        <v>crosschopsalad</v>
      </c>
      <c r="D22" s="78">
        <f>IFERROR(__xludf.DUMMYFUNCTION("""COMPUTED_VALUE"""),56.0)</f>
        <v>56</v>
      </c>
      <c r="E22" s="78" t="str">
        <f>IFERROR(__xludf.DUMMYFUNCTION("""COMPUTED_VALUE"""),"沙拉")</f>
        <v>沙拉</v>
      </c>
      <c r="F22" s="82">
        <f>IFERROR(__xludf.DUMMYFUNCTION("""COMPUTED_VALUE"""),0.35)</f>
        <v>0.35</v>
      </c>
      <c r="G22" s="83">
        <f>IFERROR(__xludf.DUMMYFUNCTION("""COMPUTED_VALUE"""),6485.0)</f>
        <v>6485</v>
      </c>
      <c r="H22" s="83">
        <f>IFERROR(__xludf.DUMMYFUNCTION("""COMPUTED_VALUE"""),8755.0)</f>
        <v>8755</v>
      </c>
      <c r="I22" s="78" t="str">
        <f>IFERROR(__xludf.DUMMYFUNCTION("""COMPUTED_VALUE"""),"特選蛋,20,豆製肉,15,萌綠玉米,11,好眠番茄,10")</f>
        <v>特選蛋,20,豆製肉,15,萌綠玉米,11,好眠番茄,10</v>
      </c>
      <c r="J22" s="78" t="str">
        <f>IFERROR(__xludf.DUMMYFUNCTION("""COMPUTED_VALUE"""),"特選蛋")</f>
        <v>特選蛋</v>
      </c>
      <c r="K22" s="78">
        <f>IFERROR(__xludf.DUMMYFUNCTION("""COMPUTED_VALUE"""),20.0)</f>
        <v>20</v>
      </c>
      <c r="L22" s="78" t="str">
        <f>IFERROR(__xludf.DUMMYFUNCTION("""COMPUTED_VALUE"""),"豆製肉")</f>
        <v>豆製肉</v>
      </c>
      <c r="M22" s="78">
        <f>IFERROR(__xludf.DUMMYFUNCTION("""COMPUTED_VALUE"""),15.0)</f>
        <v>15</v>
      </c>
      <c r="N22" s="78" t="str">
        <f>IFERROR(__xludf.DUMMYFUNCTION("""COMPUTED_VALUE"""),"萌綠玉米")</f>
        <v>萌綠玉米</v>
      </c>
      <c r="O22" s="78">
        <f>IFERROR(__xludf.DUMMYFUNCTION("""COMPUTED_VALUE"""),11.0)</f>
        <v>11</v>
      </c>
      <c r="P22" s="78" t="str">
        <f>IFERROR(__xludf.DUMMYFUNCTION("""COMPUTED_VALUE"""),"好眠番茄")</f>
        <v>好眠番茄</v>
      </c>
      <c r="Q22" s="78">
        <f>IFERROR(__xludf.DUMMYFUNCTION("""COMPUTED_VALUE"""),10.0)</f>
        <v>10</v>
      </c>
      <c r="R22" s="78" t="str">
        <f>IFERROR(__xludf.DUMMYFUNCTION("""COMPUTED_VALUE"""),"")</f>
        <v/>
      </c>
      <c r="S22" s="78" t="str">
        <f>IFERROR(__xludf.DUMMYFUNCTION("""COMPUTED_VALUE"""),"")</f>
        <v/>
      </c>
      <c r="T22" s="78" t="str">
        <f>IFERROR(__xludf.DUMMYFUNCTION("""COMPUTED_VALUE"""),"")</f>
        <v/>
      </c>
      <c r="U22" s="78" t="str">
        <f>IFERROR(__xludf.DUMMYFUNCTION("""COMPUTED_VALUE"""),"")</f>
        <v/>
      </c>
      <c r="V22" s="78">
        <f>IFERROR(__xludf.DUMMYFUNCTION("""COMPUTED_VALUE"""),15.0)</f>
        <v>15</v>
      </c>
      <c r="W22" s="78" t="str">
        <f>IFERROR(__xludf.DUMMYFUNCTION("""COMPUTED_VALUE"""),"")</f>
        <v/>
      </c>
      <c r="X22" s="78">
        <f>IFERROR(__xludf.DUMMYFUNCTION("""COMPUTED_VALUE"""),10.0)</f>
        <v>10</v>
      </c>
      <c r="Y22" s="78">
        <f>IFERROR(__xludf.DUMMYFUNCTION("""COMPUTED_VALUE"""),20.0)</f>
        <v>20</v>
      </c>
      <c r="Z22" s="78" t="str">
        <f>IFERROR(__xludf.DUMMYFUNCTION("""COMPUTED_VALUE"""),"")</f>
        <v/>
      </c>
      <c r="AA22" s="78" t="str">
        <f>IFERROR(__xludf.DUMMYFUNCTION("""COMPUTED_VALUE"""),"")</f>
        <v/>
      </c>
      <c r="AB22" s="78" t="str">
        <f>IFERROR(__xludf.DUMMYFUNCTION("""COMPUTED_VALUE"""),"")</f>
        <v/>
      </c>
      <c r="AC22" s="78">
        <f>IFERROR(__xludf.DUMMYFUNCTION("""COMPUTED_VALUE"""),11.0)</f>
        <v>11</v>
      </c>
      <c r="AD22" s="78" t="str">
        <f>IFERROR(__xludf.DUMMYFUNCTION("""COMPUTED_VALUE"""),"")</f>
        <v/>
      </c>
      <c r="AE22" s="78" t="str">
        <f>IFERROR(__xludf.DUMMYFUNCTION("""COMPUTED_VALUE"""),"")</f>
        <v/>
      </c>
      <c r="AF22" s="78" t="str">
        <f>IFERROR(__xludf.DUMMYFUNCTION("""COMPUTED_VALUE"""),"")</f>
        <v/>
      </c>
      <c r="AG22" s="78" t="str">
        <f>IFERROR(__xludf.DUMMYFUNCTION("""COMPUTED_VALUE"""),"")</f>
        <v/>
      </c>
      <c r="AH22" s="78" t="str">
        <f>IFERROR(__xludf.DUMMYFUNCTION("""COMPUTED_VALUE"""),"")</f>
        <v/>
      </c>
      <c r="AI22" s="78" t="str">
        <f>IFERROR(__xludf.DUMMYFUNCTION("""COMPUTED_VALUE"""),"")</f>
        <v/>
      </c>
      <c r="AJ22" s="78" t="str">
        <f>IFERROR(__xludf.DUMMYFUNCTION("""COMPUTED_VALUE"""),"")</f>
        <v/>
      </c>
      <c r="AK22" s="78" t="str">
        <f>IFERROR(__xludf.DUMMYFUNCTION("""COMPUTED_VALUE"""),"")</f>
        <v/>
      </c>
      <c r="AL22" s="78"/>
      <c r="AM22" s="78"/>
      <c r="AN22" s="78"/>
      <c r="AO22" s="78"/>
      <c r="AP22" s="78"/>
      <c r="AQ22" s="78"/>
      <c r="AR22" s="78"/>
      <c r="AS22" s="78"/>
    </row>
    <row r="23" ht="49.5" customHeight="1">
      <c r="A23" s="77" t="str">
        <f>IFERROR(__xludf.DUMMYFUNCTION("""COMPUTED_VALUE"""),"")</f>
        <v/>
      </c>
      <c r="B23" s="78" t="str">
        <f>IFERROR(__xludf.DUMMYFUNCTION("""COMPUTED_VALUE"""),"萌綠沙拉")</f>
        <v>萌綠沙拉</v>
      </c>
      <c r="C23" s="78" t="str">
        <f>IFERROR(__xludf.DUMMYFUNCTION("""COMPUTED_VALUE"""),"greengrasssalad")</f>
        <v>greengrasssalad</v>
      </c>
      <c r="D23" s="78">
        <f>IFERROR(__xludf.DUMMYFUNCTION("""COMPUTED_VALUE"""),62.0)</f>
        <v>62</v>
      </c>
      <c r="E23" s="78" t="str">
        <f>IFERROR(__xludf.DUMMYFUNCTION("""COMPUTED_VALUE"""),"沙拉")</f>
        <v>沙拉</v>
      </c>
      <c r="F23" s="82">
        <f>IFERROR(__xludf.DUMMYFUNCTION("""COMPUTED_VALUE"""),0.48)</f>
        <v>0.48</v>
      </c>
      <c r="G23" s="83">
        <f>IFERROR(__xludf.DUMMYFUNCTION("""COMPUTED_VALUE"""),7698.0)</f>
        <v>7698</v>
      </c>
      <c r="H23" s="83">
        <f>IFERROR(__xludf.DUMMYFUNCTION("""COMPUTED_VALUE"""),11393.0)</f>
        <v>11393</v>
      </c>
      <c r="I23" s="78" t="str">
        <f>IFERROR(__xludf.DUMMYFUNCTION("""COMPUTED_VALUE"""),"純粹油,22,萌綠玉米,17,好眠番茄,14,窩心洋芋,9")</f>
        <v>純粹油,22,萌綠玉米,17,好眠番茄,14,窩心洋芋,9</v>
      </c>
      <c r="J23" s="78" t="str">
        <f>IFERROR(__xludf.DUMMYFUNCTION("""COMPUTED_VALUE"""),"純粹油")</f>
        <v>純粹油</v>
      </c>
      <c r="K23" s="78">
        <f>IFERROR(__xludf.DUMMYFUNCTION("""COMPUTED_VALUE"""),22.0)</f>
        <v>22</v>
      </c>
      <c r="L23" s="78" t="str">
        <f>IFERROR(__xludf.DUMMYFUNCTION("""COMPUTED_VALUE"""),"萌綠玉米")</f>
        <v>萌綠玉米</v>
      </c>
      <c r="M23" s="78">
        <f>IFERROR(__xludf.DUMMYFUNCTION("""COMPUTED_VALUE"""),17.0)</f>
        <v>17</v>
      </c>
      <c r="N23" s="78" t="str">
        <f>IFERROR(__xludf.DUMMYFUNCTION("""COMPUTED_VALUE"""),"好眠番茄")</f>
        <v>好眠番茄</v>
      </c>
      <c r="O23" s="78">
        <f>IFERROR(__xludf.DUMMYFUNCTION("""COMPUTED_VALUE"""),14.0)</f>
        <v>14</v>
      </c>
      <c r="P23" s="78" t="str">
        <f>IFERROR(__xludf.DUMMYFUNCTION("""COMPUTED_VALUE"""),"窩心洋芋")</f>
        <v>窩心洋芋</v>
      </c>
      <c r="Q23" s="78">
        <f>IFERROR(__xludf.DUMMYFUNCTION("""COMPUTED_VALUE"""),9.0)</f>
        <v>9</v>
      </c>
      <c r="R23" s="78" t="str">
        <f>IFERROR(__xludf.DUMMYFUNCTION("""COMPUTED_VALUE"""),"")</f>
        <v/>
      </c>
      <c r="S23" s="78" t="str">
        <f>IFERROR(__xludf.DUMMYFUNCTION("""COMPUTED_VALUE"""),"")</f>
        <v/>
      </c>
      <c r="T23" s="78" t="str">
        <f>IFERROR(__xludf.DUMMYFUNCTION("""COMPUTED_VALUE"""),"")</f>
        <v/>
      </c>
      <c r="U23" s="78" t="str">
        <f>IFERROR(__xludf.DUMMYFUNCTION("""COMPUTED_VALUE"""),"")</f>
        <v/>
      </c>
      <c r="V23" s="78" t="str">
        <f>IFERROR(__xludf.DUMMYFUNCTION("""COMPUTED_VALUE"""),"")</f>
        <v/>
      </c>
      <c r="W23" s="78" t="str">
        <f>IFERROR(__xludf.DUMMYFUNCTION("""COMPUTED_VALUE"""),"")</f>
        <v/>
      </c>
      <c r="X23" s="78">
        <f>IFERROR(__xludf.DUMMYFUNCTION("""COMPUTED_VALUE"""),14.0)</f>
        <v>14</v>
      </c>
      <c r="Y23" s="78" t="str">
        <f>IFERROR(__xludf.DUMMYFUNCTION("""COMPUTED_VALUE"""),"")</f>
        <v/>
      </c>
      <c r="Z23" s="78">
        <f>IFERROR(__xludf.DUMMYFUNCTION("""COMPUTED_VALUE"""),22.0)</f>
        <v>22</v>
      </c>
      <c r="AA23" s="78">
        <f>IFERROR(__xludf.DUMMYFUNCTION("""COMPUTED_VALUE"""),9.0)</f>
        <v>9</v>
      </c>
      <c r="AB23" s="78" t="str">
        <f>IFERROR(__xludf.DUMMYFUNCTION("""COMPUTED_VALUE"""),"")</f>
        <v/>
      </c>
      <c r="AC23" s="78">
        <f>IFERROR(__xludf.DUMMYFUNCTION("""COMPUTED_VALUE"""),17.0)</f>
        <v>17</v>
      </c>
      <c r="AD23" s="78" t="str">
        <f>IFERROR(__xludf.DUMMYFUNCTION("""COMPUTED_VALUE"""),"")</f>
        <v/>
      </c>
      <c r="AE23" s="78" t="str">
        <f>IFERROR(__xludf.DUMMYFUNCTION("""COMPUTED_VALUE"""),"")</f>
        <v/>
      </c>
      <c r="AF23" s="78" t="str">
        <f>IFERROR(__xludf.DUMMYFUNCTION("""COMPUTED_VALUE"""),"")</f>
        <v/>
      </c>
      <c r="AG23" s="78" t="str">
        <f>IFERROR(__xludf.DUMMYFUNCTION("""COMPUTED_VALUE"""),"")</f>
        <v/>
      </c>
      <c r="AH23" s="78" t="str">
        <f>IFERROR(__xludf.DUMMYFUNCTION("""COMPUTED_VALUE"""),"")</f>
        <v/>
      </c>
      <c r="AI23" s="78" t="str">
        <f>IFERROR(__xludf.DUMMYFUNCTION("""COMPUTED_VALUE"""),"")</f>
        <v/>
      </c>
      <c r="AJ23" s="78" t="str">
        <f>IFERROR(__xludf.DUMMYFUNCTION("""COMPUTED_VALUE"""),"")</f>
        <v/>
      </c>
      <c r="AK23" s="78" t="str">
        <f>IFERROR(__xludf.DUMMYFUNCTION("""COMPUTED_VALUE"""),"")</f>
        <v/>
      </c>
      <c r="AL23" s="78"/>
      <c r="AM23" s="78"/>
      <c r="AN23" s="78"/>
      <c r="AO23" s="78"/>
      <c r="AP23" s="78"/>
      <c r="AQ23" s="78"/>
      <c r="AR23" s="78"/>
      <c r="AS23" s="78"/>
    </row>
    <row r="24" ht="49.5" customHeight="1">
      <c r="A24" s="77" t="str">
        <f>IFERROR(__xludf.DUMMYFUNCTION("""COMPUTED_VALUE"""),"")</f>
        <v/>
      </c>
      <c r="B24" s="78" t="str">
        <f>IFERROR(__xludf.DUMMYFUNCTION("""COMPUTED_VALUE"""),"忍者沙拉")</f>
        <v>忍者沙拉</v>
      </c>
      <c r="C24" s="78" t="str">
        <f>IFERROR(__xludf.DUMMYFUNCTION("""COMPUTED_VALUE"""),"ninjasalad")</f>
        <v>ninjasalad</v>
      </c>
      <c r="D24" s="78">
        <f>IFERROR(__xludf.DUMMYFUNCTION("""COMPUTED_VALUE"""),57.0)</f>
        <v>57</v>
      </c>
      <c r="E24" s="78" t="str">
        <f>IFERROR(__xludf.DUMMYFUNCTION("""COMPUTED_VALUE"""),"沙拉")</f>
        <v>沙拉</v>
      </c>
      <c r="F24" s="82">
        <f>IFERROR(__xludf.DUMMYFUNCTION("""COMPUTED_VALUE"""),0.48)</f>
        <v>0.48</v>
      </c>
      <c r="G24" s="83">
        <f>IFERROR(__xludf.DUMMYFUNCTION("""COMPUTED_VALUE"""),7878.0)</f>
        <v>7878</v>
      </c>
      <c r="H24" s="83">
        <f>IFERROR(__xludf.DUMMYFUNCTION("""COMPUTED_VALUE"""),11659.0)</f>
        <v>11659</v>
      </c>
      <c r="I24" s="78" t="str">
        <f>IFERROR(__xludf.DUMMYFUNCTION("""COMPUTED_VALUE"""),"萌綠大豆,19,粗枝大蔥,15,品鮮蘑菇,12,暖暖薑,11")</f>
        <v>萌綠大豆,19,粗枝大蔥,15,品鮮蘑菇,12,暖暖薑,11</v>
      </c>
      <c r="J24" s="78" t="str">
        <f>IFERROR(__xludf.DUMMYFUNCTION("""COMPUTED_VALUE"""),"萌綠大豆")</f>
        <v>萌綠大豆</v>
      </c>
      <c r="K24" s="78">
        <f>IFERROR(__xludf.DUMMYFUNCTION("""COMPUTED_VALUE"""),19.0)</f>
        <v>19</v>
      </c>
      <c r="L24" s="78" t="str">
        <f>IFERROR(__xludf.DUMMYFUNCTION("""COMPUTED_VALUE"""),"粗枝大蔥")</f>
        <v>粗枝大蔥</v>
      </c>
      <c r="M24" s="78">
        <f>IFERROR(__xludf.DUMMYFUNCTION("""COMPUTED_VALUE"""),15.0)</f>
        <v>15</v>
      </c>
      <c r="N24" s="78" t="str">
        <f>IFERROR(__xludf.DUMMYFUNCTION("""COMPUTED_VALUE"""),"品鮮蘑菇")</f>
        <v>品鮮蘑菇</v>
      </c>
      <c r="O24" s="78">
        <f>IFERROR(__xludf.DUMMYFUNCTION("""COMPUTED_VALUE"""),12.0)</f>
        <v>12</v>
      </c>
      <c r="P24" s="78" t="str">
        <f>IFERROR(__xludf.DUMMYFUNCTION("""COMPUTED_VALUE"""),"暖暖薑")</f>
        <v>暖暖薑</v>
      </c>
      <c r="Q24" s="78">
        <f>IFERROR(__xludf.DUMMYFUNCTION("""COMPUTED_VALUE"""),11.0)</f>
        <v>11</v>
      </c>
      <c r="R24" s="78" t="str">
        <f>IFERROR(__xludf.DUMMYFUNCTION("""COMPUTED_VALUE"""),"")</f>
        <v/>
      </c>
      <c r="S24" s="78" t="str">
        <f>IFERROR(__xludf.DUMMYFUNCTION("""COMPUTED_VALUE"""),"")</f>
        <v/>
      </c>
      <c r="T24" s="78">
        <f>IFERROR(__xludf.DUMMYFUNCTION("""COMPUTED_VALUE"""),19.0)</f>
        <v>19</v>
      </c>
      <c r="U24" s="78" t="str">
        <f>IFERROR(__xludf.DUMMYFUNCTION("""COMPUTED_VALUE"""),"")</f>
        <v/>
      </c>
      <c r="V24" s="78" t="str">
        <f>IFERROR(__xludf.DUMMYFUNCTION("""COMPUTED_VALUE"""),"")</f>
        <v/>
      </c>
      <c r="W24" s="78">
        <f>IFERROR(__xludf.DUMMYFUNCTION("""COMPUTED_VALUE"""),11.0)</f>
        <v>11</v>
      </c>
      <c r="X24" s="78" t="str">
        <f>IFERROR(__xludf.DUMMYFUNCTION("""COMPUTED_VALUE"""),"")</f>
        <v/>
      </c>
      <c r="Y24" s="78" t="str">
        <f>IFERROR(__xludf.DUMMYFUNCTION("""COMPUTED_VALUE"""),"")</f>
        <v/>
      </c>
      <c r="Z24" s="78" t="str">
        <f>IFERROR(__xludf.DUMMYFUNCTION("""COMPUTED_VALUE"""),"")</f>
        <v/>
      </c>
      <c r="AA24" s="78" t="str">
        <f>IFERROR(__xludf.DUMMYFUNCTION("""COMPUTED_VALUE"""),"")</f>
        <v/>
      </c>
      <c r="AB24" s="78" t="str">
        <f>IFERROR(__xludf.DUMMYFUNCTION("""COMPUTED_VALUE"""),"")</f>
        <v/>
      </c>
      <c r="AC24" s="78" t="str">
        <f>IFERROR(__xludf.DUMMYFUNCTION("""COMPUTED_VALUE"""),"")</f>
        <v/>
      </c>
      <c r="AD24" s="78" t="str">
        <f>IFERROR(__xludf.DUMMYFUNCTION("""COMPUTED_VALUE"""),"")</f>
        <v/>
      </c>
      <c r="AE24" s="78" t="str">
        <f>IFERROR(__xludf.DUMMYFUNCTION("""COMPUTED_VALUE"""),"")</f>
        <v/>
      </c>
      <c r="AF24" s="78" t="str">
        <f>IFERROR(__xludf.DUMMYFUNCTION("""COMPUTED_VALUE"""),"")</f>
        <v/>
      </c>
      <c r="AG24" s="78">
        <f>IFERROR(__xludf.DUMMYFUNCTION("""COMPUTED_VALUE"""),12.0)</f>
        <v>12</v>
      </c>
      <c r="AH24" s="78">
        <f>IFERROR(__xludf.DUMMYFUNCTION("""COMPUTED_VALUE"""),15.0)</f>
        <v>15</v>
      </c>
      <c r="AI24" s="78" t="str">
        <f>IFERROR(__xludf.DUMMYFUNCTION("""COMPUTED_VALUE"""),"")</f>
        <v/>
      </c>
      <c r="AJ24" s="78" t="str">
        <f>IFERROR(__xludf.DUMMYFUNCTION("""COMPUTED_VALUE"""),"")</f>
        <v/>
      </c>
      <c r="AK24" s="78" t="str">
        <f>IFERROR(__xludf.DUMMYFUNCTION("""COMPUTED_VALUE"""),"")</f>
        <v/>
      </c>
      <c r="AL24" s="78"/>
      <c r="AM24" s="78"/>
      <c r="AN24" s="78"/>
      <c r="AO24" s="78"/>
      <c r="AP24" s="78"/>
      <c r="AQ24" s="78"/>
      <c r="AR24" s="78"/>
      <c r="AS24" s="78"/>
    </row>
    <row r="25" ht="49.5" customHeight="1">
      <c r="A25" s="77" t="str">
        <f>IFERROR(__xludf.DUMMYFUNCTION("""COMPUTED_VALUE"""),"")</f>
        <v/>
      </c>
      <c r="B25" s="78" t="str">
        <f>IFERROR(__xludf.DUMMYFUNCTION("""COMPUTED_VALUE"""),"落英繽紛含羞草蛋沙拉")</f>
        <v>落英繽紛含羞草蛋沙拉</v>
      </c>
      <c r="C25" s="78" t="str">
        <f>IFERROR(__xludf.DUMMYFUNCTION("""COMPUTED_VALUE"""),"petalblizzardlayeredsalad")</f>
        <v>petalblizzardlayeredsalad</v>
      </c>
      <c r="D25" s="78">
        <f>IFERROR(__xludf.DUMMYFUNCTION("""COMPUTED_VALUE"""),69.0)</f>
        <v>69</v>
      </c>
      <c r="E25" s="78" t="str">
        <f>IFERROR(__xludf.DUMMYFUNCTION("""COMPUTED_VALUE"""),"沙拉")</f>
        <v>沙拉</v>
      </c>
      <c r="F25" s="82">
        <f>IFERROR(__xludf.DUMMYFUNCTION("""COMPUTED_VALUE"""),0.48)</f>
        <v>0.48</v>
      </c>
      <c r="G25" s="83">
        <f>IFERROR(__xludf.DUMMYFUNCTION("""COMPUTED_VALUE"""),8028.0)</f>
        <v>8028</v>
      </c>
      <c r="H25" s="83">
        <f>IFERROR(__xludf.DUMMYFUNCTION("""COMPUTED_VALUE"""),11881.0)</f>
        <v>11881</v>
      </c>
      <c r="I25" s="78" t="str">
        <f>IFERROR(__xludf.DUMMYFUNCTION("""COMPUTED_VALUE"""),"特選蛋,25,純粹油,17,窩心洋芋,15,豆製肉,12")</f>
        <v>特選蛋,25,純粹油,17,窩心洋芋,15,豆製肉,12</v>
      </c>
      <c r="J25" s="78" t="str">
        <f>IFERROR(__xludf.DUMMYFUNCTION("""COMPUTED_VALUE"""),"特選蛋")</f>
        <v>特選蛋</v>
      </c>
      <c r="K25" s="78">
        <f>IFERROR(__xludf.DUMMYFUNCTION("""COMPUTED_VALUE"""),25.0)</f>
        <v>25</v>
      </c>
      <c r="L25" s="78" t="str">
        <f>IFERROR(__xludf.DUMMYFUNCTION("""COMPUTED_VALUE"""),"純粹油")</f>
        <v>純粹油</v>
      </c>
      <c r="M25" s="78">
        <f>IFERROR(__xludf.DUMMYFUNCTION("""COMPUTED_VALUE"""),17.0)</f>
        <v>17</v>
      </c>
      <c r="N25" s="78" t="str">
        <f>IFERROR(__xludf.DUMMYFUNCTION("""COMPUTED_VALUE"""),"窩心洋芋")</f>
        <v>窩心洋芋</v>
      </c>
      <c r="O25" s="78">
        <f>IFERROR(__xludf.DUMMYFUNCTION("""COMPUTED_VALUE"""),15.0)</f>
        <v>15</v>
      </c>
      <c r="P25" s="78" t="str">
        <f>IFERROR(__xludf.DUMMYFUNCTION("""COMPUTED_VALUE"""),"豆製肉")</f>
        <v>豆製肉</v>
      </c>
      <c r="Q25" s="78">
        <f>IFERROR(__xludf.DUMMYFUNCTION("""COMPUTED_VALUE"""),12.0)</f>
        <v>12</v>
      </c>
      <c r="R25" s="78" t="str">
        <f>IFERROR(__xludf.DUMMYFUNCTION("""COMPUTED_VALUE"""),"")</f>
        <v/>
      </c>
      <c r="S25" s="78" t="str">
        <f>IFERROR(__xludf.DUMMYFUNCTION("""COMPUTED_VALUE"""),"")</f>
        <v/>
      </c>
      <c r="T25" s="78" t="str">
        <f>IFERROR(__xludf.DUMMYFUNCTION("""COMPUTED_VALUE"""),"")</f>
        <v/>
      </c>
      <c r="U25" s="78" t="str">
        <f>IFERROR(__xludf.DUMMYFUNCTION("""COMPUTED_VALUE"""),"")</f>
        <v/>
      </c>
      <c r="V25" s="78">
        <f>IFERROR(__xludf.DUMMYFUNCTION("""COMPUTED_VALUE"""),12.0)</f>
        <v>12</v>
      </c>
      <c r="W25" s="78" t="str">
        <f>IFERROR(__xludf.DUMMYFUNCTION("""COMPUTED_VALUE"""),"")</f>
        <v/>
      </c>
      <c r="X25" s="78" t="str">
        <f>IFERROR(__xludf.DUMMYFUNCTION("""COMPUTED_VALUE"""),"")</f>
        <v/>
      </c>
      <c r="Y25" s="78">
        <f>IFERROR(__xludf.DUMMYFUNCTION("""COMPUTED_VALUE"""),25.0)</f>
        <v>25</v>
      </c>
      <c r="Z25" s="78">
        <f>IFERROR(__xludf.DUMMYFUNCTION("""COMPUTED_VALUE"""),17.0)</f>
        <v>17</v>
      </c>
      <c r="AA25" s="78">
        <f>IFERROR(__xludf.DUMMYFUNCTION("""COMPUTED_VALUE"""),15.0)</f>
        <v>15</v>
      </c>
      <c r="AB25" s="78" t="str">
        <f>IFERROR(__xludf.DUMMYFUNCTION("""COMPUTED_VALUE"""),"")</f>
        <v/>
      </c>
      <c r="AC25" s="78" t="str">
        <f>IFERROR(__xludf.DUMMYFUNCTION("""COMPUTED_VALUE"""),"")</f>
        <v/>
      </c>
      <c r="AD25" s="78" t="str">
        <f>IFERROR(__xludf.DUMMYFUNCTION("""COMPUTED_VALUE"""),"")</f>
        <v/>
      </c>
      <c r="AE25" s="78" t="str">
        <f>IFERROR(__xludf.DUMMYFUNCTION("""COMPUTED_VALUE"""),"")</f>
        <v/>
      </c>
      <c r="AF25" s="78" t="str">
        <f>IFERROR(__xludf.DUMMYFUNCTION("""COMPUTED_VALUE"""),"")</f>
        <v/>
      </c>
      <c r="AG25" s="78" t="str">
        <f>IFERROR(__xludf.DUMMYFUNCTION("""COMPUTED_VALUE"""),"")</f>
        <v/>
      </c>
      <c r="AH25" s="78" t="str">
        <f>IFERROR(__xludf.DUMMYFUNCTION("""COMPUTED_VALUE"""),"")</f>
        <v/>
      </c>
      <c r="AI25" s="78" t="str">
        <f>IFERROR(__xludf.DUMMYFUNCTION("""COMPUTED_VALUE"""),"")</f>
        <v/>
      </c>
      <c r="AJ25" s="78" t="str">
        <f>IFERROR(__xludf.DUMMYFUNCTION("""COMPUTED_VALUE"""),"")</f>
        <v/>
      </c>
      <c r="AK25" s="78" t="str">
        <f>IFERROR(__xludf.DUMMYFUNCTION("""COMPUTED_VALUE"""),"")</f>
        <v/>
      </c>
      <c r="AL25" s="78"/>
      <c r="AM25" s="78"/>
      <c r="AN25" s="78"/>
      <c r="AO25" s="78"/>
      <c r="AP25" s="78"/>
      <c r="AQ25" s="78"/>
      <c r="AR25" s="78"/>
      <c r="AS25" s="78"/>
    </row>
    <row r="26" ht="49.5" customHeight="1">
      <c r="A26" s="77" t="str">
        <f>IFERROR(__xludf.DUMMYFUNCTION("""COMPUTED_VALUE"""),"")</f>
        <v/>
      </c>
      <c r="B26" s="78" t="str">
        <f>IFERROR(__xludf.DUMMYFUNCTION("""COMPUTED_VALUE"""),"蘋果酸優格沙拉")</f>
        <v>蘋果酸優格沙拉</v>
      </c>
      <c r="C26" s="78" t="str">
        <f>IFERROR(__xludf.DUMMYFUNCTION("""COMPUTED_VALUE"""),"appleacidyogurt-dressedsalad")</f>
        <v>appleacidyogurt-dressedsalad</v>
      </c>
      <c r="D26" s="78">
        <f>IFERROR(__xludf.DUMMYFUNCTION("""COMPUTED_VALUE"""),104.0)</f>
        <v>104</v>
      </c>
      <c r="E26" s="78" t="str">
        <f>IFERROR(__xludf.DUMMYFUNCTION("""COMPUTED_VALUE"""),"沙拉")</f>
        <v>沙拉</v>
      </c>
      <c r="F26" s="82">
        <f>IFERROR(__xludf.DUMMYFUNCTION("""COMPUTED_VALUE"""),0.78)</f>
        <v>0.78</v>
      </c>
      <c r="G26" s="83">
        <f>IFERROR(__xludf.DUMMYFUNCTION("""COMPUTED_VALUE"""),10839.0)</f>
        <v>10839</v>
      </c>
      <c r="H26" s="83">
        <f>IFERROR(__xludf.DUMMYFUNCTION("""COMPUTED_VALUE"""),19293.0)</f>
        <v>19293</v>
      </c>
      <c r="I26" s="78" t="str">
        <f>IFERROR(__xludf.DUMMYFUNCTION("""COMPUTED_VALUE"""),"特選蛋,35,特選蘋果,28,好眠番茄,23,哞哞鮮奶,18")</f>
        <v>特選蛋,35,特選蘋果,28,好眠番茄,23,哞哞鮮奶,18</v>
      </c>
      <c r="J26" s="78" t="str">
        <f>IFERROR(__xludf.DUMMYFUNCTION("""COMPUTED_VALUE"""),"特選蛋")</f>
        <v>特選蛋</v>
      </c>
      <c r="K26" s="78">
        <f>IFERROR(__xludf.DUMMYFUNCTION("""COMPUTED_VALUE"""),35.0)</f>
        <v>35</v>
      </c>
      <c r="L26" s="78" t="str">
        <f>IFERROR(__xludf.DUMMYFUNCTION("""COMPUTED_VALUE"""),"特選蘋果")</f>
        <v>特選蘋果</v>
      </c>
      <c r="M26" s="78">
        <f>IFERROR(__xludf.DUMMYFUNCTION("""COMPUTED_VALUE"""),28.0)</f>
        <v>28</v>
      </c>
      <c r="N26" s="78" t="str">
        <f>IFERROR(__xludf.DUMMYFUNCTION("""COMPUTED_VALUE"""),"好眠番茄")</f>
        <v>好眠番茄</v>
      </c>
      <c r="O26" s="78">
        <f>IFERROR(__xludf.DUMMYFUNCTION("""COMPUTED_VALUE"""),23.0)</f>
        <v>23</v>
      </c>
      <c r="P26" s="78" t="str">
        <f>IFERROR(__xludf.DUMMYFUNCTION("""COMPUTED_VALUE"""),"哞哞鮮奶")</f>
        <v>哞哞鮮奶</v>
      </c>
      <c r="Q26" s="78">
        <f>IFERROR(__xludf.DUMMYFUNCTION("""COMPUTED_VALUE"""),18.0)</f>
        <v>18</v>
      </c>
      <c r="R26" s="78">
        <f>IFERROR(__xludf.DUMMYFUNCTION("""COMPUTED_VALUE"""),28.0)</f>
        <v>28</v>
      </c>
      <c r="S26" s="78">
        <f>IFERROR(__xludf.DUMMYFUNCTION("""COMPUTED_VALUE"""),18.0)</f>
        <v>18</v>
      </c>
      <c r="T26" s="78" t="str">
        <f>IFERROR(__xludf.DUMMYFUNCTION("""COMPUTED_VALUE"""),"")</f>
        <v/>
      </c>
      <c r="U26" s="78" t="str">
        <f>IFERROR(__xludf.DUMMYFUNCTION("""COMPUTED_VALUE"""),"")</f>
        <v/>
      </c>
      <c r="V26" s="78" t="str">
        <f>IFERROR(__xludf.DUMMYFUNCTION("""COMPUTED_VALUE"""),"")</f>
        <v/>
      </c>
      <c r="W26" s="78" t="str">
        <f>IFERROR(__xludf.DUMMYFUNCTION("""COMPUTED_VALUE"""),"")</f>
        <v/>
      </c>
      <c r="X26" s="78">
        <f>IFERROR(__xludf.DUMMYFUNCTION("""COMPUTED_VALUE"""),23.0)</f>
        <v>23</v>
      </c>
      <c r="Y26" s="78">
        <f>IFERROR(__xludf.DUMMYFUNCTION("""COMPUTED_VALUE"""),35.0)</f>
        <v>35</v>
      </c>
      <c r="Z26" s="78" t="str">
        <f>IFERROR(__xludf.DUMMYFUNCTION("""COMPUTED_VALUE"""),"")</f>
        <v/>
      </c>
      <c r="AA26" s="78" t="str">
        <f>IFERROR(__xludf.DUMMYFUNCTION("""COMPUTED_VALUE"""),"")</f>
        <v/>
      </c>
      <c r="AB26" s="78" t="str">
        <f>IFERROR(__xludf.DUMMYFUNCTION("""COMPUTED_VALUE"""),"")</f>
        <v/>
      </c>
      <c r="AC26" s="78" t="str">
        <f>IFERROR(__xludf.DUMMYFUNCTION("""COMPUTED_VALUE"""),"")</f>
        <v/>
      </c>
      <c r="AD26" s="78" t="str">
        <f>IFERROR(__xludf.DUMMYFUNCTION("""COMPUTED_VALUE"""),"")</f>
        <v/>
      </c>
      <c r="AE26" s="78" t="str">
        <f>IFERROR(__xludf.DUMMYFUNCTION("""COMPUTED_VALUE"""),"")</f>
        <v/>
      </c>
      <c r="AF26" s="78" t="str">
        <f>IFERROR(__xludf.DUMMYFUNCTION("""COMPUTED_VALUE"""),"")</f>
        <v/>
      </c>
      <c r="AG26" s="78" t="str">
        <f>IFERROR(__xludf.DUMMYFUNCTION("""COMPUTED_VALUE"""),"")</f>
        <v/>
      </c>
      <c r="AH26" s="78" t="str">
        <f>IFERROR(__xludf.DUMMYFUNCTION("""COMPUTED_VALUE"""),"")</f>
        <v/>
      </c>
      <c r="AI26" s="78" t="str">
        <f>IFERROR(__xludf.DUMMYFUNCTION("""COMPUTED_VALUE"""),"")</f>
        <v/>
      </c>
      <c r="AJ26" s="78" t="str">
        <f>IFERROR(__xludf.DUMMYFUNCTION("""COMPUTED_VALUE"""),"")</f>
        <v/>
      </c>
      <c r="AK26" s="78" t="str">
        <f>IFERROR(__xludf.DUMMYFUNCTION("""COMPUTED_VALUE"""),"")</f>
        <v/>
      </c>
      <c r="AL26" s="78"/>
      <c r="AM26" s="78"/>
      <c r="AN26" s="78"/>
      <c r="AO26" s="78"/>
      <c r="AP26" s="78"/>
      <c r="AQ26" s="78"/>
      <c r="AR26" s="78"/>
      <c r="AS26" s="78"/>
    </row>
    <row r="27" ht="49.5" customHeight="1">
      <c r="A27" s="77" t="str">
        <f>IFERROR(__xludf.DUMMYFUNCTION("""COMPUTED_VALUE"""),"")</f>
        <v/>
      </c>
      <c r="B27" s="78" t="str">
        <f>IFERROR(__xludf.DUMMYFUNCTION("""COMPUTED_VALUE"""),"不服輸咖啡沙拉")</f>
        <v>不服輸咖啡沙拉</v>
      </c>
      <c r="C27" s="78" t="str">
        <f>IFERROR(__xludf.DUMMYFUNCTION("""COMPUTED_VALUE"""),"defiantcoffee-dressedsalad")</f>
        <v>defiantcoffee-dressedsalad</v>
      </c>
      <c r="D27" s="78">
        <f>IFERROR(__xludf.DUMMYFUNCTION("""COMPUTED_VALUE"""),100.0)</f>
        <v>100</v>
      </c>
      <c r="E27" s="78" t="str">
        <f>IFERROR(__xludf.DUMMYFUNCTION("""COMPUTED_VALUE"""),"沙拉")</f>
        <v>沙拉</v>
      </c>
      <c r="F27" s="82">
        <f>IFERROR(__xludf.DUMMYFUNCTION("""COMPUTED_VALUE"""),0.61)</f>
        <v>0.61</v>
      </c>
      <c r="G27" s="83">
        <f>IFERROR(__xludf.DUMMYFUNCTION("""COMPUTED_VALUE"""),12558.0)</f>
        <v>12558</v>
      </c>
      <c r="H27" s="83">
        <f>IFERROR(__xludf.DUMMYFUNCTION("""COMPUTED_VALUE"""),20218.0)</f>
        <v>20218</v>
      </c>
      <c r="I27" s="78" t="str">
        <f>IFERROR(__xludf.DUMMYFUNCTION("""COMPUTED_VALUE"""),"醒腦咖啡豆,28,豆製肉,28,純粹油,22,窩心洋芋,22")</f>
        <v>醒腦咖啡豆,28,豆製肉,28,純粹油,22,窩心洋芋,22</v>
      </c>
      <c r="J27" s="78" t="str">
        <f>IFERROR(__xludf.DUMMYFUNCTION("""COMPUTED_VALUE"""),"醒腦咖啡豆")</f>
        <v>醒腦咖啡豆</v>
      </c>
      <c r="K27" s="78">
        <f>IFERROR(__xludf.DUMMYFUNCTION("""COMPUTED_VALUE"""),28.0)</f>
        <v>28</v>
      </c>
      <c r="L27" s="78" t="str">
        <f>IFERROR(__xludf.DUMMYFUNCTION("""COMPUTED_VALUE"""),"豆製肉")</f>
        <v>豆製肉</v>
      </c>
      <c r="M27" s="78">
        <f>IFERROR(__xludf.DUMMYFUNCTION("""COMPUTED_VALUE"""),28.0)</f>
        <v>28</v>
      </c>
      <c r="N27" s="78" t="str">
        <f>IFERROR(__xludf.DUMMYFUNCTION("""COMPUTED_VALUE"""),"純粹油")</f>
        <v>純粹油</v>
      </c>
      <c r="O27" s="78">
        <f>IFERROR(__xludf.DUMMYFUNCTION("""COMPUTED_VALUE"""),22.0)</f>
        <v>22</v>
      </c>
      <c r="P27" s="78" t="str">
        <f>IFERROR(__xludf.DUMMYFUNCTION("""COMPUTED_VALUE"""),"窩心洋芋")</f>
        <v>窩心洋芋</v>
      </c>
      <c r="Q27" s="78">
        <f>IFERROR(__xludf.DUMMYFUNCTION("""COMPUTED_VALUE"""),22.0)</f>
        <v>22</v>
      </c>
      <c r="R27" s="78" t="str">
        <f>IFERROR(__xludf.DUMMYFUNCTION("""COMPUTED_VALUE"""),"")</f>
        <v/>
      </c>
      <c r="S27" s="78" t="str">
        <f>IFERROR(__xludf.DUMMYFUNCTION("""COMPUTED_VALUE"""),"")</f>
        <v/>
      </c>
      <c r="T27" s="78" t="str">
        <f>IFERROR(__xludf.DUMMYFUNCTION("""COMPUTED_VALUE"""),"")</f>
        <v/>
      </c>
      <c r="U27" s="78" t="str">
        <f>IFERROR(__xludf.DUMMYFUNCTION("""COMPUTED_VALUE"""),"")</f>
        <v/>
      </c>
      <c r="V27" s="78">
        <f>IFERROR(__xludf.DUMMYFUNCTION("""COMPUTED_VALUE"""),28.0)</f>
        <v>28</v>
      </c>
      <c r="W27" s="78" t="str">
        <f>IFERROR(__xludf.DUMMYFUNCTION("""COMPUTED_VALUE"""),"")</f>
        <v/>
      </c>
      <c r="X27" s="78" t="str">
        <f>IFERROR(__xludf.DUMMYFUNCTION("""COMPUTED_VALUE"""),"")</f>
        <v/>
      </c>
      <c r="Y27" s="78" t="str">
        <f>IFERROR(__xludf.DUMMYFUNCTION("""COMPUTED_VALUE"""),"")</f>
        <v/>
      </c>
      <c r="Z27" s="78">
        <f>IFERROR(__xludf.DUMMYFUNCTION("""COMPUTED_VALUE"""),22.0)</f>
        <v>22</v>
      </c>
      <c r="AA27" s="78">
        <f>IFERROR(__xludf.DUMMYFUNCTION("""COMPUTED_VALUE"""),22.0)</f>
        <v>22</v>
      </c>
      <c r="AB27" s="78" t="str">
        <f>IFERROR(__xludf.DUMMYFUNCTION("""COMPUTED_VALUE"""),"")</f>
        <v/>
      </c>
      <c r="AC27" s="78" t="str">
        <f>IFERROR(__xludf.DUMMYFUNCTION("""COMPUTED_VALUE"""),"")</f>
        <v/>
      </c>
      <c r="AD27" s="78" t="str">
        <f>IFERROR(__xludf.DUMMYFUNCTION("""COMPUTED_VALUE"""),"")</f>
        <v/>
      </c>
      <c r="AE27" s="78">
        <f>IFERROR(__xludf.DUMMYFUNCTION("""COMPUTED_VALUE"""),28.0)</f>
        <v>28</v>
      </c>
      <c r="AF27" s="78" t="str">
        <f>IFERROR(__xludf.DUMMYFUNCTION("""COMPUTED_VALUE"""),"")</f>
        <v/>
      </c>
      <c r="AG27" s="78" t="str">
        <f>IFERROR(__xludf.DUMMYFUNCTION("""COMPUTED_VALUE"""),"")</f>
        <v/>
      </c>
      <c r="AH27" s="78" t="str">
        <f>IFERROR(__xludf.DUMMYFUNCTION("""COMPUTED_VALUE"""),"")</f>
        <v/>
      </c>
      <c r="AI27" s="78" t="str">
        <f>IFERROR(__xludf.DUMMYFUNCTION("""COMPUTED_VALUE"""),"")</f>
        <v/>
      </c>
      <c r="AJ27" s="78" t="str">
        <f>IFERROR(__xludf.DUMMYFUNCTION("""COMPUTED_VALUE"""),"")</f>
        <v/>
      </c>
      <c r="AK27" s="78" t="str">
        <f>IFERROR(__xludf.DUMMYFUNCTION("""COMPUTED_VALUE"""),"")</f>
        <v/>
      </c>
      <c r="AL27" s="78"/>
      <c r="AM27" s="78"/>
      <c r="AN27" s="78"/>
      <c r="AO27" s="78"/>
      <c r="AP27" s="78"/>
      <c r="AQ27" s="78"/>
      <c r="AR27" s="78"/>
      <c r="AS27" s="78"/>
    </row>
    <row r="28" ht="49.5" customHeight="1">
      <c r="A28" s="77" t="str">
        <f>IFERROR(__xludf.DUMMYFUNCTION("""COMPUTED_VALUE"""),"")</f>
        <v/>
      </c>
      <c r="B28" s="78" t="str">
        <f>IFERROR(__xludf.DUMMYFUNCTION("""COMPUTED_VALUE"""),"重踏酪梨醬脆片")</f>
        <v>重踏酪梨醬脆片</v>
      </c>
      <c r="C28" s="78" t="str">
        <f>IFERROR(__xludf.DUMMYFUNCTION("""COMPUTED_VALUE"""),"bulldozeguacamoleandchips")</f>
        <v>bulldozeguacamoleandchips</v>
      </c>
      <c r="D28" s="78">
        <f>IFERROR(__xludf.DUMMYFUNCTION("""COMPUTED_VALUE"""),105.0)</f>
        <v>105</v>
      </c>
      <c r="E28" s="78" t="str">
        <f>IFERROR(__xludf.DUMMYFUNCTION("""COMPUTED_VALUE"""),"沙拉")</f>
        <v>沙拉</v>
      </c>
      <c r="F28" s="82">
        <f>IFERROR(__xludf.DUMMYFUNCTION("""COMPUTED_VALUE"""),0.78)</f>
        <v>0.78</v>
      </c>
      <c r="G28" s="83">
        <f>IFERROR(__xludf.DUMMYFUNCTION("""COMPUTED_VALUE"""),14136.0)</f>
        <v>14136</v>
      </c>
      <c r="H28" s="83">
        <f>IFERROR(__xludf.DUMMYFUNCTION("""COMPUTED_VALUE"""),25162.0)</f>
        <v>25162</v>
      </c>
      <c r="I28" s="78" t="str">
        <f>IFERROR(__xludf.DUMMYFUNCTION("""COMPUTED_VALUE"""),"嫩亮酪梨,28,萌綠玉米,25,火辣香草,30,萌綠大豆,22")</f>
        <v>嫩亮酪梨,28,萌綠玉米,25,火辣香草,30,萌綠大豆,22</v>
      </c>
      <c r="J28" s="78" t="str">
        <f>IFERROR(__xludf.DUMMYFUNCTION("""COMPUTED_VALUE"""),"嫩亮酪梨")</f>
        <v>嫩亮酪梨</v>
      </c>
      <c r="K28" s="78">
        <f>IFERROR(__xludf.DUMMYFUNCTION("""COMPUTED_VALUE"""),28.0)</f>
        <v>28</v>
      </c>
      <c r="L28" s="78" t="str">
        <f>IFERROR(__xludf.DUMMYFUNCTION("""COMPUTED_VALUE"""),"萌綠玉米")</f>
        <v>萌綠玉米</v>
      </c>
      <c r="M28" s="78">
        <f>IFERROR(__xludf.DUMMYFUNCTION("""COMPUTED_VALUE"""),25.0)</f>
        <v>25</v>
      </c>
      <c r="N28" s="78" t="str">
        <f>IFERROR(__xludf.DUMMYFUNCTION("""COMPUTED_VALUE"""),"火辣香草")</f>
        <v>火辣香草</v>
      </c>
      <c r="O28" s="78">
        <f>IFERROR(__xludf.DUMMYFUNCTION("""COMPUTED_VALUE"""),30.0)</f>
        <v>30</v>
      </c>
      <c r="P28" s="78" t="str">
        <f>IFERROR(__xludf.DUMMYFUNCTION("""COMPUTED_VALUE"""),"萌綠大豆")</f>
        <v>萌綠大豆</v>
      </c>
      <c r="Q28" s="78">
        <f>IFERROR(__xludf.DUMMYFUNCTION("""COMPUTED_VALUE"""),22.0)</f>
        <v>22</v>
      </c>
      <c r="R28" s="78"/>
      <c r="S28" s="78"/>
      <c r="T28" s="78">
        <f>IFERROR(__xludf.DUMMYFUNCTION("""COMPUTED_VALUE"""),22.0)</f>
        <v>22</v>
      </c>
      <c r="U28" s="78"/>
      <c r="V28" s="78"/>
      <c r="W28" s="78"/>
      <c r="X28" s="78"/>
      <c r="Y28" s="78"/>
      <c r="Z28" s="78"/>
      <c r="AA28" s="78"/>
      <c r="AB28" s="78">
        <f>IFERROR(__xludf.DUMMYFUNCTION("""COMPUTED_VALUE"""),30.0)</f>
        <v>30</v>
      </c>
      <c r="AC28" s="78">
        <f>IFERROR(__xludf.DUMMYFUNCTION("""COMPUTED_VALUE"""),25.0)</f>
        <v>25</v>
      </c>
      <c r="AD28" s="78"/>
      <c r="AE28" s="78"/>
      <c r="AF28" s="78">
        <f>IFERROR(__xludf.DUMMYFUNCTION("""COMPUTED_VALUE"""),28.0)</f>
        <v>28</v>
      </c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</row>
    <row r="29" ht="49.5" customHeight="1">
      <c r="A29" s="77" t="str">
        <f>IFERROR(__xludf.DUMMYFUNCTION("""COMPUTED_VALUE"""),"")</f>
        <v/>
      </c>
      <c r="B29" s="78" t="str">
        <f>IFERROR(__xludf.DUMMYFUNCTION("""COMPUTED_VALUE"""),"大塊滿滿熱水沙拉")</f>
        <v>大塊滿滿熱水沙拉</v>
      </c>
      <c r="C29" s="78" t="str">
        <f>IFERROR(__xludf.DUMMYFUNCTION("""COMPUTED_VALUE"""),"scaldchunkysalad")</f>
        <v>scaldchunkysalad</v>
      </c>
      <c r="D29" s="78">
        <f>IFERROR(__xludf.DUMMYFUNCTION("""COMPUTED_VALUE"""),95.0)</f>
        <v>95</v>
      </c>
      <c r="E29" s="78" t="str">
        <f>IFERROR(__xludf.DUMMYFUNCTION("""COMPUTED_VALUE"""),"沙拉")</f>
        <v>沙拉</v>
      </c>
      <c r="F29" s="82">
        <f>IFERROR(__xludf.DUMMYFUNCTION("""COMPUTED_VALUE"""),0.61)</f>
        <v>0.61</v>
      </c>
      <c r="G29" s="83">
        <f>IFERROR(__xludf.DUMMYFUNCTION("""COMPUTED_VALUE"""),15749.0)</f>
        <v>15749</v>
      </c>
      <c r="H29" s="83">
        <f>IFERROR(__xludf.DUMMYFUNCTION("""COMPUTED_VALUE"""),25356.0)</f>
        <v>25356</v>
      </c>
      <c r="I29" s="78" t="str">
        <f>IFERROR(__xludf.DUMMYFUNCTION("""COMPUTED_VALUE"""),"沉甸甸南瓜,20,窩心洋芋,30,萌綠玉米,18,品鮮蘑菇,27")</f>
        <v>沉甸甸南瓜,20,窩心洋芋,30,萌綠玉米,18,品鮮蘑菇,27</v>
      </c>
      <c r="J29" s="78" t="str">
        <f>IFERROR(__xludf.DUMMYFUNCTION("""COMPUTED_VALUE"""),"沉甸甸南瓜")</f>
        <v>沉甸甸南瓜</v>
      </c>
      <c r="K29" s="78">
        <f>IFERROR(__xludf.DUMMYFUNCTION("""COMPUTED_VALUE"""),20.0)</f>
        <v>20</v>
      </c>
      <c r="L29" s="78" t="str">
        <f>IFERROR(__xludf.DUMMYFUNCTION("""COMPUTED_VALUE"""),"窩心洋芋")</f>
        <v>窩心洋芋</v>
      </c>
      <c r="M29" s="78">
        <f>IFERROR(__xludf.DUMMYFUNCTION("""COMPUTED_VALUE"""),30.0)</f>
        <v>30</v>
      </c>
      <c r="N29" s="78" t="str">
        <f>IFERROR(__xludf.DUMMYFUNCTION("""COMPUTED_VALUE"""),"萌綠玉米")</f>
        <v>萌綠玉米</v>
      </c>
      <c r="O29" s="78">
        <f>IFERROR(__xludf.DUMMYFUNCTION("""COMPUTED_VALUE"""),18.0)</f>
        <v>18</v>
      </c>
      <c r="P29" s="78" t="str">
        <f>IFERROR(__xludf.DUMMYFUNCTION("""COMPUTED_VALUE"""),"品鮮蘑菇")</f>
        <v>品鮮蘑菇</v>
      </c>
      <c r="Q29" s="78">
        <f>IFERROR(__xludf.DUMMYFUNCTION("""COMPUTED_VALUE"""),27.0)</f>
        <v>27</v>
      </c>
      <c r="R29" s="78" t="str">
        <f>IFERROR(__xludf.DUMMYFUNCTION("""COMPUTED_VALUE"""),"")</f>
        <v/>
      </c>
      <c r="S29" s="78" t="str">
        <f>IFERROR(__xludf.DUMMYFUNCTION("""COMPUTED_VALUE"""),"")</f>
        <v/>
      </c>
      <c r="T29" s="78" t="str">
        <f>IFERROR(__xludf.DUMMYFUNCTION("""COMPUTED_VALUE"""),"")</f>
        <v/>
      </c>
      <c r="U29" s="78" t="str">
        <f>IFERROR(__xludf.DUMMYFUNCTION("""COMPUTED_VALUE"""),"")</f>
        <v/>
      </c>
      <c r="V29" s="78" t="str">
        <f>IFERROR(__xludf.DUMMYFUNCTION("""COMPUTED_VALUE"""),"")</f>
        <v/>
      </c>
      <c r="W29" s="78" t="str">
        <f>IFERROR(__xludf.DUMMYFUNCTION("""COMPUTED_VALUE"""),"")</f>
        <v/>
      </c>
      <c r="X29" s="78" t="str">
        <f>IFERROR(__xludf.DUMMYFUNCTION("""COMPUTED_VALUE"""),"")</f>
        <v/>
      </c>
      <c r="Y29" s="78" t="str">
        <f>IFERROR(__xludf.DUMMYFUNCTION("""COMPUTED_VALUE"""),"")</f>
        <v/>
      </c>
      <c r="Z29" s="78" t="str">
        <f>IFERROR(__xludf.DUMMYFUNCTION("""COMPUTED_VALUE"""),"")</f>
        <v/>
      </c>
      <c r="AA29" s="78">
        <f>IFERROR(__xludf.DUMMYFUNCTION("""COMPUTED_VALUE"""),30.0)</f>
        <v>30</v>
      </c>
      <c r="AB29" s="78" t="str">
        <f>IFERROR(__xludf.DUMMYFUNCTION("""COMPUTED_VALUE"""),"")</f>
        <v/>
      </c>
      <c r="AC29" s="78">
        <f>IFERROR(__xludf.DUMMYFUNCTION("""COMPUTED_VALUE"""),18.0)</f>
        <v>18</v>
      </c>
      <c r="AD29" s="78" t="str">
        <f>IFERROR(__xludf.DUMMYFUNCTION("""COMPUTED_VALUE"""),"")</f>
        <v/>
      </c>
      <c r="AE29" s="78" t="str">
        <f>IFERROR(__xludf.DUMMYFUNCTION("""COMPUTED_VALUE"""),"")</f>
        <v/>
      </c>
      <c r="AF29" s="78" t="str">
        <f>IFERROR(__xludf.DUMMYFUNCTION("""COMPUTED_VALUE"""),"")</f>
        <v/>
      </c>
      <c r="AG29" s="78">
        <f>IFERROR(__xludf.DUMMYFUNCTION("""COMPUTED_VALUE"""),27.0)</f>
        <v>27</v>
      </c>
      <c r="AH29" s="78" t="str">
        <f>IFERROR(__xludf.DUMMYFUNCTION("""COMPUTED_VALUE"""),"")</f>
        <v/>
      </c>
      <c r="AI29" s="78">
        <f>IFERROR(__xludf.DUMMYFUNCTION("""COMPUTED_VALUE"""),20.0)</f>
        <v>20</v>
      </c>
      <c r="AJ29" s="78" t="str">
        <f>IFERROR(__xludf.DUMMYFUNCTION("""COMPUTED_VALUE"""),"")</f>
        <v/>
      </c>
      <c r="AK29" s="78" t="str">
        <f>IFERROR(__xludf.DUMMYFUNCTION("""COMPUTED_VALUE"""),"")</f>
        <v/>
      </c>
      <c r="AL29" s="78"/>
      <c r="AM29" s="78"/>
      <c r="AN29" s="78"/>
      <c r="AO29" s="78"/>
      <c r="AP29" s="78"/>
      <c r="AQ29" s="78"/>
      <c r="AR29" s="78"/>
      <c r="AS29" s="78"/>
    </row>
    <row r="30" ht="49.5" customHeight="1">
      <c r="A30" s="77" t="str">
        <f>IFERROR(__xludf.DUMMYFUNCTION("""COMPUTED_VALUE"""),"")</f>
        <v/>
      </c>
      <c r="B30" s="78" t="str">
        <f>IFERROR(__xludf.DUMMYFUNCTION("""COMPUTED_VALUE"""),"拌拌咖哩")</f>
        <v>拌拌咖哩</v>
      </c>
      <c r="C30" s="78" t="str">
        <f>IFERROR(__xludf.DUMMYFUNCTION("""COMPUTED_VALUE"""),"mixedcurry")</f>
        <v>mixedcurry</v>
      </c>
      <c r="D30" s="78">
        <f>IFERROR(__xludf.DUMMYFUNCTION("""COMPUTED_VALUE"""),0.0)</f>
        <v>0</v>
      </c>
      <c r="E30" s="78" t="str">
        <f>IFERROR(__xludf.DUMMYFUNCTION("""COMPUTED_VALUE"""),"咖哩、濃湯")</f>
        <v>咖哩、濃湯</v>
      </c>
      <c r="F30" s="82">
        <f>IFERROR(__xludf.DUMMYFUNCTION("""COMPUTED_VALUE"""),0.0)</f>
        <v>0</v>
      </c>
      <c r="G30" s="83">
        <f>IFERROR(__xludf.DUMMYFUNCTION("""COMPUTED_VALUE"""),0.0)</f>
        <v>0</v>
      </c>
      <c r="H30" s="83">
        <f>IFERROR(__xludf.DUMMYFUNCTION("""COMPUTED_VALUE"""),0.0)</f>
        <v>0</v>
      </c>
      <c r="I30" s="78" t="str">
        <f>IFERROR(__xludf.DUMMYFUNCTION("""COMPUTED_VALUE"""),"")</f>
        <v/>
      </c>
      <c r="J30" s="78"/>
      <c r="K30" s="78"/>
      <c r="L30" s="78"/>
      <c r="M30" s="78"/>
      <c r="N30" s="78"/>
      <c r="O30" s="78"/>
      <c r="P30" s="78"/>
      <c r="Q30" s="78"/>
      <c r="R30" s="78" t="str">
        <f>IFERROR(__xludf.DUMMYFUNCTION("""COMPUTED_VALUE"""),"")</f>
        <v/>
      </c>
      <c r="S30" s="78" t="str">
        <f>IFERROR(__xludf.DUMMYFUNCTION("""COMPUTED_VALUE"""),"")</f>
        <v/>
      </c>
      <c r="T30" s="78" t="str">
        <f>IFERROR(__xludf.DUMMYFUNCTION("""COMPUTED_VALUE"""),"")</f>
        <v/>
      </c>
      <c r="U30" s="78" t="str">
        <f>IFERROR(__xludf.DUMMYFUNCTION("""COMPUTED_VALUE"""),"")</f>
        <v/>
      </c>
      <c r="V30" s="78" t="str">
        <f>IFERROR(__xludf.DUMMYFUNCTION("""COMPUTED_VALUE"""),"")</f>
        <v/>
      </c>
      <c r="W30" s="78" t="str">
        <f>IFERROR(__xludf.DUMMYFUNCTION("""COMPUTED_VALUE"""),"")</f>
        <v/>
      </c>
      <c r="X30" s="78" t="str">
        <f>IFERROR(__xludf.DUMMYFUNCTION("""COMPUTED_VALUE"""),"")</f>
        <v/>
      </c>
      <c r="Y30" s="78" t="str">
        <f>IFERROR(__xludf.DUMMYFUNCTION("""COMPUTED_VALUE"""),"")</f>
        <v/>
      </c>
      <c r="Z30" s="78" t="str">
        <f>IFERROR(__xludf.DUMMYFUNCTION("""COMPUTED_VALUE"""),"")</f>
        <v/>
      </c>
      <c r="AA30" s="78" t="str">
        <f>IFERROR(__xludf.DUMMYFUNCTION("""COMPUTED_VALUE"""),"")</f>
        <v/>
      </c>
      <c r="AB30" s="78" t="str">
        <f>IFERROR(__xludf.DUMMYFUNCTION("""COMPUTED_VALUE"""),"")</f>
        <v/>
      </c>
      <c r="AC30" s="78" t="str">
        <f>IFERROR(__xludf.DUMMYFUNCTION("""COMPUTED_VALUE"""),"")</f>
        <v/>
      </c>
      <c r="AD30" s="78" t="str">
        <f>IFERROR(__xludf.DUMMYFUNCTION("""COMPUTED_VALUE"""),"")</f>
        <v/>
      </c>
      <c r="AE30" s="78" t="str">
        <f>IFERROR(__xludf.DUMMYFUNCTION("""COMPUTED_VALUE"""),"")</f>
        <v/>
      </c>
      <c r="AF30" s="78" t="str">
        <f>IFERROR(__xludf.DUMMYFUNCTION("""COMPUTED_VALUE"""),"")</f>
        <v/>
      </c>
      <c r="AG30" s="78" t="str">
        <f>IFERROR(__xludf.DUMMYFUNCTION("""COMPUTED_VALUE"""),"")</f>
        <v/>
      </c>
      <c r="AH30" s="78" t="str">
        <f>IFERROR(__xludf.DUMMYFUNCTION("""COMPUTED_VALUE"""),"")</f>
        <v/>
      </c>
      <c r="AI30" s="78" t="str">
        <f>IFERROR(__xludf.DUMMYFUNCTION("""COMPUTED_VALUE"""),"")</f>
        <v/>
      </c>
      <c r="AJ30" s="78" t="str">
        <f>IFERROR(__xludf.DUMMYFUNCTION("""COMPUTED_VALUE"""),"")</f>
        <v/>
      </c>
      <c r="AK30" s="78">
        <f>IFERROR(__xludf.DUMMYFUNCTION("""COMPUTED_VALUE"""),0.0)</f>
        <v>0</v>
      </c>
      <c r="AL30" s="78"/>
      <c r="AM30" s="78"/>
      <c r="AN30" s="78"/>
      <c r="AO30" s="78"/>
      <c r="AP30" s="78"/>
      <c r="AQ30" s="78"/>
      <c r="AR30" s="78"/>
      <c r="AS30" s="78"/>
    </row>
    <row r="31" ht="49.5" customHeight="1">
      <c r="A31" s="77" t="str">
        <f>IFERROR(__xludf.DUMMYFUNCTION("""COMPUTED_VALUE"""),"")</f>
        <v/>
      </c>
      <c r="B31" s="78" t="str">
        <f>IFERROR(__xludf.DUMMYFUNCTION("""COMPUTED_VALUE"""),"特選蘋果咖哩")</f>
        <v>特選蘋果咖哩</v>
      </c>
      <c r="C31" s="78" t="str">
        <f>IFERROR(__xludf.DUMMYFUNCTION("""COMPUTED_VALUE"""),"fancyapplecurry")</f>
        <v>fancyapplecurry</v>
      </c>
      <c r="D31" s="78">
        <f>IFERROR(__xludf.DUMMYFUNCTION("""COMPUTED_VALUE"""),7.0)</f>
        <v>7</v>
      </c>
      <c r="E31" s="78" t="str">
        <f>IFERROR(__xludf.DUMMYFUNCTION("""COMPUTED_VALUE"""),"咖哩、濃湯")</f>
        <v>咖哩、濃湯</v>
      </c>
      <c r="F31" s="82">
        <f>IFERROR(__xludf.DUMMYFUNCTION("""COMPUTED_VALUE"""),0.16)</f>
        <v>0.16</v>
      </c>
      <c r="G31" s="83">
        <f>IFERROR(__xludf.DUMMYFUNCTION("""COMPUTED_VALUE"""),630.0)</f>
        <v>630</v>
      </c>
      <c r="H31" s="83">
        <f>IFERROR(__xludf.DUMMYFUNCTION("""COMPUTED_VALUE"""),728.0)</f>
        <v>728</v>
      </c>
      <c r="I31" s="78" t="str">
        <f>IFERROR(__xludf.DUMMYFUNCTION("""COMPUTED_VALUE"""),"特選蘋果,7")</f>
        <v>特選蘋果,7</v>
      </c>
      <c r="J31" s="78" t="str">
        <f>IFERROR(__xludf.DUMMYFUNCTION("""COMPUTED_VALUE"""),"特選蘋果")</f>
        <v>特選蘋果</v>
      </c>
      <c r="K31" s="78">
        <f>IFERROR(__xludf.DUMMYFUNCTION("""COMPUTED_VALUE"""),7.0)</f>
        <v>7</v>
      </c>
      <c r="L31" s="78"/>
      <c r="M31" s="78"/>
      <c r="N31" s="78"/>
      <c r="O31" s="78"/>
      <c r="P31" s="78"/>
      <c r="Q31" s="78"/>
      <c r="R31" s="78">
        <f>IFERROR(__xludf.DUMMYFUNCTION("""COMPUTED_VALUE"""),7.0)</f>
        <v>7</v>
      </c>
      <c r="S31" s="78" t="str">
        <f>IFERROR(__xludf.DUMMYFUNCTION("""COMPUTED_VALUE"""),"")</f>
        <v/>
      </c>
      <c r="T31" s="78" t="str">
        <f>IFERROR(__xludf.DUMMYFUNCTION("""COMPUTED_VALUE"""),"")</f>
        <v/>
      </c>
      <c r="U31" s="78" t="str">
        <f>IFERROR(__xludf.DUMMYFUNCTION("""COMPUTED_VALUE"""),"")</f>
        <v/>
      </c>
      <c r="V31" s="78" t="str">
        <f>IFERROR(__xludf.DUMMYFUNCTION("""COMPUTED_VALUE"""),"")</f>
        <v/>
      </c>
      <c r="W31" s="78" t="str">
        <f>IFERROR(__xludf.DUMMYFUNCTION("""COMPUTED_VALUE"""),"")</f>
        <v/>
      </c>
      <c r="X31" s="78" t="str">
        <f>IFERROR(__xludf.DUMMYFUNCTION("""COMPUTED_VALUE"""),"")</f>
        <v/>
      </c>
      <c r="Y31" s="78" t="str">
        <f>IFERROR(__xludf.DUMMYFUNCTION("""COMPUTED_VALUE"""),"")</f>
        <v/>
      </c>
      <c r="Z31" s="78" t="str">
        <f>IFERROR(__xludf.DUMMYFUNCTION("""COMPUTED_VALUE"""),"")</f>
        <v/>
      </c>
      <c r="AA31" s="78" t="str">
        <f>IFERROR(__xludf.DUMMYFUNCTION("""COMPUTED_VALUE"""),"")</f>
        <v/>
      </c>
      <c r="AB31" s="78" t="str">
        <f>IFERROR(__xludf.DUMMYFUNCTION("""COMPUTED_VALUE"""),"")</f>
        <v/>
      </c>
      <c r="AC31" s="78" t="str">
        <f>IFERROR(__xludf.DUMMYFUNCTION("""COMPUTED_VALUE"""),"")</f>
        <v/>
      </c>
      <c r="AD31" s="78" t="str">
        <f>IFERROR(__xludf.DUMMYFUNCTION("""COMPUTED_VALUE"""),"")</f>
        <v/>
      </c>
      <c r="AE31" s="78" t="str">
        <f>IFERROR(__xludf.DUMMYFUNCTION("""COMPUTED_VALUE"""),"")</f>
        <v/>
      </c>
      <c r="AF31" s="78" t="str">
        <f>IFERROR(__xludf.DUMMYFUNCTION("""COMPUTED_VALUE"""),"")</f>
        <v/>
      </c>
      <c r="AG31" s="78" t="str">
        <f>IFERROR(__xludf.DUMMYFUNCTION("""COMPUTED_VALUE"""),"")</f>
        <v/>
      </c>
      <c r="AH31" s="78" t="str">
        <f>IFERROR(__xludf.DUMMYFUNCTION("""COMPUTED_VALUE"""),"")</f>
        <v/>
      </c>
      <c r="AI31" s="78" t="str">
        <f>IFERROR(__xludf.DUMMYFUNCTION("""COMPUTED_VALUE"""),"")</f>
        <v/>
      </c>
      <c r="AJ31" s="78" t="str">
        <f>IFERROR(__xludf.DUMMYFUNCTION("""COMPUTED_VALUE"""),"")</f>
        <v/>
      </c>
      <c r="AK31" s="78">
        <f>IFERROR(__xludf.DUMMYFUNCTION("""COMPUTED_VALUE"""),0.0)</f>
        <v>0</v>
      </c>
      <c r="AL31" s="78"/>
      <c r="AM31" s="78"/>
      <c r="AN31" s="78"/>
      <c r="AO31" s="78"/>
      <c r="AP31" s="78"/>
      <c r="AQ31" s="78"/>
      <c r="AR31" s="78"/>
      <c r="AS31" s="78"/>
    </row>
    <row r="32" ht="49.5" customHeight="1">
      <c r="A32" s="77" t="str">
        <f>IFERROR(__xludf.DUMMYFUNCTION("""COMPUTED_VALUE"""),"")</f>
        <v/>
      </c>
      <c r="B32" s="78" t="str">
        <f>IFERROR(__xludf.DUMMYFUNCTION("""COMPUTED_VALUE"""),"單純白醬濃湯")</f>
        <v>單純白醬濃湯</v>
      </c>
      <c r="C32" s="78" t="str">
        <f>IFERROR(__xludf.DUMMYFUNCTION("""COMPUTED_VALUE"""),"simplechowder")</f>
        <v>simplechowder</v>
      </c>
      <c r="D32" s="78">
        <f>IFERROR(__xludf.DUMMYFUNCTION("""COMPUTED_VALUE"""),7.0)</f>
        <v>7</v>
      </c>
      <c r="E32" s="78" t="str">
        <f>IFERROR(__xludf.DUMMYFUNCTION("""COMPUTED_VALUE"""),"咖哩、濃湯")</f>
        <v>咖哩、濃湯</v>
      </c>
      <c r="F32" s="82">
        <f>IFERROR(__xludf.DUMMYFUNCTION("""COMPUTED_VALUE"""),0.19)</f>
        <v>0.19</v>
      </c>
      <c r="G32" s="83">
        <f>IFERROR(__xludf.DUMMYFUNCTION("""COMPUTED_VALUE"""),686.0)</f>
        <v>686</v>
      </c>
      <c r="H32" s="83">
        <f>IFERROR(__xludf.DUMMYFUNCTION("""COMPUTED_VALUE"""),814.0)</f>
        <v>814</v>
      </c>
      <c r="I32" s="78" t="str">
        <f>IFERROR(__xludf.DUMMYFUNCTION("""COMPUTED_VALUE"""),"哞哞鮮奶,7")</f>
        <v>哞哞鮮奶,7</v>
      </c>
      <c r="J32" s="78" t="str">
        <f>IFERROR(__xludf.DUMMYFUNCTION("""COMPUTED_VALUE"""),"哞哞鮮奶")</f>
        <v>哞哞鮮奶</v>
      </c>
      <c r="K32" s="78">
        <f>IFERROR(__xludf.DUMMYFUNCTION("""COMPUTED_VALUE"""),7.0)</f>
        <v>7</v>
      </c>
      <c r="L32" s="78"/>
      <c r="M32" s="78"/>
      <c r="N32" s="78"/>
      <c r="O32" s="78"/>
      <c r="P32" s="78"/>
      <c r="Q32" s="78"/>
      <c r="R32" s="78" t="str">
        <f>IFERROR(__xludf.DUMMYFUNCTION("""COMPUTED_VALUE"""),"")</f>
        <v/>
      </c>
      <c r="S32" s="78">
        <f>IFERROR(__xludf.DUMMYFUNCTION("""COMPUTED_VALUE"""),7.0)</f>
        <v>7</v>
      </c>
      <c r="T32" s="78" t="str">
        <f>IFERROR(__xludf.DUMMYFUNCTION("""COMPUTED_VALUE"""),"")</f>
        <v/>
      </c>
      <c r="U32" s="78" t="str">
        <f>IFERROR(__xludf.DUMMYFUNCTION("""COMPUTED_VALUE"""),"")</f>
        <v/>
      </c>
      <c r="V32" s="78" t="str">
        <f>IFERROR(__xludf.DUMMYFUNCTION("""COMPUTED_VALUE"""),"")</f>
        <v/>
      </c>
      <c r="W32" s="78" t="str">
        <f>IFERROR(__xludf.DUMMYFUNCTION("""COMPUTED_VALUE"""),"")</f>
        <v/>
      </c>
      <c r="X32" s="78" t="str">
        <f>IFERROR(__xludf.DUMMYFUNCTION("""COMPUTED_VALUE"""),"")</f>
        <v/>
      </c>
      <c r="Y32" s="78" t="str">
        <f>IFERROR(__xludf.DUMMYFUNCTION("""COMPUTED_VALUE"""),"")</f>
        <v/>
      </c>
      <c r="Z32" s="78" t="str">
        <f>IFERROR(__xludf.DUMMYFUNCTION("""COMPUTED_VALUE"""),"")</f>
        <v/>
      </c>
      <c r="AA32" s="78" t="str">
        <f>IFERROR(__xludf.DUMMYFUNCTION("""COMPUTED_VALUE"""),"")</f>
        <v/>
      </c>
      <c r="AB32" s="78" t="str">
        <f>IFERROR(__xludf.DUMMYFUNCTION("""COMPUTED_VALUE"""),"")</f>
        <v/>
      </c>
      <c r="AC32" s="78" t="str">
        <f>IFERROR(__xludf.DUMMYFUNCTION("""COMPUTED_VALUE"""),"")</f>
        <v/>
      </c>
      <c r="AD32" s="78" t="str">
        <f>IFERROR(__xludf.DUMMYFUNCTION("""COMPUTED_VALUE"""),"")</f>
        <v/>
      </c>
      <c r="AE32" s="78" t="str">
        <f>IFERROR(__xludf.DUMMYFUNCTION("""COMPUTED_VALUE"""),"")</f>
        <v/>
      </c>
      <c r="AF32" s="78" t="str">
        <f>IFERROR(__xludf.DUMMYFUNCTION("""COMPUTED_VALUE"""),"")</f>
        <v/>
      </c>
      <c r="AG32" s="78" t="str">
        <f>IFERROR(__xludf.DUMMYFUNCTION("""COMPUTED_VALUE"""),"")</f>
        <v/>
      </c>
      <c r="AH32" s="78" t="str">
        <f>IFERROR(__xludf.DUMMYFUNCTION("""COMPUTED_VALUE"""),"")</f>
        <v/>
      </c>
      <c r="AI32" s="78" t="str">
        <f>IFERROR(__xludf.DUMMYFUNCTION("""COMPUTED_VALUE"""),"")</f>
        <v/>
      </c>
      <c r="AJ32" s="78" t="str">
        <f>IFERROR(__xludf.DUMMYFUNCTION("""COMPUTED_VALUE"""),"")</f>
        <v/>
      </c>
      <c r="AK32" s="78">
        <f>IFERROR(__xludf.DUMMYFUNCTION("""COMPUTED_VALUE"""),0.0)</f>
        <v>0</v>
      </c>
      <c r="AL32" s="78"/>
      <c r="AM32" s="78"/>
      <c r="AN32" s="78"/>
      <c r="AO32" s="78"/>
      <c r="AP32" s="78"/>
      <c r="AQ32" s="78"/>
      <c r="AR32" s="78"/>
      <c r="AS32" s="78"/>
    </row>
    <row r="33" ht="49.5" customHeight="1">
      <c r="A33" s="77" t="str">
        <f>IFERROR(__xludf.DUMMYFUNCTION("""COMPUTED_VALUE"""),"")</f>
        <v/>
      </c>
      <c r="B33" s="78" t="str">
        <f>IFERROR(__xludf.DUMMYFUNCTION("""COMPUTED_VALUE"""),"寶寶甜蜜咖哩")</f>
        <v>寶寶甜蜜咖哩</v>
      </c>
      <c r="C33" s="78" t="str">
        <f>IFERROR(__xludf.DUMMYFUNCTION("""COMPUTED_VALUE"""),"dreameaterbuttercurry")</f>
        <v>dreameaterbuttercurry</v>
      </c>
      <c r="D33" s="78">
        <f>IFERROR(__xludf.DUMMYFUNCTION("""COMPUTED_VALUE"""),7.0)</f>
        <v>7</v>
      </c>
      <c r="E33" s="78" t="str">
        <f>IFERROR(__xludf.DUMMYFUNCTION("""COMPUTED_VALUE"""),"咖哩、濃湯")</f>
        <v>咖哩、濃湯</v>
      </c>
      <c r="F33" s="82">
        <f>IFERROR(__xludf.DUMMYFUNCTION("""COMPUTED_VALUE"""),0.19)</f>
        <v>0.19</v>
      </c>
      <c r="G33" s="83">
        <f>IFERROR(__xludf.DUMMYFUNCTION("""COMPUTED_VALUE"""),707.0)</f>
        <v>707</v>
      </c>
      <c r="H33" s="83">
        <f>IFERROR(__xludf.DUMMYFUNCTION("""COMPUTED_VALUE"""),839.0)</f>
        <v>839</v>
      </c>
      <c r="I33" s="78" t="str">
        <f>IFERROR(__xludf.DUMMYFUNCTION("""COMPUTED_VALUE"""),"甜甜蜜,7")</f>
        <v>甜甜蜜,7</v>
      </c>
      <c r="J33" s="78" t="str">
        <f>IFERROR(__xludf.DUMMYFUNCTION("""COMPUTED_VALUE"""),"甜甜蜜")</f>
        <v>甜甜蜜</v>
      </c>
      <c r="K33" s="78">
        <f>IFERROR(__xludf.DUMMYFUNCTION("""COMPUTED_VALUE"""),7.0)</f>
        <v>7</v>
      </c>
      <c r="L33" s="78"/>
      <c r="M33" s="78"/>
      <c r="N33" s="78"/>
      <c r="O33" s="78"/>
      <c r="P33" s="78"/>
      <c r="Q33" s="78"/>
      <c r="R33" s="78" t="str">
        <f>IFERROR(__xludf.DUMMYFUNCTION("""COMPUTED_VALUE"""),"")</f>
        <v/>
      </c>
      <c r="S33" s="78" t="str">
        <f>IFERROR(__xludf.DUMMYFUNCTION("""COMPUTED_VALUE"""),"")</f>
        <v/>
      </c>
      <c r="T33" s="78" t="str">
        <f>IFERROR(__xludf.DUMMYFUNCTION("""COMPUTED_VALUE"""),"")</f>
        <v/>
      </c>
      <c r="U33" s="78">
        <f>IFERROR(__xludf.DUMMYFUNCTION("""COMPUTED_VALUE"""),7.0)</f>
        <v>7</v>
      </c>
      <c r="V33" s="78" t="str">
        <f>IFERROR(__xludf.DUMMYFUNCTION("""COMPUTED_VALUE"""),"")</f>
        <v/>
      </c>
      <c r="W33" s="78" t="str">
        <f>IFERROR(__xludf.DUMMYFUNCTION("""COMPUTED_VALUE"""),"")</f>
        <v/>
      </c>
      <c r="X33" s="78" t="str">
        <f>IFERROR(__xludf.DUMMYFUNCTION("""COMPUTED_VALUE"""),"")</f>
        <v/>
      </c>
      <c r="Y33" s="78" t="str">
        <f>IFERROR(__xludf.DUMMYFUNCTION("""COMPUTED_VALUE"""),"")</f>
        <v/>
      </c>
      <c r="Z33" s="78" t="str">
        <f>IFERROR(__xludf.DUMMYFUNCTION("""COMPUTED_VALUE"""),"")</f>
        <v/>
      </c>
      <c r="AA33" s="78" t="str">
        <f>IFERROR(__xludf.DUMMYFUNCTION("""COMPUTED_VALUE"""),"")</f>
        <v/>
      </c>
      <c r="AB33" s="78" t="str">
        <f>IFERROR(__xludf.DUMMYFUNCTION("""COMPUTED_VALUE"""),"")</f>
        <v/>
      </c>
      <c r="AC33" s="78" t="str">
        <f>IFERROR(__xludf.DUMMYFUNCTION("""COMPUTED_VALUE"""),"")</f>
        <v/>
      </c>
      <c r="AD33" s="78" t="str">
        <f>IFERROR(__xludf.DUMMYFUNCTION("""COMPUTED_VALUE"""),"")</f>
        <v/>
      </c>
      <c r="AE33" s="78" t="str">
        <f>IFERROR(__xludf.DUMMYFUNCTION("""COMPUTED_VALUE"""),"")</f>
        <v/>
      </c>
      <c r="AF33" s="78" t="str">
        <f>IFERROR(__xludf.DUMMYFUNCTION("""COMPUTED_VALUE"""),"")</f>
        <v/>
      </c>
      <c r="AG33" s="78" t="str">
        <f>IFERROR(__xludf.DUMMYFUNCTION("""COMPUTED_VALUE"""),"")</f>
        <v/>
      </c>
      <c r="AH33" s="78" t="str">
        <f>IFERROR(__xludf.DUMMYFUNCTION("""COMPUTED_VALUE"""),"")</f>
        <v/>
      </c>
      <c r="AI33" s="78" t="str">
        <f>IFERROR(__xludf.DUMMYFUNCTION("""COMPUTED_VALUE"""),"")</f>
        <v/>
      </c>
      <c r="AJ33" s="78" t="str">
        <f>IFERROR(__xludf.DUMMYFUNCTION("""COMPUTED_VALUE"""),"")</f>
        <v/>
      </c>
      <c r="AK33" s="78">
        <f>IFERROR(__xludf.DUMMYFUNCTION("""COMPUTED_VALUE"""),0.0)</f>
        <v>0</v>
      </c>
      <c r="AL33" s="78"/>
      <c r="AM33" s="78"/>
      <c r="AN33" s="78"/>
      <c r="AO33" s="78"/>
      <c r="AP33" s="78"/>
      <c r="AQ33" s="78"/>
      <c r="AR33" s="78"/>
      <c r="AS33" s="78"/>
    </row>
    <row r="34" ht="49.5" customHeight="1">
      <c r="A34" s="77" t="str">
        <f>IFERROR(__xludf.DUMMYFUNCTION("""COMPUTED_VALUE"""),"")</f>
        <v/>
      </c>
      <c r="B34" s="78" t="str">
        <f>IFERROR(__xludf.DUMMYFUNCTION("""COMPUTED_VALUE"""),"豆製肉排咖哩")</f>
        <v>豆製肉排咖哩</v>
      </c>
      <c r="C34" s="78" t="str">
        <f>IFERROR(__xludf.DUMMYFUNCTION("""COMPUTED_VALUE"""),"beanburgercurry")</f>
        <v>beanburgercurry</v>
      </c>
      <c r="D34" s="78">
        <f>IFERROR(__xludf.DUMMYFUNCTION("""COMPUTED_VALUE"""),7.0)</f>
        <v>7</v>
      </c>
      <c r="E34" s="78" t="str">
        <f>IFERROR(__xludf.DUMMYFUNCTION("""COMPUTED_VALUE"""),"咖哩、濃湯")</f>
        <v>咖哩、濃湯</v>
      </c>
      <c r="F34" s="82">
        <f>IFERROR(__xludf.DUMMYFUNCTION("""COMPUTED_VALUE"""),0.19)</f>
        <v>0.19</v>
      </c>
      <c r="G34" s="83">
        <f>IFERROR(__xludf.DUMMYFUNCTION("""COMPUTED_VALUE"""),721.0)</f>
        <v>721</v>
      </c>
      <c r="H34" s="83">
        <f>IFERROR(__xludf.DUMMYFUNCTION("""COMPUTED_VALUE"""),856.0)</f>
        <v>856</v>
      </c>
      <c r="I34" s="78" t="str">
        <f>IFERROR(__xludf.DUMMYFUNCTION("""COMPUTED_VALUE"""),"豆製肉,7")</f>
        <v>豆製肉,7</v>
      </c>
      <c r="J34" s="78" t="str">
        <f>IFERROR(__xludf.DUMMYFUNCTION("""COMPUTED_VALUE"""),"豆製肉")</f>
        <v>豆製肉</v>
      </c>
      <c r="K34" s="78">
        <f>IFERROR(__xludf.DUMMYFUNCTION("""COMPUTED_VALUE"""),7.0)</f>
        <v>7</v>
      </c>
      <c r="L34" s="78"/>
      <c r="M34" s="78"/>
      <c r="N34" s="78"/>
      <c r="O34" s="78"/>
      <c r="P34" s="78"/>
      <c r="Q34" s="78"/>
      <c r="R34" s="78" t="str">
        <f>IFERROR(__xludf.DUMMYFUNCTION("""COMPUTED_VALUE"""),"")</f>
        <v/>
      </c>
      <c r="S34" s="78" t="str">
        <f>IFERROR(__xludf.DUMMYFUNCTION("""COMPUTED_VALUE"""),"")</f>
        <v/>
      </c>
      <c r="T34" s="78" t="str">
        <f>IFERROR(__xludf.DUMMYFUNCTION("""COMPUTED_VALUE"""),"")</f>
        <v/>
      </c>
      <c r="U34" s="78" t="str">
        <f>IFERROR(__xludf.DUMMYFUNCTION("""COMPUTED_VALUE"""),"")</f>
        <v/>
      </c>
      <c r="V34" s="78">
        <f>IFERROR(__xludf.DUMMYFUNCTION("""COMPUTED_VALUE"""),7.0)</f>
        <v>7</v>
      </c>
      <c r="W34" s="78" t="str">
        <f>IFERROR(__xludf.DUMMYFUNCTION("""COMPUTED_VALUE"""),"")</f>
        <v/>
      </c>
      <c r="X34" s="78" t="str">
        <f>IFERROR(__xludf.DUMMYFUNCTION("""COMPUTED_VALUE"""),"")</f>
        <v/>
      </c>
      <c r="Y34" s="78" t="str">
        <f>IFERROR(__xludf.DUMMYFUNCTION("""COMPUTED_VALUE"""),"")</f>
        <v/>
      </c>
      <c r="Z34" s="78" t="str">
        <f>IFERROR(__xludf.DUMMYFUNCTION("""COMPUTED_VALUE"""),"")</f>
        <v/>
      </c>
      <c r="AA34" s="78" t="str">
        <f>IFERROR(__xludf.DUMMYFUNCTION("""COMPUTED_VALUE"""),"")</f>
        <v/>
      </c>
      <c r="AB34" s="78" t="str">
        <f>IFERROR(__xludf.DUMMYFUNCTION("""COMPUTED_VALUE"""),"")</f>
        <v/>
      </c>
      <c r="AC34" s="78" t="str">
        <f>IFERROR(__xludf.DUMMYFUNCTION("""COMPUTED_VALUE"""),"")</f>
        <v/>
      </c>
      <c r="AD34" s="78" t="str">
        <f>IFERROR(__xludf.DUMMYFUNCTION("""COMPUTED_VALUE"""),"")</f>
        <v/>
      </c>
      <c r="AE34" s="78" t="str">
        <f>IFERROR(__xludf.DUMMYFUNCTION("""COMPUTED_VALUE"""),"")</f>
        <v/>
      </c>
      <c r="AF34" s="78" t="str">
        <f>IFERROR(__xludf.DUMMYFUNCTION("""COMPUTED_VALUE"""),"")</f>
        <v/>
      </c>
      <c r="AG34" s="78" t="str">
        <f>IFERROR(__xludf.DUMMYFUNCTION("""COMPUTED_VALUE"""),"")</f>
        <v/>
      </c>
      <c r="AH34" s="78" t="str">
        <f>IFERROR(__xludf.DUMMYFUNCTION("""COMPUTED_VALUE"""),"")</f>
        <v/>
      </c>
      <c r="AI34" s="78" t="str">
        <f>IFERROR(__xludf.DUMMYFUNCTION("""COMPUTED_VALUE"""),"")</f>
        <v/>
      </c>
      <c r="AJ34" s="78" t="str">
        <f>IFERROR(__xludf.DUMMYFUNCTION("""COMPUTED_VALUE"""),"")</f>
        <v/>
      </c>
      <c r="AK34" s="78">
        <f>IFERROR(__xludf.DUMMYFUNCTION("""COMPUTED_VALUE"""),0.0)</f>
        <v>0</v>
      </c>
      <c r="AL34" s="78"/>
      <c r="AM34" s="78"/>
      <c r="AN34" s="78"/>
      <c r="AO34" s="78"/>
      <c r="AP34" s="78"/>
      <c r="AQ34" s="78"/>
      <c r="AR34" s="78"/>
      <c r="AS34" s="78"/>
    </row>
    <row r="35" ht="49.5" customHeight="1">
      <c r="A35" s="77" t="str">
        <f>IFERROR(__xludf.DUMMYFUNCTION("""COMPUTED_VALUE"""),"")</f>
        <v/>
      </c>
      <c r="B35" s="78" t="str">
        <f>IFERROR(__xludf.DUMMYFUNCTION("""COMPUTED_VALUE"""),"吃飽飽起司肉排咖哩")</f>
        <v>吃飽飽起司肉排咖哩</v>
      </c>
      <c r="C35" s="78" t="str">
        <f>IFERROR(__xludf.DUMMYFUNCTION("""COMPUTED_VALUE"""),"heartycheeseburgercurry")</f>
        <v>heartycheeseburgercurry</v>
      </c>
      <c r="D35" s="78">
        <f>IFERROR(__xludf.DUMMYFUNCTION("""COMPUTED_VALUE"""),16.0)</f>
        <v>16</v>
      </c>
      <c r="E35" s="78" t="str">
        <f>IFERROR(__xludf.DUMMYFUNCTION("""COMPUTED_VALUE"""),"咖哩、濃湯")</f>
        <v>咖哩、濃湯</v>
      </c>
      <c r="F35" s="82">
        <f>IFERROR(__xludf.DUMMYFUNCTION("""COMPUTED_VALUE"""),0.19)</f>
        <v>0.19</v>
      </c>
      <c r="G35" s="83">
        <f>IFERROR(__xludf.DUMMYFUNCTION("""COMPUTED_VALUE"""),1608.0)</f>
        <v>1608</v>
      </c>
      <c r="H35" s="83">
        <f>IFERROR(__xludf.DUMMYFUNCTION("""COMPUTED_VALUE"""),1910.0)</f>
        <v>1910</v>
      </c>
      <c r="I35" s="78" t="str">
        <f>IFERROR(__xludf.DUMMYFUNCTION("""COMPUTED_VALUE"""),"豆製肉,8,哞哞鮮奶,8")</f>
        <v>豆製肉,8,哞哞鮮奶,8</v>
      </c>
      <c r="J35" s="78" t="str">
        <f>IFERROR(__xludf.DUMMYFUNCTION("""COMPUTED_VALUE"""),"豆製肉")</f>
        <v>豆製肉</v>
      </c>
      <c r="K35" s="78">
        <f>IFERROR(__xludf.DUMMYFUNCTION("""COMPUTED_VALUE"""),8.0)</f>
        <v>8</v>
      </c>
      <c r="L35" s="78" t="str">
        <f>IFERROR(__xludf.DUMMYFUNCTION("""COMPUTED_VALUE"""),"哞哞鮮奶")</f>
        <v>哞哞鮮奶</v>
      </c>
      <c r="M35" s="78">
        <f>IFERROR(__xludf.DUMMYFUNCTION("""COMPUTED_VALUE"""),8.0)</f>
        <v>8</v>
      </c>
      <c r="N35" s="78"/>
      <c r="O35" s="78"/>
      <c r="P35" s="78"/>
      <c r="Q35" s="78"/>
      <c r="R35" s="78" t="str">
        <f>IFERROR(__xludf.DUMMYFUNCTION("""COMPUTED_VALUE"""),"")</f>
        <v/>
      </c>
      <c r="S35" s="78">
        <f>IFERROR(__xludf.DUMMYFUNCTION("""COMPUTED_VALUE"""),8.0)</f>
        <v>8</v>
      </c>
      <c r="T35" s="78" t="str">
        <f>IFERROR(__xludf.DUMMYFUNCTION("""COMPUTED_VALUE"""),"")</f>
        <v/>
      </c>
      <c r="U35" s="78" t="str">
        <f>IFERROR(__xludf.DUMMYFUNCTION("""COMPUTED_VALUE"""),"")</f>
        <v/>
      </c>
      <c r="V35" s="78">
        <f>IFERROR(__xludf.DUMMYFUNCTION("""COMPUTED_VALUE"""),8.0)</f>
        <v>8</v>
      </c>
      <c r="W35" s="78" t="str">
        <f>IFERROR(__xludf.DUMMYFUNCTION("""COMPUTED_VALUE"""),"")</f>
        <v/>
      </c>
      <c r="X35" s="78" t="str">
        <f>IFERROR(__xludf.DUMMYFUNCTION("""COMPUTED_VALUE"""),"")</f>
        <v/>
      </c>
      <c r="Y35" s="78" t="str">
        <f>IFERROR(__xludf.DUMMYFUNCTION("""COMPUTED_VALUE"""),"")</f>
        <v/>
      </c>
      <c r="Z35" s="78" t="str">
        <f>IFERROR(__xludf.DUMMYFUNCTION("""COMPUTED_VALUE"""),"")</f>
        <v/>
      </c>
      <c r="AA35" s="78" t="str">
        <f>IFERROR(__xludf.DUMMYFUNCTION("""COMPUTED_VALUE"""),"")</f>
        <v/>
      </c>
      <c r="AB35" s="78" t="str">
        <f>IFERROR(__xludf.DUMMYFUNCTION("""COMPUTED_VALUE"""),"")</f>
        <v/>
      </c>
      <c r="AC35" s="78" t="str">
        <f>IFERROR(__xludf.DUMMYFUNCTION("""COMPUTED_VALUE"""),"")</f>
        <v/>
      </c>
      <c r="AD35" s="78" t="str">
        <f>IFERROR(__xludf.DUMMYFUNCTION("""COMPUTED_VALUE"""),"")</f>
        <v/>
      </c>
      <c r="AE35" s="78" t="str">
        <f>IFERROR(__xludf.DUMMYFUNCTION("""COMPUTED_VALUE"""),"")</f>
        <v/>
      </c>
      <c r="AF35" s="78" t="str">
        <f>IFERROR(__xludf.DUMMYFUNCTION("""COMPUTED_VALUE"""),"")</f>
        <v/>
      </c>
      <c r="AG35" s="78" t="str">
        <f>IFERROR(__xludf.DUMMYFUNCTION("""COMPUTED_VALUE"""),"")</f>
        <v/>
      </c>
      <c r="AH35" s="78" t="str">
        <f>IFERROR(__xludf.DUMMYFUNCTION("""COMPUTED_VALUE"""),"")</f>
        <v/>
      </c>
      <c r="AI35" s="78" t="str">
        <f>IFERROR(__xludf.DUMMYFUNCTION("""COMPUTED_VALUE"""),"")</f>
        <v/>
      </c>
      <c r="AJ35" s="78" t="str">
        <f>IFERROR(__xludf.DUMMYFUNCTION("""COMPUTED_VALUE"""),"")</f>
        <v/>
      </c>
      <c r="AK35" s="78">
        <f>IFERROR(__xludf.DUMMYFUNCTION("""COMPUTED_VALUE"""),0.0)</f>
        <v>0</v>
      </c>
      <c r="AL35" s="78"/>
      <c r="AM35" s="78"/>
      <c r="AN35" s="78"/>
      <c r="AO35" s="78"/>
      <c r="AP35" s="78"/>
      <c r="AQ35" s="78"/>
      <c r="AR35" s="78"/>
      <c r="AS35" s="78"/>
    </row>
    <row r="36" ht="49.5" customHeight="1">
      <c r="A36" s="77" t="str">
        <f>IFERROR(__xludf.DUMMYFUNCTION("""COMPUTED_VALUE"""),"")</f>
        <v/>
      </c>
      <c r="B36" s="78" t="str">
        <f>IFERROR(__xludf.DUMMYFUNCTION("""COMPUTED_VALUE"""),"日照炸肉排咖哩")</f>
        <v>日照炸肉排咖哩</v>
      </c>
      <c r="C36" s="78" t="str">
        <f>IFERROR(__xludf.DUMMYFUNCTION("""COMPUTED_VALUE"""),"droughtkatsucurry")</f>
        <v>droughtkatsucurry</v>
      </c>
      <c r="D36" s="78">
        <f>IFERROR(__xludf.DUMMYFUNCTION("""COMPUTED_VALUE"""),15.0)</f>
        <v>15</v>
      </c>
      <c r="E36" s="78" t="str">
        <f>IFERROR(__xludf.DUMMYFUNCTION("""COMPUTED_VALUE"""),"咖哩、濃湯")</f>
        <v>咖哩、濃湯</v>
      </c>
      <c r="F36" s="82">
        <f>IFERROR(__xludf.DUMMYFUNCTION("""COMPUTED_VALUE"""),0.19)</f>
        <v>0.19</v>
      </c>
      <c r="G36" s="83">
        <f>IFERROR(__xludf.DUMMYFUNCTION("""COMPUTED_VALUE"""),1635.0)</f>
        <v>1635</v>
      </c>
      <c r="H36" s="83">
        <f>IFERROR(__xludf.DUMMYFUNCTION("""COMPUTED_VALUE"""),1942.0)</f>
        <v>1942</v>
      </c>
      <c r="I36" s="78" t="str">
        <f>IFERROR(__xludf.DUMMYFUNCTION("""COMPUTED_VALUE"""),"豆製肉,10,純粹油,5")</f>
        <v>豆製肉,10,純粹油,5</v>
      </c>
      <c r="J36" s="78" t="str">
        <f>IFERROR(__xludf.DUMMYFUNCTION("""COMPUTED_VALUE"""),"豆製肉")</f>
        <v>豆製肉</v>
      </c>
      <c r="K36" s="78">
        <f>IFERROR(__xludf.DUMMYFUNCTION("""COMPUTED_VALUE"""),10.0)</f>
        <v>10</v>
      </c>
      <c r="L36" s="78" t="str">
        <f>IFERROR(__xludf.DUMMYFUNCTION("""COMPUTED_VALUE"""),"純粹油")</f>
        <v>純粹油</v>
      </c>
      <c r="M36" s="78">
        <f>IFERROR(__xludf.DUMMYFUNCTION("""COMPUTED_VALUE"""),5.0)</f>
        <v>5</v>
      </c>
      <c r="N36" s="78"/>
      <c r="O36" s="78"/>
      <c r="P36" s="78"/>
      <c r="Q36" s="78"/>
      <c r="R36" s="78" t="str">
        <f>IFERROR(__xludf.DUMMYFUNCTION("""COMPUTED_VALUE"""),"")</f>
        <v/>
      </c>
      <c r="S36" s="78" t="str">
        <f>IFERROR(__xludf.DUMMYFUNCTION("""COMPUTED_VALUE"""),"")</f>
        <v/>
      </c>
      <c r="T36" s="78" t="str">
        <f>IFERROR(__xludf.DUMMYFUNCTION("""COMPUTED_VALUE"""),"")</f>
        <v/>
      </c>
      <c r="U36" s="78" t="str">
        <f>IFERROR(__xludf.DUMMYFUNCTION("""COMPUTED_VALUE"""),"")</f>
        <v/>
      </c>
      <c r="V36" s="78">
        <f>IFERROR(__xludf.DUMMYFUNCTION("""COMPUTED_VALUE"""),10.0)</f>
        <v>10</v>
      </c>
      <c r="W36" s="78" t="str">
        <f>IFERROR(__xludf.DUMMYFUNCTION("""COMPUTED_VALUE"""),"")</f>
        <v/>
      </c>
      <c r="X36" s="78" t="str">
        <f>IFERROR(__xludf.DUMMYFUNCTION("""COMPUTED_VALUE"""),"")</f>
        <v/>
      </c>
      <c r="Y36" s="78" t="str">
        <f>IFERROR(__xludf.DUMMYFUNCTION("""COMPUTED_VALUE"""),"")</f>
        <v/>
      </c>
      <c r="Z36" s="78">
        <f>IFERROR(__xludf.DUMMYFUNCTION("""COMPUTED_VALUE"""),5.0)</f>
        <v>5</v>
      </c>
      <c r="AA36" s="78" t="str">
        <f>IFERROR(__xludf.DUMMYFUNCTION("""COMPUTED_VALUE"""),"")</f>
        <v/>
      </c>
      <c r="AB36" s="78" t="str">
        <f>IFERROR(__xludf.DUMMYFUNCTION("""COMPUTED_VALUE"""),"")</f>
        <v/>
      </c>
      <c r="AC36" s="78" t="str">
        <f>IFERROR(__xludf.DUMMYFUNCTION("""COMPUTED_VALUE"""),"")</f>
        <v/>
      </c>
      <c r="AD36" s="78" t="str">
        <f>IFERROR(__xludf.DUMMYFUNCTION("""COMPUTED_VALUE"""),"")</f>
        <v/>
      </c>
      <c r="AE36" s="78" t="str">
        <f>IFERROR(__xludf.DUMMYFUNCTION("""COMPUTED_VALUE"""),"")</f>
        <v/>
      </c>
      <c r="AF36" s="78" t="str">
        <f>IFERROR(__xludf.DUMMYFUNCTION("""COMPUTED_VALUE"""),"")</f>
        <v/>
      </c>
      <c r="AG36" s="78" t="str">
        <f>IFERROR(__xludf.DUMMYFUNCTION("""COMPUTED_VALUE"""),"")</f>
        <v/>
      </c>
      <c r="AH36" s="78" t="str">
        <f>IFERROR(__xludf.DUMMYFUNCTION("""COMPUTED_VALUE"""),"")</f>
        <v/>
      </c>
      <c r="AI36" s="78" t="str">
        <f>IFERROR(__xludf.DUMMYFUNCTION("""COMPUTED_VALUE"""),"")</f>
        <v/>
      </c>
      <c r="AJ36" s="78" t="str">
        <f>IFERROR(__xludf.DUMMYFUNCTION("""COMPUTED_VALUE"""),"")</f>
        <v/>
      </c>
      <c r="AK36" s="78">
        <f>IFERROR(__xludf.DUMMYFUNCTION("""COMPUTED_VALUE"""),0.0)</f>
        <v>0</v>
      </c>
      <c r="AL36" s="78"/>
      <c r="AM36" s="78"/>
      <c r="AN36" s="78"/>
      <c r="AO36" s="78"/>
      <c r="AP36" s="78"/>
      <c r="AQ36" s="78"/>
      <c r="AR36" s="78"/>
      <c r="AS36" s="78"/>
    </row>
    <row r="37" ht="49.5" customHeight="1">
      <c r="A37" s="77" t="str">
        <f>IFERROR(__xludf.DUMMYFUNCTION("""COMPUTED_VALUE"""),"")</f>
        <v/>
      </c>
      <c r="B37" s="78" t="str">
        <f>IFERROR(__xludf.DUMMYFUNCTION("""COMPUTED_VALUE"""),"太陽之力番茄咖哩")</f>
        <v>太陽之力番茄咖哩</v>
      </c>
      <c r="C37" s="78" t="str">
        <f>IFERROR(__xludf.DUMMYFUNCTION("""COMPUTED_VALUE"""),"solarpowertomatocurry")</f>
        <v>solarpowertomatocurry</v>
      </c>
      <c r="D37" s="78">
        <f>IFERROR(__xludf.DUMMYFUNCTION("""COMPUTED_VALUE"""),15.0)</f>
        <v>15</v>
      </c>
      <c r="E37" s="78" t="str">
        <f>IFERROR(__xludf.DUMMYFUNCTION("""COMPUTED_VALUE"""),"咖哩、濃湯")</f>
        <v>咖哩、濃湯</v>
      </c>
      <c r="F37" s="82">
        <f>IFERROR(__xludf.DUMMYFUNCTION("""COMPUTED_VALUE"""),0.19)</f>
        <v>0.19</v>
      </c>
      <c r="G37" s="83">
        <f>IFERROR(__xludf.DUMMYFUNCTION("""COMPUTED_VALUE"""),1750.0)</f>
        <v>1750</v>
      </c>
      <c r="H37" s="83">
        <f>IFERROR(__xludf.DUMMYFUNCTION("""COMPUTED_VALUE"""),2078.0)</f>
        <v>2078</v>
      </c>
      <c r="I37" s="78" t="str">
        <f>IFERROR(__xludf.DUMMYFUNCTION("""COMPUTED_VALUE"""),"好眠番茄,10,火辣香草,5")</f>
        <v>好眠番茄,10,火辣香草,5</v>
      </c>
      <c r="J37" s="78" t="str">
        <f>IFERROR(__xludf.DUMMYFUNCTION("""COMPUTED_VALUE"""),"好眠番茄")</f>
        <v>好眠番茄</v>
      </c>
      <c r="K37" s="78">
        <f>IFERROR(__xludf.DUMMYFUNCTION("""COMPUTED_VALUE"""),10.0)</f>
        <v>10</v>
      </c>
      <c r="L37" s="78" t="str">
        <f>IFERROR(__xludf.DUMMYFUNCTION("""COMPUTED_VALUE"""),"火辣香草")</f>
        <v>火辣香草</v>
      </c>
      <c r="M37" s="78">
        <f>IFERROR(__xludf.DUMMYFUNCTION("""COMPUTED_VALUE"""),5.0)</f>
        <v>5</v>
      </c>
      <c r="N37" s="78"/>
      <c r="O37" s="78"/>
      <c r="P37" s="78"/>
      <c r="Q37" s="78"/>
      <c r="R37" s="78" t="str">
        <f>IFERROR(__xludf.DUMMYFUNCTION("""COMPUTED_VALUE"""),"")</f>
        <v/>
      </c>
      <c r="S37" s="78" t="str">
        <f>IFERROR(__xludf.DUMMYFUNCTION("""COMPUTED_VALUE"""),"")</f>
        <v/>
      </c>
      <c r="T37" s="78" t="str">
        <f>IFERROR(__xludf.DUMMYFUNCTION("""COMPUTED_VALUE"""),"")</f>
        <v/>
      </c>
      <c r="U37" s="78" t="str">
        <f>IFERROR(__xludf.DUMMYFUNCTION("""COMPUTED_VALUE"""),"")</f>
        <v/>
      </c>
      <c r="V37" s="78" t="str">
        <f>IFERROR(__xludf.DUMMYFUNCTION("""COMPUTED_VALUE"""),"")</f>
        <v/>
      </c>
      <c r="W37" s="78" t="str">
        <f>IFERROR(__xludf.DUMMYFUNCTION("""COMPUTED_VALUE"""),"")</f>
        <v/>
      </c>
      <c r="X37" s="78">
        <f>IFERROR(__xludf.DUMMYFUNCTION("""COMPUTED_VALUE"""),10.0)</f>
        <v>10</v>
      </c>
      <c r="Y37" s="78" t="str">
        <f>IFERROR(__xludf.DUMMYFUNCTION("""COMPUTED_VALUE"""),"")</f>
        <v/>
      </c>
      <c r="Z37" s="78" t="str">
        <f>IFERROR(__xludf.DUMMYFUNCTION("""COMPUTED_VALUE"""),"")</f>
        <v/>
      </c>
      <c r="AA37" s="78" t="str">
        <f>IFERROR(__xludf.DUMMYFUNCTION("""COMPUTED_VALUE"""),"")</f>
        <v/>
      </c>
      <c r="AB37" s="78">
        <f>IFERROR(__xludf.DUMMYFUNCTION("""COMPUTED_VALUE"""),5.0)</f>
        <v>5</v>
      </c>
      <c r="AC37" s="78" t="str">
        <f>IFERROR(__xludf.DUMMYFUNCTION("""COMPUTED_VALUE"""),"")</f>
        <v/>
      </c>
      <c r="AD37" s="78" t="str">
        <f>IFERROR(__xludf.DUMMYFUNCTION("""COMPUTED_VALUE"""),"")</f>
        <v/>
      </c>
      <c r="AE37" s="78" t="str">
        <f>IFERROR(__xludf.DUMMYFUNCTION("""COMPUTED_VALUE"""),"")</f>
        <v/>
      </c>
      <c r="AF37" s="78" t="str">
        <f>IFERROR(__xludf.DUMMYFUNCTION("""COMPUTED_VALUE"""),"")</f>
        <v/>
      </c>
      <c r="AG37" s="78" t="str">
        <f>IFERROR(__xludf.DUMMYFUNCTION("""COMPUTED_VALUE"""),"")</f>
        <v/>
      </c>
      <c r="AH37" s="78" t="str">
        <f>IFERROR(__xludf.DUMMYFUNCTION("""COMPUTED_VALUE"""),"")</f>
        <v/>
      </c>
      <c r="AI37" s="78" t="str">
        <f>IFERROR(__xludf.DUMMYFUNCTION("""COMPUTED_VALUE"""),"")</f>
        <v/>
      </c>
      <c r="AJ37" s="78" t="str">
        <f>IFERROR(__xludf.DUMMYFUNCTION("""COMPUTED_VALUE"""),"")</f>
        <v/>
      </c>
      <c r="AK37" s="78">
        <f>IFERROR(__xludf.DUMMYFUNCTION("""COMPUTED_VALUE"""),0.0)</f>
        <v>0</v>
      </c>
      <c r="AL37" s="78"/>
      <c r="AM37" s="78"/>
      <c r="AN37" s="78"/>
      <c r="AO37" s="78"/>
      <c r="AP37" s="78"/>
      <c r="AQ37" s="78"/>
      <c r="AR37" s="78"/>
      <c r="AS37" s="78"/>
    </row>
    <row r="38" ht="49.5" customHeight="1">
      <c r="A38" s="77" t="str">
        <f>IFERROR(__xludf.DUMMYFUNCTION("""COMPUTED_VALUE"""),"")</f>
        <v/>
      </c>
      <c r="B38" s="78" t="str">
        <f>IFERROR(__xludf.DUMMYFUNCTION("""COMPUTED_VALUE"""),"入口即化蛋捲咖哩")</f>
        <v>入口即化蛋捲咖哩</v>
      </c>
      <c r="C38" s="78" t="str">
        <f>IFERROR(__xludf.DUMMYFUNCTION("""COMPUTED_VALUE"""),"meltyomelettecurry")</f>
        <v>meltyomelettecurry</v>
      </c>
      <c r="D38" s="78">
        <f>IFERROR(__xludf.DUMMYFUNCTION("""COMPUTED_VALUE"""),16.0)</f>
        <v>16</v>
      </c>
      <c r="E38" s="78" t="str">
        <f>IFERROR(__xludf.DUMMYFUNCTION("""COMPUTED_VALUE"""),"咖哩、濃湯")</f>
        <v>咖哩、濃湯</v>
      </c>
      <c r="F38" s="82">
        <f>IFERROR(__xludf.DUMMYFUNCTION("""COMPUTED_VALUE"""),0.19)</f>
        <v>0.19</v>
      </c>
      <c r="G38" s="83">
        <f>IFERROR(__xludf.DUMMYFUNCTION("""COMPUTED_VALUE"""),1810.0)</f>
        <v>1810</v>
      </c>
      <c r="H38" s="83">
        <f>IFERROR(__xludf.DUMMYFUNCTION("""COMPUTED_VALUE"""),2150.0)</f>
        <v>2150</v>
      </c>
      <c r="I38" s="78" t="str">
        <f>IFERROR(__xludf.DUMMYFUNCTION("""COMPUTED_VALUE"""),"特選蛋,10,好眠番茄,6")</f>
        <v>特選蛋,10,好眠番茄,6</v>
      </c>
      <c r="J38" s="78" t="str">
        <f>IFERROR(__xludf.DUMMYFUNCTION("""COMPUTED_VALUE"""),"特選蛋")</f>
        <v>特選蛋</v>
      </c>
      <c r="K38" s="78">
        <f>IFERROR(__xludf.DUMMYFUNCTION("""COMPUTED_VALUE"""),10.0)</f>
        <v>10</v>
      </c>
      <c r="L38" s="78" t="str">
        <f>IFERROR(__xludf.DUMMYFUNCTION("""COMPUTED_VALUE"""),"好眠番茄")</f>
        <v>好眠番茄</v>
      </c>
      <c r="M38" s="78">
        <f>IFERROR(__xludf.DUMMYFUNCTION("""COMPUTED_VALUE"""),6.0)</f>
        <v>6</v>
      </c>
      <c r="N38" s="78"/>
      <c r="O38" s="78"/>
      <c r="P38" s="78"/>
      <c r="Q38" s="78"/>
      <c r="R38" s="78" t="str">
        <f>IFERROR(__xludf.DUMMYFUNCTION("""COMPUTED_VALUE"""),"")</f>
        <v/>
      </c>
      <c r="S38" s="78" t="str">
        <f>IFERROR(__xludf.DUMMYFUNCTION("""COMPUTED_VALUE"""),"")</f>
        <v/>
      </c>
      <c r="T38" s="78" t="str">
        <f>IFERROR(__xludf.DUMMYFUNCTION("""COMPUTED_VALUE"""),"")</f>
        <v/>
      </c>
      <c r="U38" s="78" t="str">
        <f>IFERROR(__xludf.DUMMYFUNCTION("""COMPUTED_VALUE"""),"")</f>
        <v/>
      </c>
      <c r="V38" s="78" t="str">
        <f>IFERROR(__xludf.DUMMYFUNCTION("""COMPUTED_VALUE"""),"")</f>
        <v/>
      </c>
      <c r="W38" s="78" t="str">
        <f>IFERROR(__xludf.DUMMYFUNCTION("""COMPUTED_VALUE"""),"")</f>
        <v/>
      </c>
      <c r="X38" s="78">
        <f>IFERROR(__xludf.DUMMYFUNCTION("""COMPUTED_VALUE"""),6.0)</f>
        <v>6</v>
      </c>
      <c r="Y38" s="78">
        <f>IFERROR(__xludf.DUMMYFUNCTION("""COMPUTED_VALUE"""),10.0)</f>
        <v>10</v>
      </c>
      <c r="Z38" s="78" t="str">
        <f>IFERROR(__xludf.DUMMYFUNCTION("""COMPUTED_VALUE"""),"")</f>
        <v/>
      </c>
      <c r="AA38" s="78" t="str">
        <f>IFERROR(__xludf.DUMMYFUNCTION("""COMPUTED_VALUE"""),"")</f>
        <v/>
      </c>
      <c r="AB38" s="78" t="str">
        <f>IFERROR(__xludf.DUMMYFUNCTION("""COMPUTED_VALUE"""),"")</f>
        <v/>
      </c>
      <c r="AC38" s="78" t="str">
        <f>IFERROR(__xludf.DUMMYFUNCTION("""COMPUTED_VALUE"""),"")</f>
        <v/>
      </c>
      <c r="AD38" s="78" t="str">
        <f>IFERROR(__xludf.DUMMYFUNCTION("""COMPUTED_VALUE"""),"")</f>
        <v/>
      </c>
      <c r="AE38" s="78" t="str">
        <f>IFERROR(__xludf.DUMMYFUNCTION("""COMPUTED_VALUE"""),"")</f>
        <v/>
      </c>
      <c r="AF38" s="78" t="str">
        <f>IFERROR(__xludf.DUMMYFUNCTION("""COMPUTED_VALUE"""),"")</f>
        <v/>
      </c>
      <c r="AG38" s="78" t="str">
        <f>IFERROR(__xludf.DUMMYFUNCTION("""COMPUTED_VALUE"""),"")</f>
        <v/>
      </c>
      <c r="AH38" s="78" t="str">
        <f>IFERROR(__xludf.DUMMYFUNCTION("""COMPUTED_VALUE"""),"")</f>
        <v/>
      </c>
      <c r="AI38" s="78" t="str">
        <f>IFERROR(__xludf.DUMMYFUNCTION("""COMPUTED_VALUE"""),"")</f>
        <v/>
      </c>
      <c r="AJ38" s="78" t="str">
        <f>IFERROR(__xludf.DUMMYFUNCTION("""COMPUTED_VALUE"""),"")</f>
        <v/>
      </c>
      <c r="AK38" s="78">
        <f>IFERROR(__xludf.DUMMYFUNCTION("""COMPUTED_VALUE"""),0.0)</f>
        <v>0</v>
      </c>
      <c r="AL38" s="78"/>
      <c r="AM38" s="78"/>
      <c r="AN38" s="78"/>
      <c r="AO38" s="78"/>
      <c r="AP38" s="78"/>
      <c r="AQ38" s="78"/>
      <c r="AR38" s="78"/>
      <c r="AS38" s="78"/>
    </row>
    <row r="39" ht="49.5" customHeight="1">
      <c r="A39" s="77" t="str">
        <f>IFERROR(__xludf.DUMMYFUNCTION("""COMPUTED_VALUE"""),"")</f>
        <v/>
      </c>
      <c r="B39" s="78" t="str">
        <f>IFERROR(__xludf.DUMMYFUNCTION("""COMPUTED_VALUE"""),"窩心白醬濃湯")</f>
        <v>窩心白醬濃湯</v>
      </c>
      <c r="C39" s="78" t="str">
        <f>IFERROR(__xludf.DUMMYFUNCTION("""COMPUTED_VALUE"""),"softpotatochowder")</f>
        <v>softpotatochowder</v>
      </c>
      <c r="D39" s="78">
        <f>IFERROR(__xludf.DUMMYFUNCTION("""COMPUTED_VALUE"""),22.0)</f>
        <v>22</v>
      </c>
      <c r="E39" s="78" t="str">
        <f>IFERROR(__xludf.DUMMYFUNCTION("""COMPUTED_VALUE"""),"咖哩、濃湯")</f>
        <v>咖哩、濃湯</v>
      </c>
      <c r="F39" s="82">
        <f>IFERROR(__xludf.DUMMYFUNCTION("""COMPUTED_VALUE"""),0.2)</f>
        <v>0.2</v>
      </c>
      <c r="G39" s="83">
        <f>IFERROR(__xludf.DUMMYFUNCTION("""COMPUTED_VALUE"""),2640.0)</f>
        <v>2640</v>
      </c>
      <c r="H39" s="83">
        <f>IFERROR(__xludf.DUMMYFUNCTION("""COMPUTED_VALUE"""),3181.0)</f>
        <v>3181</v>
      </c>
      <c r="I39" s="78" t="str">
        <f>IFERROR(__xludf.DUMMYFUNCTION("""COMPUTED_VALUE"""),"哞哞鮮奶,10,窩心洋芋,8,品鮮蘑菇,4")</f>
        <v>哞哞鮮奶,10,窩心洋芋,8,品鮮蘑菇,4</v>
      </c>
      <c r="J39" s="78" t="str">
        <f>IFERROR(__xludf.DUMMYFUNCTION("""COMPUTED_VALUE"""),"哞哞鮮奶")</f>
        <v>哞哞鮮奶</v>
      </c>
      <c r="K39" s="78">
        <f>IFERROR(__xludf.DUMMYFUNCTION("""COMPUTED_VALUE"""),10.0)</f>
        <v>10</v>
      </c>
      <c r="L39" s="78" t="str">
        <f>IFERROR(__xludf.DUMMYFUNCTION("""COMPUTED_VALUE"""),"窩心洋芋")</f>
        <v>窩心洋芋</v>
      </c>
      <c r="M39" s="78">
        <f>IFERROR(__xludf.DUMMYFUNCTION("""COMPUTED_VALUE"""),8.0)</f>
        <v>8</v>
      </c>
      <c r="N39" s="78" t="str">
        <f>IFERROR(__xludf.DUMMYFUNCTION("""COMPUTED_VALUE"""),"品鮮蘑菇")</f>
        <v>品鮮蘑菇</v>
      </c>
      <c r="O39" s="78">
        <f>IFERROR(__xludf.DUMMYFUNCTION("""COMPUTED_VALUE"""),4.0)</f>
        <v>4</v>
      </c>
      <c r="P39" s="78"/>
      <c r="Q39" s="78"/>
      <c r="R39" s="78" t="str">
        <f>IFERROR(__xludf.DUMMYFUNCTION("""COMPUTED_VALUE"""),"")</f>
        <v/>
      </c>
      <c r="S39" s="78">
        <f>IFERROR(__xludf.DUMMYFUNCTION("""COMPUTED_VALUE"""),10.0)</f>
        <v>10</v>
      </c>
      <c r="T39" s="78" t="str">
        <f>IFERROR(__xludf.DUMMYFUNCTION("""COMPUTED_VALUE"""),"")</f>
        <v/>
      </c>
      <c r="U39" s="78" t="str">
        <f>IFERROR(__xludf.DUMMYFUNCTION("""COMPUTED_VALUE"""),"")</f>
        <v/>
      </c>
      <c r="V39" s="78" t="str">
        <f>IFERROR(__xludf.DUMMYFUNCTION("""COMPUTED_VALUE"""),"")</f>
        <v/>
      </c>
      <c r="W39" s="78" t="str">
        <f>IFERROR(__xludf.DUMMYFUNCTION("""COMPUTED_VALUE"""),"")</f>
        <v/>
      </c>
      <c r="X39" s="78" t="str">
        <f>IFERROR(__xludf.DUMMYFUNCTION("""COMPUTED_VALUE"""),"")</f>
        <v/>
      </c>
      <c r="Y39" s="78" t="str">
        <f>IFERROR(__xludf.DUMMYFUNCTION("""COMPUTED_VALUE"""),"")</f>
        <v/>
      </c>
      <c r="Z39" s="78" t="str">
        <f>IFERROR(__xludf.DUMMYFUNCTION("""COMPUTED_VALUE"""),"")</f>
        <v/>
      </c>
      <c r="AA39" s="78">
        <f>IFERROR(__xludf.DUMMYFUNCTION("""COMPUTED_VALUE"""),8.0)</f>
        <v>8</v>
      </c>
      <c r="AB39" s="78" t="str">
        <f>IFERROR(__xludf.DUMMYFUNCTION("""COMPUTED_VALUE"""),"")</f>
        <v/>
      </c>
      <c r="AC39" s="78" t="str">
        <f>IFERROR(__xludf.DUMMYFUNCTION("""COMPUTED_VALUE"""),"")</f>
        <v/>
      </c>
      <c r="AD39" s="78" t="str">
        <f>IFERROR(__xludf.DUMMYFUNCTION("""COMPUTED_VALUE"""),"")</f>
        <v/>
      </c>
      <c r="AE39" s="78" t="str">
        <f>IFERROR(__xludf.DUMMYFUNCTION("""COMPUTED_VALUE"""),"")</f>
        <v/>
      </c>
      <c r="AF39" s="78" t="str">
        <f>IFERROR(__xludf.DUMMYFUNCTION("""COMPUTED_VALUE"""),"")</f>
        <v/>
      </c>
      <c r="AG39" s="78">
        <f>IFERROR(__xludf.DUMMYFUNCTION("""COMPUTED_VALUE"""),4.0)</f>
        <v>4</v>
      </c>
      <c r="AH39" s="78" t="str">
        <f>IFERROR(__xludf.DUMMYFUNCTION("""COMPUTED_VALUE"""),"")</f>
        <v/>
      </c>
      <c r="AI39" s="78" t="str">
        <f>IFERROR(__xludf.DUMMYFUNCTION("""COMPUTED_VALUE"""),"")</f>
        <v/>
      </c>
      <c r="AJ39" s="78" t="str">
        <f>IFERROR(__xludf.DUMMYFUNCTION("""COMPUTED_VALUE"""),"")</f>
        <v/>
      </c>
      <c r="AK39" s="78">
        <f>IFERROR(__xludf.DUMMYFUNCTION("""COMPUTED_VALUE"""),0.0)</f>
        <v>0</v>
      </c>
      <c r="AL39" s="78"/>
      <c r="AM39" s="78"/>
      <c r="AN39" s="78"/>
      <c r="AO39" s="78"/>
      <c r="AP39" s="78"/>
      <c r="AQ39" s="78"/>
      <c r="AR39" s="78"/>
      <c r="AS39" s="78"/>
    </row>
    <row r="40" ht="49.5" customHeight="1">
      <c r="A40" s="77" t="str">
        <f>IFERROR(__xludf.DUMMYFUNCTION("""COMPUTED_VALUE"""),"")</f>
        <v/>
      </c>
      <c r="B40" s="78" t="str">
        <f>IFERROR(__xludf.DUMMYFUNCTION("""COMPUTED_VALUE"""),"健美豆子咖哩")</f>
        <v>健美豆子咖哩</v>
      </c>
      <c r="C40" s="78" t="str">
        <f>IFERROR(__xludf.DUMMYFUNCTION("""COMPUTED_VALUE"""),"bulkupbeancurry")</f>
        <v>bulkupbeancurry</v>
      </c>
      <c r="D40" s="78">
        <f>IFERROR(__xludf.DUMMYFUNCTION("""COMPUTED_VALUE"""),26.0)</f>
        <v>26</v>
      </c>
      <c r="E40" s="78" t="str">
        <f>IFERROR(__xludf.DUMMYFUNCTION("""COMPUTED_VALUE"""),"咖哩、濃湯")</f>
        <v>咖哩、濃湯</v>
      </c>
      <c r="F40" s="82">
        <f>IFERROR(__xludf.DUMMYFUNCTION("""COMPUTED_VALUE"""),0.21)</f>
        <v>0.21</v>
      </c>
      <c r="G40" s="83">
        <f>IFERROR(__xludf.DUMMYFUNCTION("""COMPUTED_VALUE"""),2798.0)</f>
        <v>2798</v>
      </c>
      <c r="H40" s="83">
        <f>IFERROR(__xludf.DUMMYFUNCTION("""COMPUTED_VALUE"""),3372.0)</f>
        <v>3372</v>
      </c>
      <c r="I40" s="78" t="str">
        <f>IFERROR(__xludf.DUMMYFUNCTION("""COMPUTED_VALUE"""),"萌綠大豆,12,豆製肉,6,特選蛋,4,火辣香草,4")</f>
        <v>萌綠大豆,12,豆製肉,6,特選蛋,4,火辣香草,4</v>
      </c>
      <c r="J40" s="78" t="str">
        <f>IFERROR(__xludf.DUMMYFUNCTION("""COMPUTED_VALUE"""),"萌綠大豆")</f>
        <v>萌綠大豆</v>
      </c>
      <c r="K40" s="78">
        <f>IFERROR(__xludf.DUMMYFUNCTION("""COMPUTED_VALUE"""),12.0)</f>
        <v>12</v>
      </c>
      <c r="L40" s="78" t="str">
        <f>IFERROR(__xludf.DUMMYFUNCTION("""COMPUTED_VALUE"""),"豆製肉")</f>
        <v>豆製肉</v>
      </c>
      <c r="M40" s="78">
        <f>IFERROR(__xludf.DUMMYFUNCTION("""COMPUTED_VALUE"""),6.0)</f>
        <v>6</v>
      </c>
      <c r="N40" s="78" t="str">
        <f>IFERROR(__xludf.DUMMYFUNCTION("""COMPUTED_VALUE"""),"特選蛋")</f>
        <v>特選蛋</v>
      </c>
      <c r="O40" s="78">
        <f>IFERROR(__xludf.DUMMYFUNCTION("""COMPUTED_VALUE"""),4.0)</f>
        <v>4</v>
      </c>
      <c r="P40" s="78" t="str">
        <f>IFERROR(__xludf.DUMMYFUNCTION("""COMPUTED_VALUE"""),"火辣香草")</f>
        <v>火辣香草</v>
      </c>
      <c r="Q40" s="78">
        <f>IFERROR(__xludf.DUMMYFUNCTION("""COMPUTED_VALUE"""),4.0)</f>
        <v>4</v>
      </c>
      <c r="R40" s="78" t="str">
        <f>IFERROR(__xludf.DUMMYFUNCTION("""COMPUTED_VALUE"""),"")</f>
        <v/>
      </c>
      <c r="S40" s="78" t="str">
        <f>IFERROR(__xludf.DUMMYFUNCTION("""COMPUTED_VALUE"""),"")</f>
        <v/>
      </c>
      <c r="T40" s="78">
        <f>IFERROR(__xludf.DUMMYFUNCTION("""COMPUTED_VALUE"""),12.0)</f>
        <v>12</v>
      </c>
      <c r="U40" s="78" t="str">
        <f>IFERROR(__xludf.DUMMYFUNCTION("""COMPUTED_VALUE"""),"")</f>
        <v/>
      </c>
      <c r="V40" s="78">
        <f>IFERROR(__xludf.DUMMYFUNCTION("""COMPUTED_VALUE"""),6.0)</f>
        <v>6</v>
      </c>
      <c r="W40" s="78" t="str">
        <f>IFERROR(__xludf.DUMMYFUNCTION("""COMPUTED_VALUE"""),"")</f>
        <v/>
      </c>
      <c r="X40" s="78" t="str">
        <f>IFERROR(__xludf.DUMMYFUNCTION("""COMPUTED_VALUE"""),"")</f>
        <v/>
      </c>
      <c r="Y40" s="78">
        <f>IFERROR(__xludf.DUMMYFUNCTION("""COMPUTED_VALUE"""),4.0)</f>
        <v>4</v>
      </c>
      <c r="Z40" s="78" t="str">
        <f>IFERROR(__xludf.DUMMYFUNCTION("""COMPUTED_VALUE"""),"")</f>
        <v/>
      </c>
      <c r="AA40" s="78" t="str">
        <f>IFERROR(__xludf.DUMMYFUNCTION("""COMPUTED_VALUE"""),"")</f>
        <v/>
      </c>
      <c r="AB40" s="78">
        <f>IFERROR(__xludf.DUMMYFUNCTION("""COMPUTED_VALUE"""),4.0)</f>
        <v>4</v>
      </c>
      <c r="AC40" s="78" t="str">
        <f>IFERROR(__xludf.DUMMYFUNCTION("""COMPUTED_VALUE"""),"")</f>
        <v/>
      </c>
      <c r="AD40" s="78" t="str">
        <f>IFERROR(__xludf.DUMMYFUNCTION("""COMPUTED_VALUE"""),"")</f>
        <v/>
      </c>
      <c r="AE40" s="78" t="str">
        <f>IFERROR(__xludf.DUMMYFUNCTION("""COMPUTED_VALUE"""),"")</f>
        <v/>
      </c>
      <c r="AF40" s="78" t="str">
        <f>IFERROR(__xludf.DUMMYFUNCTION("""COMPUTED_VALUE"""),"")</f>
        <v/>
      </c>
      <c r="AG40" s="78" t="str">
        <f>IFERROR(__xludf.DUMMYFUNCTION("""COMPUTED_VALUE"""),"")</f>
        <v/>
      </c>
      <c r="AH40" s="78" t="str">
        <f>IFERROR(__xludf.DUMMYFUNCTION("""COMPUTED_VALUE"""),"")</f>
        <v/>
      </c>
      <c r="AI40" s="78" t="str">
        <f>IFERROR(__xludf.DUMMYFUNCTION("""COMPUTED_VALUE"""),"")</f>
        <v/>
      </c>
      <c r="AJ40" s="78" t="str">
        <f>IFERROR(__xludf.DUMMYFUNCTION("""COMPUTED_VALUE"""),"")</f>
        <v/>
      </c>
      <c r="AK40" s="78" t="str">
        <f>IFERROR(__xludf.DUMMYFUNCTION("""COMPUTED_VALUE"""),"")</f>
        <v/>
      </c>
      <c r="AL40" s="78"/>
      <c r="AM40" s="78"/>
      <c r="AN40" s="78"/>
      <c r="AO40" s="78"/>
      <c r="AP40" s="78"/>
      <c r="AQ40" s="78"/>
      <c r="AR40" s="78"/>
      <c r="AS40" s="78"/>
    </row>
    <row r="41" ht="49.5" customHeight="1">
      <c r="A41" s="77" t="str">
        <f>IFERROR(__xludf.DUMMYFUNCTION("""COMPUTED_VALUE"""),"")</f>
        <v/>
      </c>
      <c r="B41" s="78" t="str">
        <f>IFERROR(__xludf.DUMMYFUNCTION("""COMPUTED_VALUE"""),"蘑菇孢子咖哩")</f>
        <v>蘑菇孢子咖哩</v>
      </c>
      <c r="C41" s="78" t="str">
        <f>IFERROR(__xludf.DUMMYFUNCTION("""COMPUTED_VALUE"""),"sporemushroomcurry")</f>
        <v>sporemushroomcurry</v>
      </c>
      <c r="D41" s="78">
        <f>IFERROR(__xludf.DUMMYFUNCTION("""COMPUTED_VALUE"""),23.0)</f>
        <v>23</v>
      </c>
      <c r="E41" s="78" t="str">
        <f>IFERROR(__xludf.DUMMYFUNCTION("""COMPUTED_VALUE"""),"咖哩、濃湯")</f>
        <v>咖哩、濃湯</v>
      </c>
      <c r="F41" s="82">
        <f>IFERROR(__xludf.DUMMYFUNCTION("""COMPUTED_VALUE"""),0.2)</f>
        <v>0.2</v>
      </c>
      <c r="G41" s="83">
        <f>IFERROR(__xludf.DUMMYFUNCTION("""COMPUTED_VALUE"""),3454.0)</f>
        <v>3454</v>
      </c>
      <c r="H41" s="83">
        <f>IFERROR(__xludf.DUMMYFUNCTION("""COMPUTED_VALUE"""),4162.0)</f>
        <v>4162</v>
      </c>
      <c r="I41" s="78" t="str">
        <f>IFERROR(__xludf.DUMMYFUNCTION("""COMPUTED_VALUE"""),"品鮮蘑菇,14,窩心洋芋,9")</f>
        <v>品鮮蘑菇,14,窩心洋芋,9</v>
      </c>
      <c r="J41" s="78" t="str">
        <f>IFERROR(__xludf.DUMMYFUNCTION("""COMPUTED_VALUE"""),"品鮮蘑菇")</f>
        <v>品鮮蘑菇</v>
      </c>
      <c r="K41" s="78">
        <f>IFERROR(__xludf.DUMMYFUNCTION("""COMPUTED_VALUE"""),14.0)</f>
        <v>14</v>
      </c>
      <c r="L41" s="78" t="str">
        <f>IFERROR(__xludf.DUMMYFUNCTION("""COMPUTED_VALUE"""),"窩心洋芋")</f>
        <v>窩心洋芋</v>
      </c>
      <c r="M41" s="78">
        <f>IFERROR(__xludf.DUMMYFUNCTION("""COMPUTED_VALUE"""),9.0)</f>
        <v>9</v>
      </c>
      <c r="N41" s="78"/>
      <c r="O41" s="78"/>
      <c r="P41" s="78"/>
      <c r="Q41" s="78"/>
      <c r="R41" s="78" t="str">
        <f>IFERROR(__xludf.DUMMYFUNCTION("""COMPUTED_VALUE"""),"")</f>
        <v/>
      </c>
      <c r="S41" s="78" t="str">
        <f>IFERROR(__xludf.DUMMYFUNCTION("""COMPUTED_VALUE"""),"")</f>
        <v/>
      </c>
      <c r="T41" s="78" t="str">
        <f>IFERROR(__xludf.DUMMYFUNCTION("""COMPUTED_VALUE"""),"")</f>
        <v/>
      </c>
      <c r="U41" s="78" t="str">
        <f>IFERROR(__xludf.DUMMYFUNCTION("""COMPUTED_VALUE"""),"")</f>
        <v/>
      </c>
      <c r="V41" s="78" t="str">
        <f>IFERROR(__xludf.DUMMYFUNCTION("""COMPUTED_VALUE"""),"")</f>
        <v/>
      </c>
      <c r="W41" s="78" t="str">
        <f>IFERROR(__xludf.DUMMYFUNCTION("""COMPUTED_VALUE"""),"")</f>
        <v/>
      </c>
      <c r="X41" s="78" t="str">
        <f>IFERROR(__xludf.DUMMYFUNCTION("""COMPUTED_VALUE"""),"")</f>
        <v/>
      </c>
      <c r="Y41" s="78" t="str">
        <f>IFERROR(__xludf.DUMMYFUNCTION("""COMPUTED_VALUE"""),"")</f>
        <v/>
      </c>
      <c r="Z41" s="78" t="str">
        <f>IFERROR(__xludf.DUMMYFUNCTION("""COMPUTED_VALUE"""),"")</f>
        <v/>
      </c>
      <c r="AA41" s="78">
        <f>IFERROR(__xludf.DUMMYFUNCTION("""COMPUTED_VALUE"""),9.0)</f>
        <v>9</v>
      </c>
      <c r="AB41" s="78" t="str">
        <f>IFERROR(__xludf.DUMMYFUNCTION("""COMPUTED_VALUE"""),"")</f>
        <v/>
      </c>
      <c r="AC41" s="78" t="str">
        <f>IFERROR(__xludf.DUMMYFUNCTION("""COMPUTED_VALUE"""),"")</f>
        <v/>
      </c>
      <c r="AD41" s="78" t="str">
        <f>IFERROR(__xludf.DUMMYFUNCTION("""COMPUTED_VALUE"""),"")</f>
        <v/>
      </c>
      <c r="AE41" s="78" t="str">
        <f>IFERROR(__xludf.DUMMYFUNCTION("""COMPUTED_VALUE"""),"")</f>
        <v/>
      </c>
      <c r="AF41" s="78" t="str">
        <f>IFERROR(__xludf.DUMMYFUNCTION("""COMPUTED_VALUE"""),"")</f>
        <v/>
      </c>
      <c r="AG41" s="78">
        <f>IFERROR(__xludf.DUMMYFUNCTION("""COMPUTED_VALUE"""),14.0)</f>
        <v>14</v>
      </c>
      <c r="AH41" s="78" t="str">
        <f>IFERROR(__xludf.DUMMYFUNCTION("""COMPUTED_VALUE"""),"")</f>
        <v/>
      </c>
      <c r="AI41" s="78" t="str">
        <f>IFERROR(__xludf.DUMMYFUNCTION("""COMPUTED_VALUE"""),"")</f>
        <v/>
      </c>
      <c r="AJ41" s="78" t="str">
        <f>IFERROR(__xludf.DUMMYFUNCTION("""COMPUTED_VALUE"""),"")</f>
        <v/>
      </c>
      <c r="AK41" s="78">
        <f>IFERROR(__xludf.DUMMYFUNCTION("""COMPUTED_VALUE"""),0.0)</f>
        <v>0</v>
      </c>
      <c r="AL41" s="78"/>
      <c r="AM41" s="78"/>
      <c r="AN41" s="78"/>
      <c r="AO41" s="78"/>
      <c r="AP41" s="78"/>
      <c r="AQ41" s="78"/>
      <c r="AR41" s="78"/>
      <c r="AS41" s="78"/>
    </row>
    <row r="42" ht="49.5" customHeight="1">
      <c r="A42" s="77" t="str">
        <f>IFERROR(__xludf.DUMMYFUNCTION("""COMPUTED_VALUE"""),"")</f>
        <v/>
      </c>
      <c r="B42" s="78" t="str">
        <f>IFERROR(__xludf.DUMMYFUNCTION("""COMPUTED_VALUE"""),"親子愛咖哩")</f>
        <v>親子愛咖哩</v>
      </c>
      <c r="C42" s="78" t="str">
        <f>IFERROR(__xludf.DUMMYFUNCTION("""COMPUTED_VALUE"""),"eggbombcurry")</f>
        <v>eggbombcurry</v>
      </c>
      <c r="D42" s="78">
        <f>IFERROR(__xludf.DUMMYFUNCTION("""COMPUTED_VALUE"""),35.0)</f>
        <v>35</v>
      </c>
      <c r="E42" s="78" t="str">
        <f>IFERROR(__xludf.DUMMYFUNCTION("""COMPUTED_VALUE"""),"咖哩、濃湯")</f>
        <v>咖哩、濃湯</v>
      </c>
      <c r="F42" s="82">
        <f>IFERROR(__xludf.DUMMYFUNCTION("""COMPUTED_VALUE"""),0.25)</f>
        <v>0.25</v>
      </c>
      <c r="G42" s="83">
        <f>IFERROR(__xludf.DUMMYFUNCTION("""COMPUTED_VALUE"""),3618.0)</f>
        <v>3618</v>
      </c>
      <c r="H42" s="83">
        <f>IFERROR(__xludf.DUMMYFUNCTION("""COMPUTED_VALUE"""),4523.0)</f>
        <v>4523</v>
      </c>
      <c r="I42" s="78" t="str">
        <f>IFERROR(__xludf.DUMMYFUNCTION("""COMPUTED_VALUE"""),"甜甜蜜,12,特選蘋果,11,特選蛋,8,窩心洋芋,4")</f>
        <v>甜甜蜜,12,特選蘋果,11,特選蛋,8,窩心洋芋,4</v>
      </c>
      <c r="J42" s="78" t="str">
        <f>IFERROR(__xludf.DUMMYFUNCTION("""COMPUTED_VALUE"""),"甜甜蜜")</f>
        <v>甜甜蜜</v>
      </c>
      <c r="K42" s="78">
        <f>IFERROR(__xludf.DUMMYFUNCTION("""COMPUTED_VALUE"""),12.0)</f>
        <v>12</v>
      </c>
      <c r="L42" s="78" t="str">
        <f>IFERROR(__xludf.DUMMYFUNCTION("""COMPUTED_VALUE"""),"特選蘋果")</f>
        <v>特選蘋果</v>
      </c>
      <c r="M42" s="78">
        <f>IFERROR(__xludf.DUMMYFUNCTION("""COMPUTED_VALUE"""),11.0)</f>
        <v>11</v>
      </c>
      <c r="N42" s="78" t="str">
        <f>IFERROR(__xludf.DUMMYFUNCTION("""COMPUTED_VALUE"""),"特選蛋")</f>
        <v>特選蛋</v>
      </c>
      <c r="O42" s="78">
        <f>IFERROR(__xludf.DUMMYFUNCTION("""COMPUTED_VALUE"""),8.0)</f>
        <v>8</v>
      </c>
      <c r="P42" s="78" t="str">
        <f>IFERROR(__xludf.DUMMYFUNCTION("""COMPUTED_VALUE"""),"窩心洋芋")</f>
        <v>窩心洋芋</v>
      </c>
      <c r="Q42" s="78">
        <f>IFERROR(__xludf.DUMMYFUNCTION("""COMPUTED_VALUE"""),4.0)</f>
        <v>4</v>
      </c>
      <c r="R42" s="78">
        <f>IFERROR(__xludf.DUMMYFUNCTION("""COMPUTED_VALUE"""),11.0)</f>
        <v>11</v>
      </c>
      <c r="S42" s="78" t="str">
        <f>IFERROR(__xludf.DUMMYFUNCTION("""COMPUTED_VALUE"""),"")</f>
        <v/>
      </c>
      <c r="T42" s="78" t="str">
        <f>IFERROR(__xludf.DUMMYFUNCTION("""COMPUTED_VALUE"""),"")</f>
        <v/>
      </c>
      <c r="U42" s="78">
        <f>IFERROR(__xludf.DUMMYFUNCTION("""COMPUTED_VALUE"""),12.0)</f>
        <v>12</v>
      </c>
      <c r="V42" s="78" t="str">
        <f>IFERROR(__xludf.DUMMYFUNCTION("""COMPUTED_VALUE"""),"")</f>
        <v/>
      </c>
      <c r="W42" s="78" t="str">
        <f>IFERROR(__xludf.DUMMYFUNCTION("""COMPUTED_VALUE"""),"")</f>
        <v/>
      </c>
      <c r="X42" s="78" t="str">
        <f>IFERROR(__xludf.DUMMYFUNCTION("""COMPUTED_VALUE"""),"")</f>
        <v/>
      </c>
      <c r="Y42" s="78">
        <f>IFERROR(__xludf.DUMMYFUNCTION("""COMPUTED_VALUE"""),8.0)</f>
        <v>8</v>
      </c>
      <c r="Z42" s="78" t="str">
        <f>IFERROR(__xludf.DUMMYFUNCTION("""COMPUTED_VALUE"""),"")</f>
        <v/>
      </c>
      <c r="AA42" s="78">
        <f>IFERROR(__xludf.DUMMYFUNCTION("""COMPUTED_VALUE"""),4.0)</f>
        <v>4</v>
      </c>
      <c r="AB42" s="78" t="str">
        <f>IFERROR(__xludf.DUMMYFUNCTION("""COMPUTED_VALUE"""),"")</f>
        <v/>
      </c>
      <c r="AC42" s="78" t="str">
        <f>IFERROR(__xludf.DUMMYFUNCTION("""COMPUTED_VALUE"""),"")</f>
        <v/>
      </c>
      <c r="AD42" s="78" t="str">
        <f>IFERROR(__xludf.DUMMYFUNCTION("""COMPUTED_VALUE"""),"")</f>
        <v/>
      </c>
      <c r="AE42" s="78" t="str">
        <f>IFERROR(__xludf.DUMMYFUNCTION("""COMPUTED_VALUE"""),"")</f>
        <v/>
      </c>
      <c r="AF42" s="78" t="str">
        <f>IFERROR(__xludf.DUMMYFUNCTION("""COMPUTED_VALUE"""),"")</f>
        <v/>
      </c>
      <c r="AG42" s="78" t="str">
        <f>IFERROR(__xludf.DUMMYFUNCTION("""COMPUTED_VALUE"""),"")</f>
        <v/>
      </c>
      <c r="AH42" s="78" t="str">
        <f>IFERROR(__xludf.DUMMYFUNCTION("""COMPUTED_VALUE"""),"")</f>
        <v/>
      </c>
      <c r="AI42" s="78" t="str">
        <f>IFERROR(__xludf.DUMMYFUNCTION("""COMPUTED_VALUE"""),"")</f>
        <v/>
      </c>
      <c r="AJ42" s="78" t="str">
        <f>IFERROR(__xludf.DUMMYFUNCTION("""COMPUTED_VALUE"""),"")</f>
        <v/>
      </c>
      <c r="AK42" s="78" t="str">
        <f>IFERROR(__xludf.DUMMYFUNCTION("""COMPUTED_VALUE"""),"")</f>
        <v/>
      </c>
      <c r="AL42" s="78"/>
      <c r="AM42" s="78"/>
      <c r="AN42" s="78"/>
      <c r="AO42" s="78"/>
      <c r="AP42" s="78"/>
      <c r="AQ42" s="78"/>
      <c r="AR42" s="78"/>
      <c r="AS42" s="78"/>
    </row>
    <row r="43" ht="49.5" customHeight="1">
      <c r="A43" s="77" t="str">
        <f>IFERROR(__xludf.DUMMYFUNCTION("""COMPUTED_VALUE"""),"")</f>
        <v/>
      </c>
      <c r="B43" s="78" t="str">
        <f>IFERROR(__xludf.DUMMYFUNCTION("""COMPUTED_VALUE"""),"柔軟玉米濃湯")</f>
        <v>柔軟玉米濃湯</v>
      </c>
      <c r="C43" s="78" t="str">
        <f>IFERROR(__xludf.DUMMYFUNCTION("""COMPUTED_VALUE"""),"limbercornstew")</f>
        <v>limbercornstew</v>
      </c>
      <c r="D43" s="78">
        <f>IFERROR(__xludf.DUMMYFUNCTION("""COMPUTED_VALUE"""),30.0)</f>
        <v>30</v>
      </c>
      <c r="E43" s="78" t="str">
        <f>IFERROR(__xludf.DUMMYFUNCTION("""COMPUTED_VALUE"""),"咖哩、濃湯")</f>
        <v>咖哩、濃湯</v>
      </c>
      <c r="F43" s="82">
        <f>IFERROR(__xludf.DUMMYFUNCTION("""COMPUTED_VALUE"""),0.25)</f>
        <v>0.25</v>
      </c>
      <c r="G43" s="83">
        <f>IFERROR(__xludf.DUMMYFUNCTION("""COMPUTED_VALUE"""),3736.0)</f>
        <v>3736</v>
      </c>
      <c r="H43" s="83">
        <f>IFERROR(__xludf.DUMMYFUNCTION("""COMPUTED_VALUE"""),4670.0)</f>
        <v>4670</v>
      </c>
      <c r="I43" s="78" t="str">
        <f>IFERROR(__xludf.DUMMYFUNCTION("""COMPUTED_VALUE"""),"萌綠玉米,14,哞哞鮮奶,8,窩心洋芋,8")</f>
        <v>萌綠玉米,14,哞哞鮮奶,8,窩心洋芋,8</v>
      </c>
      <c r="J43" s="78" t="str">
        <f>IFERROR(__xludf.DUMMYFUNCTION("""COMPUTED_VALUE"""),"萌綠玉米")</f>
        <v>萌綠玉米</v>
      </c>
      <c r="K43" s="78">
        <f>IFERROR(__xludf.DUMMYFUNCTION("""COMPUTED_VALUE"""),14.0)</f>
        <v>14</v>
      </c>
      <c r="L43" s="78" t="str">
        <f>IFERROR(__xludf.DUMMYFUNCTION("""COMPUTED_VALUE"""),"哞哞鮮奶")</f>
        <v>哞哞鮮奶</v>
      </c>
      <c r="M43" s="78">
        <f>IFERROR(__xludf.DUMMYFUNCTION("""COMPUTED_VALUE"""),8.0)</f>
        <v>8</v>
      </c>
      <c r="N43" s="78" t="str">
        <f>IFERROR(__xludf.DUMMYFUNCTION("""COMPUTED_VALUE"""),"窩心洋芋")</f>
        <v>窩心洋芋</v>
      </c>
      <c r="O43" s="78">
        <f>IFERROR(__xludf.DUMMYFUNCTION("""COMPUTED_VALUE"""),8.0)</f>
        <v>8</v>
      </c>
      <c r="P43" s="78"/>
      <c r="Q43" s="78"/>
      <c r="R43" s="78" t="str">
        <f>IFERROR(__xludf.DUMMYFUNCTION("""COMPUTED_VALUE"""),"")</f>
        <v/>
      </c>
      <c r="S43" s="78">
        <f>IFERROR(__xludf.DUMMYFUNCTION("""COMPUTED_VALUE"""),8.0)</f>
        <v>8</v>
      </c>
      <c r="T43" s="78" t="str">
        <f>IFERROR(__xludf.DUMMYFUNCTION("""COMPUTED_VALUE"""),"")</f>
        <v/>
      </c>
      <c r="U43" s="78" t="str">
        <f>IFERROR(__xludf.DUMMYFUNCTION("""COMPUTED_VALUE"""),"")</f>
        <v/>
      </c>
      <c r="V43" s="78" t="str">
        <f>IFERROR(__xludf.DUMMYFUNCTION("""COMPUTED_VALUE"""),"")</f>
        <v/>
      </c>
      <c r="W43" s="78" t="str">
        <f>IFERROR(__xludf.DUMMYFUNCTION("""COMPUTED_VALUE"""),"")</f>
        <v/>
      </c>
      <c r="X43" s="78" t="str">
        <f>IFERROR(__xludf.DUMMYFUNCTION("""COMPUTED_VALUE"""),"")</f>
        <v/>
      </c>
      <c r="Y43" s="78" t="str">
        <f>IFERROR(__xludf.DUMMYFUNCTION("""COMPUTED_VALUE"""),"")</f>
        <v/>
      </c>
      <c r="Z43" s="78" t="str">
        <f>IFERROR(__xludf.DUMMYFUNCTION("""COMPUTED_VALUE"""),"")</f>
        <v/>
      </c>
      <c r="AA43" s="78">
        <f>IFERROR(__xludf.DUMMYFUNCTION("""COMPUTED_VALUE"""),8.0)</f>
        <v>8</v>
      </c>
      <c r="AB43" s="78" t="str">
        <f>IFERROR(__xludf.DUMMYFUNCTION("""COMPUTED_VALUE"""),"")</f>
        <v/>
      </c>
      <c r="AC43" s="78">
        <f>IFERROR(__xludf.DUMMYFUNCTION("""COMPUTED_VALUE"""),14.0)</f>
        <v>14</v>
      </c>
      <c r="AD43" s="78" t="str">
        <f>IFERROR(__xludf.DUMMYFUNCTION("""COMPUTED_VALUE"""),"")</f>
        <v/>
      </c>
      <c r="AE43" s="78" t="str">
        <f>IFERROR(__xludf.DUMMYFUNCTION("""COMPUTED_VALUE"""),"")</f>
        <v/>
      </c>
      <c r="AF43" s="78" t="str">
        <f>IFERROR(__xludf.DUMMYFUNCTION("""COMPUTED_VALUE"""),"")</f>
        <v/>
      </c>
      <c r="AG43" s="78" t="str">
        <f>IFERROR(__xludf.DUMMYFUNCTION("""COMPUTED_VALUE"""),"")</f>
        <v/>
      </c>
      <c r="AH43" s="78" t="str">
        <f>IFERROR(__xludf.DUMMYFUNCTION("""COMPUTED_VALUE"""),"")</f>
        <v/>
      </c>
      <c r="AI43" s="78" t="str">
        <f>IFERROR(__xludf.DUMMYFUNCTION("""COMPUTED_VALUE"""),"")</f>
        <v/>
      </c>
      <c r="AJ43" s="78" t="str">
        <f>IFERROR(__xludf.DUMMYFUNCTION("""COMPUTED_VALUE"""),"")</f>
        <v/>
      </c>
      <c r="AK43" s="78">
        <f>IFERROR(__xludf.DUMMYFUNCTION("""COMPUTED_VALUE"""),0.0)</f>
        <v>0</v>
      </c>
      <c r="AL43" s="78"/>
      <c r="AM43" s="78"/>
      <c r="AN43" s="78"/>
      <c r="AO43" s="78"/>
      <c r="AP43" s="78"/>
      <c r="AQ43" s="78"/>
      <c r="AR43" s="78"/>
      <c r="AS43" s="78"/>
    </row>
    <row r="44" ht="49.5" customHeight="1">
      <c r="A44" s="77" t="str">
        <f>IFERROR(__xludf.DUMMYFUNCTION("""COMPUTED_VALUE"""),"")</f>
        <v/>
      </c>
      <c r="B44" s="78" t="str">
        <f>IFERROR(__xludf.DUMMYFUNCTION("""COMPUTED_VALUE"""),"迷昏拳辣味咖哩")</f>
        <v>迷昏拳辣味咖哩</v>
      </c>
      <c r="C44" s="78" t="str">
        <f>IFERROR(__xludf.DUMMYFUNCTION("""COMPUTED_VALUE"""),"dizzypunchspicycurry")</f>
        <v>dizzypunchspicycurry</v>
      </c>
      <c r="D44" s="78">
        <f>IFERROR(__xludf.DUMMYFUNCTION("""COMPUTED_VALUE"""),33.0)</f>
        <v>33</v>
      </c>
      <c r="E44" s="78" t="str">
        <f>IFERROR(__xludf.DUMMYFUNCTION("""COMPUTED_VALUE"""),"咖哩、濃湯")</f>
        <v>咖哩、濃湯</v>
      </c>
      <c r="F44" s="82">
        <f>IFERROR(__xludf.DUMMYFUNCTION("""COMPUTED_VALUE"""),0.35)</f>
        <v>0.35</v>
      </c>
      <c r="G44" s="83">
        <f>IFERROR(__xludf.DUMMYFUNCTION("""COMPUTED_VALUE"""),4224.0)</f>
        <v>4224</v>
      </c>
      <c r="H44" s="83">
        <f>IFERROR(__xludf.DUMMYFUNCTION("""COMPUTED_VALUE"""),5702.0)</f>
        <v>5702</v>
      </c>
      <c r="I44" s="78" t="str">
        <f>IFERROR(__xludf.DUMMYFUNCTION("""COMPUTED_VALUE"""),"醒腦咖啡豆,11,火辣香草,11,甜甜蜜,11")</f>
        <v>醒腦咖啡豆,11,火辣香草,11,甜甜蜜,11</v>
      </c>
      <c r="J44" s="78" t="str">
        <f>IFERROR(__xludf.DUMMYFUNCTION("""COMPUTED_VALUE"""),"醒腦咖啡豆")</f>
        <v>醒腦咖啡豆</v>
      </c>
      <c r="K44" s="78">
        <f>IFERROR(__xludf.DUMMYFUNCTION("""COMPUTED_VALUE"""),11.0)</f>
        <v>11</v>
      </c>
      <c r="L44" s="78" t="str">
        <f>IFERROR(__xludf.DUMMYFUNCTION("""COMPUTED_VALUE"""),"火辣香草")</f>
        <v>火辣香草</v>
      </c>
      <c r="M44" s="78">
        <f>IFERROR(__xludf.DUMMYFUNCTION("""COMPUTED_VALUE"""),11.0)</f>
        <v>11</v>
      </c>
      <c r="N44" s="78" t="str">
        <f>IFERROR(__xludf.DUMMYFUNCTION("""COMPUTED_VALUE"""),"甜甜蜜")</f>
        <v>甜甜蜜</v>
      </c>
      <c r="O44" s="78">
        <f>IFERROR(__xludf.DUMMYFUNCTION("""COMPUTED_VALUE"""),11.0)</f>
        <v>11</v>
      </c>
      <c r="P44" s="78"/>
      <c r="Q44" s="78"/>
      <c r="R44" s="78" t="str">
        <f>IFERROR(__xludf.DUMMYFUNCTION("""COMPUTED_VALUE"""),"")</f>
        <v/>
      </c>
      <c r="S44" s="78" t="str">
        <f>IFERROR(__xludf.DUMMYFUNCTION("""COMPUTED_VALUE"""),"")</f>
        <v/>
      </c>
      <c r="T44" s="78" t="str">
        <f>IFERROR(__xludf.DUMMYFUNCTION("""COMPUTED_VALUE"""),"")</f>
        <v/>
      </c>
      <c r="U44" s="78">
        <f>IFERROR(__xludf.DUMMYFUNCTION("""COMPUTED_VALUE"""),11.0)</f>
        <v>11</v>
      </c>
      <c r="V44" s="78" t="str">
        <f>IFERROR(__xludf.DUMMYFUNCTION("""COMPUTED_VALUE"""),"")</f>
        <v/>
      </c>
      <c r="W44" s="78" t="str">
        <f>IFERROR(__xludf.DUMMYFUNCTION("""COMPUTED_VALUE"""),"")</f>
        <v/>
      </c>
      <c r="X44" s="78" t="str">
        <f>IFERROR(__xludf.DUMMYFUNCTION("""COMPUTED_VALUE"""),"")</f>
        <v/>
      </c>
      <c r="Y44" s="78" t="str">
        <f>IFERROR(__xludf.DUMMYFUNCTION("""COMPUTED_VALUE"""),"")</f>
        <v/>
      </c>
      <c r="Z44" s="78" t="str">
        <f>IFERROR(__xludf.DUMMYFUNCTION("""COMPUTED_VALUE"""),"")</f>
        <v/>
      </c>
      <c r="AA44" s="78" t="str">
        <f>IFERROR(__xludf.DUMMYFUNCTION("""COMPUTED_VALUE"""),"")</f>
        <v/>
      </c>
      <c r="AB44" s="78">
        <f>IFERROR(__xludf.DUMMYFUNCTION("""COMPUTED_VALUE"""),11.0)</f>
        <v>11</v>
      </c>
      <c r="AC44" s="78" t="str">
        <f>IFERROR(__xludf.DUMMYFUNCTION("""COMPUTED_VALUE"""),"")</f>
        <v/>
      </c>
      <c r="AD44" s="78" t="str">
        <f>IFERROR(__xludf.DUMMYFUNCTION("""COMPUTED_VALUE"""),"")</f>
        <v/>
      </c>
      <c r="AE44" s="78">
        <f>IFERROR(__xludf.DUMMYFUNCTION("""COMPUTED_VALUE"""),11.0)</f>
        <v>11</v>
      </c>
      <c r="AF44" s="78" t="str">
        <f>IFERROR(__xludf.DUMMYFUNCTION("""COMPUTED_VALUE"""),"")</f>
        <v/>
      </c>
      <c r="AG44" s="78" t="str">
        <f>IFERROR(__xludf.DUMMYFUNCTION("""COMPUTED_VALUE"""),"")</f>
        <v/>
      </c>
      <c r="AH44" s="78" t="str">
        <f>IFERROR(__xludf.DUMMYFUNCTION("""COMPUTED_VALUE"""),"")</f>
        <v/>
      </c>
      <c r="AI44" s="78" t="str">
        <f>IFERROR(__xludf.DUMMYFUNCTION("""COMPUTED_VALUE"""),"")</f>
        <v/>
      </c>
      <c r="AJ44" s="78" t="str">
        <f>IFERROR(__xludf.DUMMYFUNCTION("""COMPUTED_VALUE"""),"")</f>
        <v/>
      </c>
      <c r="AK44" s="78">
        <f>IFERROR(__xludf.DUMMYFUNCTION("""COMPUTED_VALUE"""),0.0)</f>
        <v>0</v>
      </c>
      <c r="AL44" s="78"/>
      <c r="AM44" s="78"/>
      <c r="AN44" s="78"/>
      <c r="AO44" s="78"/>
      <c r="AP44" s="78"/>
      <c r="AQ44" s="78"/>
      <c r="AR44" s="78"/>
      <c r="AS44" s="78"/>
    </row>
    <row r="45" ht="49.5" customHeight="1">
      <c r="A45" s="77" t="str">
        <f>IFERROR(__xludf.DUMMYFUNCTION("""COMPUTED_VALUE"""),"")</f>
        <v/>
      </c>
      <c r="B45" s="78" t="str">
        <f>IFERROR(__xludf.DUMMYFUNCTION("""COMPUTED_VALUE"""),"辣味蔥勁十足咖哩")</f>
        <v>辣味蔥勁十足咖哩</v>
      </c>
      <c r="C45" s="78" t="str">
        <f>IFERROR(__xludf.DUMMYFUNCTION("""COMPUTED_VALUE"""),"spicyleekcurry")</f>
        <v>spicyleekcurry</v>
      </c>
      <c r="D45" s="78">
        <f>IFERROR(__xludf.DUMMYFUNCTION("""COMPUTED_VALUE"""),32.0)</f>
        <v>32</v>
      </c>
      <c r="E45" s="78" t="str">
        <f>IFERROR(__xludf.DUMMYFUNCTION("""COMPUTED_VALUE"""),"咖哩、濃湯")</f>
        <v>咖哩、濃湯</v>
      </c>
      <c r="F45" s="82">
        <f>IFERROR(__xludf.DUMMYFUNCTION("""COMPUTED_VALUE"""),0.25)</f>
        <v>0.25</v>
      </c>
      <c r="G45" s="83">
        <f>IFERROR(__xludf.DUMMYFUNCTION("""COMPUTED_VALUE"""),4720.0)</f>
        <v>4720</v>
      </c>
      <c r="H45" s="83">
        <f>IFERROR(__xludf.DUMMYFUNCTION("""COMPUTED_VALUE"""),5900.0)</f>
        <v>5900</v>
      </c>
      <c r="I45" s="78" t="str">
        <f>IFERROR(__xludf.DUMMYFUNCTION("""COMPUTED_VALUE"""),"粗枝大蔥,14,暖暖薑,10,火辣香草,8")</f>
        <v>粗枝大蔥,14,暖暖薑,10,火辣香草,8</v>
      </c>
      <c r="J45" s="78" t="str">
        <f>IFERROR(__xludf.DUMMYFUNCTION("""COMPUTED_VALUE"""),"粗枝大蔥")</f>
        <v>粗枝大蔥</v>
      </c>
      <c r="K45" s="78">
        <f>IFERROR(__xludf.DUMMYFUNCTION("""COMPUTED_VALUE"""),14.0)</f>
        <v>14</v>
      </c>
      <c r="L45" s="78" t="str">
        <f>IFERROR(__xludf.DUMMYFUNCTION("""COMPUTED_VALUE"""),"暖暖薑")</f>
        <v>暖暖薑</v>
      </c>
      <c r="M45" s="78">
        <f>IFERROR(__xludf.DUMMYFUNCTION("""COMPUTED_VALUE"""),10.0)</f>
        <v>10</v>
      </c>
      <c r="N45" s="78" t="str">
        <f>IFERROR(__xludf.DUMMYFUNCTION("""COMPUTED_VALUE"""),"火辣香草")</f>
        <v>火辣香草</v>
      </c>
      <c r="O45" s="78">
        <f>IFERROR(__xludf.DUMMYFUNCTION("""COMPUTED_VALUE"""),8.0)</f>
        <v>8</v>
      </c>
      <c r="P45" s="78"/>
      <c r="Q45" s="78"/>
      <c r="R45" s="78" t="str">
        <f>IFERROR(__xludf.DUMMYFUNCTION("""COMPUTED_VALUE"""),"")</f>
        <v/>
      </c>
      <c r="S45" s="78" t="str">
        <f>IFERROR(__xludf.DUMMYFUNCTION("""COMPUTED_VALUE"""),"")</f>
        <v/>
      </c>
      <c r="T45" s="78" t="str">
        <f>IFERROR(__xludf.DUMMYFUNCTION("""COMPUTED_VALUE"""),"")</f>
        <v/>
      </c>
      <c r="U45" s="78" t="str">
        <f>IFERROR(__xludf.DUMMYFUNCTION("""COMPUTED_VALUE"""),"")</f>
        <v/>
      </c>
      <c r="V45" s="78" t="str">
        <f>IFERROR(__xludf.DUMMYFUNCTION("""COMPUTED_VALUE"""),"")</f>
        <v/>
      </c>
      <c r="W45" s="78">
        <f>IFERROR(__xludf.DUMMYFUNCTION("""COMPUTED_VALUE"""),10.0)</f>
        <v>10</v>
      </c>
      <c r="X45" s="78" t="str">
        <f>IFERROR(__xludf.DUMMYFUNCTION("""COMPUTED_VALUE"""),"")</f>
        <v/>
      </c>
      <c r="Y45" s="78" t="str">
        <f>IFERROR(__xludf.DUMMYFUNCTION("""COMPUTED_VALUE"""),"")</f>
        <v/>
      </c>
      <c r="Z45" s="78" t="str">
        <f>IFERROR(__xludf.DUMMYFUNCTION("""COMPUTED_VALUE"""),"")</f>
        <v/>
      </c>
      <c r="AA45" s="78" t="str">
        <f>IFERROR(__xludf.DUMMYFUNCTION("""COMPUTED_VALUE"""),"")</f>
        <v/>
      </c>
      <c r="AB45" s="78">
        <f>IFERROR(__xludf.DUMMYFUNCTION("""COMPUTED_VALUE"""),8.0)</f>
        <v>8</v>
      </c>
      <c r="AC45" s="78" t="str">
        <f>IFERROR(__xludf.DUMMYFUNCTION("""COMPUTED_VALUE"""),"")</f>
        <v/>
      </c>
      <c r="AD45" s="78" t="str">
        <f>IFERROR(__xludf.DUMMYFUNCTION("""COMPUTED_VALUE"""),"")</f>
        <v/>
      </c>
      <c r="AE45" s="78" t="str">
        <f>IFERROR(__xludf.DUMMYFUNCTION("""COMPUTED_VALUE"""),"")</f>
        <v/>
      </c>
      <c r="AF45" s="78" t="str">
        <f>IFERROR(__xludf.DUMMYFUNCTION("""COMPUTED_VALUE"""),"")</f>
        <v/>
      </c>
      <c r="AG45" s="78" t="str">
        <f>IFERROR(__xludf.DUMMYFUNCTION("""COMPUTED_VALUE"""),"")</f>
        <v/>
      </c>
      <c r="AH45" s="78">
        <f>IFERROR(__xludf.DUMMYFUNCTION("""COMPUTED_VALUE"""),14.0)</f>
        <v>14</v>
      </c>
      <c r="AI45" s="78" t="str">
        <f>IFERROR(__xludf.DUMMYFUNCTION("""COMPUTED_VALUE"""),"")</f>
        <v/>
      </c>
      <c r="AJ45" s="78" t="str">
        <f>IFERROR(__xludf.DUMMYFUNCTION("""COMPUTED_VALUE"""),"")</f>
        <v/>
      </c>
      <c r="AK45" s="78">
        <f>IFERROR(__xludf.DUMMYFUNCTION("""COMPUTED_VALUE"""),0.0)</f>
        <v>0</v>
      </c>
      <c r="AL45" s="78"/>
      <c r="AM45" s="78"/>
      <c r="AN45" s="78"/>
      <c r="AO45" s="78"/>
      <c r="AP45" s="78"/>
      <c r="AQ45" s="78"/>
      <c r="AR45" s="78"/>
      <c r="AS45" s="78"/>
    </row>
    <row r="46" ht="49.5" customHeight="1">
      <c r="A46" s="77" t="str">
        <f>IFERROR(__xludf.DUMMYFUNCTION("""COMPUTED_VALUE"""),"")</f>
        <v/>
      </c>
      <c r="B46" s="78" t="str">
        <f>IFERROR(__xludf.DUMMYFUNCTION("""COMPUTED_VALUE"""),"炙燒尾肉咖哩")</f>
        <v>炙燒尾肉咖哩</v>
      </c>
      <c r="C46" s="78" t="str">
        <f>IFERROR(__xludf.DUMMYFUNCTION("""COMPUTED_VALUE"""),"grilledtailcurry")</f>
        <v>grilledtailcurry</v>
      </c>
      <c r="D46" s="78">
        <f>IFERROR(__xludf.DUMMYFUNCTION("""COMPUTED_VALUE"""),33.0)</f>
        <v>33</v>
      </c>
      <c r="E46" s="78" t="str">
        <f>IFERROR(__xludf.DUMMYFUNCTION("""COMPUTED_VALUE"""),"咖哩、濃湯")</f>
        <v>咖哩、濃湯</v>
      </c>
      <c r="F46" s="82">
        <f>IFERROR(__xludf.DUMMYFUNCTION("""COMPUTED_VALUE"""),0.25)</f>
        <v>0.25</v>
      </c>
      <c r="G46" s="83">
        <f>IFERROR(__xludf.DUMMYFUNCTION("""COMPUTED_VALUE"""),5986.0)</f>
        <v>5986</v>
      </c>
      <c r="H46" s="83">
        <f>IFERROR(__xludf.DUMMYFUNCTION("""COMPUTED_VALUE"""),7483.0)</f>
        <v>7483</v>
      </c>
      <c r="I46" s="78" t="str">
        <f>IFERROR(__xludf.DUMMYFUNCTION("""COMPUTED_VALUE"""),"火辣香草,25,美味尾巴,8")</f>
        <v>火辣香草,25,美味尾巴,8</v>
      </c>
      <c r="J46" s="78" t="str">
        <f>IFERROR(__xludf.DUMMYFUNCTION("""COMPUTED_VALUE"""),"火辣香草")</f>
        <v>火辣香草</v>
      </c>
      <c r="K46" s="78">
        <f>IFERROR(__xludf.DUMMYFUNCTION("""COMPUTED_VALUE"""),25.0)</f>
        <v>25</v>
      </c>
      <c r="L46" s="78" t="str">
        <f>IFERROR(__xludf.DUMMYFUNCTION("""COMPUTED_VALUE"""),"美味尾巴")</f>
        <v>美味尾巴</v>
      </c>
      <c r="M46" s="78">
        <f>IFERROR(__xludf.DUMMYFUNCTION("""COMPUTED_VALUE"""),8.0)</f>
        <v>8</v>
      </c>
      <c r="N46" s="78"/>
      <c r="O46" s="78"/>
      <c r="P46" s="78"/>
      <c r="Q46" s="78"/>
      <c r="R46" s="78" t="str">
        <f>IFERROR(__xludf.DUMMYFUNCTION("""COMPUTED_VALUE"""),"")</f>
        <v/>
      </c>
      <c r="S46" s="78" t="str">
        <f>IFERROR(__xludf.DUMMYFUNCTION("""COMPUTED_VALUE"""),"")</f>
        <v/>
      </c>
      <c r="T46" s="78" t="str">
        <f>IFERROR(__xludf.DUMMYFUNCTION("""COMPUTED_VALUE"""),"")</f>
        <v/>
      </c>
      <c r="U46" s="78" t="str">
        <f>IFERROR(__xludf.DUMMYFUNCTION("""COMPUTED_VALUE"""),"")</f>
        <v/>
      </c>
      <c r="V46" s="78" t="str">
        <f>IFERROR(__xludf.DUMMYFUNCTION("""COMPUTED_VALUE"""),"")</f>
        <v/>
      </c>
      <c r="W46" s="78" t="str">
        <f>IFERROR(__xludf.DUMMYFUNCTION("""COMPUTED_VALUE"""),"")</f>
        <v/>
      </c>
      <c r="X46" s="78" t="str">
        <f>IFERROR(__xludf.DUMMYFUNCTION("""COMPUTED_VALUE"""),"")</f>
        <v/>
      </c>
      <c r="Y46" s="78" t="str">
        <f>IFERROR(__xludf.DUMMYFUNCTION("""COMPUTED_VALUE"""),"")</f>
        <v/>
      </c>
      <c r="Z46" s="78" t="str">
        <f>IFERROR(__xludf.DUMMYFUNCTION("""COMPUTED_VALUE"""),"")</f>
        <v/>
      </c>
      <c r="AA46" s="78" t="str">
        <f>IFERROR(__xludf.DUMMYFUNCTION("""COMPUTED_VALUE"""),"")</f>
        <v/>
      </c>
      <c r="AB46" s="78">
        <f>IFERROR(__xludf.DUMMYFUNCTION("""COMPUTED_VALUE"""),25.0)</f>
        <v>25</v>
      </c>
      <c r="AC46" s="78" t="str">
        <f>IFERROR(__xludf.DUMMYFUNCTION("""COMPUTED_VALUE"""),"")</f>
        <v/>
      </c>
      <c r="AD46" s="78" t="str">
        <f>IFERROR(__xludf.DUMMYFUNCTION("""COMPUTED_VALUE"""),"")</f>
        <v/>
      </c>
      <c r="AE46" s="78" t="str">
        <f>IFERROR(__xludf.DUMMYFUNCTION("""COMPUTED_VALUE"""),"")</f>
        <v/>
      </c>
      <c r="AF46" s="78" t="str">
        <f>IFERROR(__xludf.DUMMYFUNCTION("""COMPUTED_VALUE"""),"")</f>
        <v/>
      </c>
      <c r="AG46" s="78" t="str">
        <f>IFERROR(__xludf.DUMMYFUNCTION("""COMPUTED_VALUE"""),"")</f>
        <v/>
      </c>
      <c r="AH46" s="78" t="str">
        <f>IFERROR(__xludf.DUMMYFUNCTION("""COMPUTED_VALUE"""),"")</f>
        <v/>
      </c>
      <c r="AI46" s="78" t="str">
        <f>IFERROR(__xludf.DUMMYFUNCTION("""COMPUTED_VALUE"""),"")</f>
        <v/>
      </c>
      <c r="AJ46" s="78">
        <f>IFERROR(__xludf.DUMMYFUNCTION("""COMPUTED_VALUE"""),8.0)</f>
        <v>8</v>
      </c>
      <c r="AK46" s="78">
        <f>IFERROR(__xludf.DUMMYFUNCTION("""COMPUTED_VALUE"""),0.0)</f>
        <v>0</v>
      </c>
      <c r="AL46" s="78"/>
      <c r="AM46" s="78"/>
      <c r="AN46" s="78"/>
      <c r="AO46" s="78"/>
      <c r="AP46" s="78"/>
      <c r="AQ46" s="78"/>
      <c r="AR46" s="78"/>
      <c r="AS46" s="78"/>
    </row>
    <row r="47" ht="49.5" customHeight="1">
      <c r="A47" s="77" t="str">
        <f>IFERROR(__xludf.DUMMYFUNCTION("""COMPUTED_VALUE"""),"")</f>
        <v/>
      </c>
      <c r="B47" s="78" t="str">
        <f>IFERROR(__xludf.DUMMYFUNCTION("""COMPUTED_VALUE"""),"絕對睡眠奶油咖哩")</f>
        <v>絕對睡眠奶油咖哩</v>
      </c>
      <c r="C47" s="78" t="str">
        <f>IFERROR(__xludf.DUMMYFUNCTION("""COMPUTED_VALUE"""),"mildhoneycurry")</f>
        <v>mildhoneycurry</v>
      </c>
      <c r="D47" s="78">
        <f>IFERROR(__xludf.DUMMYFUNCTION("""COMPUTED_VALUE"""),55.0)</f>
        <v>55</v>
      </c>
      <c r="E47" s="78" t="str">
        <f>IFERROR(__xludf.DUMMYFUNCTION("""COMPUTED_VALUE"""),"咖哩、濃湯")</f>
        <v>咖哩、濃湯</v>
      </c>
      <c r="F47" s="82">
        <f>IFERROR(__xludf.DUMMYFUNCTION("""COMPUTED_VALUE"""),0.35)</f>
        <v>0.35</v>
      </c>
      <c r="G47" s="83">
        <f>IFERROR(__xludf.DUMMYFUNCTION("""COMPUTED_VALUE"""),6674.0)</f>
        <v>6674</v>
      </c>
      <c r="H47" s="83">
        <f>IFERROR(__xludf.DUMMYFUNCTION("""COMPUTED_VALUE"""),9010.0)</f>
        <v>9010</v>
      </c>
      <c r="I47" s="78" t="str">
        <f>IFERROR(__xludf.DUMMYFUNCTION("""COMPUTED_VALUE"""),"窩心洋芋,18,好眠番茄,15,放鬆可可,12,哞哞鮮奶,10")</f>
        <v>窩心洋芋,18,好眠番茄,15,放鬆可可,12,哞哞鮮奶,10</v>
      </c>
      <c r="J47" s="78" t="str">
        <f>IFERROR(__xludf.DUMMYFUNCTION("""COMPUTED_VALUE"""),"窩心洋芋")</f>
        <v>窩心洋芋</v>
      </c>
      <c r="K47" s="78">
        <f>IFERROR(__xludf.DUMMYFUNCTION("""COMPUTED_VALUE"""),18.0)</f>
        <v>18</v>
      </c>
      <c r="L47" s="78" t="str">
        <f>IFERROR(__xludf.DUMMYFUNCTION("""COMPUTED_VALUE"""),"好眠番茄")</f>
        <v>好眠番茄</v>
      </c>
      <c r="M47" s="78">
        <f>IFERROR(__xludf.DUMMYFUNCTION("""COMPUTED_VALUE"""),15.0)</f>
        <v>15</v>
      </c>
      <c r="N47" s="78" t="str">
        <f>IFERROR(__xludf.DUMMYFUNCTION("""COMPUTED_VALUE"""),"放鬆可可")</f>
        <v>放鬆可可</v>
      </c>
      <c r="O47" s="78">
        <f>IFERROR(__xludf.DUMMYFUNCTION("""COMPUTED_VALUE"""),12.0)</f>
        <v>12</v>
      </c>
      <c r="P47" s="78" t="str">
        <f>IFERROR(__xludf.DUMMYFUNCTION("""COMPUTED_VALUE"""),"哞哞鮮奶")</f>
        <v>哞哞鮮奶</v>
      </c>
      <c r="Q47" s="78">
        <f>IFERROR(__xludf.DUMMYFUNCTION("""COMPUTED_VALUE"""),10.0)</f>
        <v>10</v>
      </c>
      <c r="R47" s="78" t="str">
        <f>IFERROR(__xludf.DUMMYFUNCTION("""COMPUTED_VALUE"""),"")</f>
        <v/>
      </c>
      <c r="S47" s="78">
        <f>IFERROR(__xludf.DUMMYFUNCTION("""COMPUTED_VALUE"""),10.0)</f>
        <v>10</v>
      </c>
      <c r="T47" s="78" t="str">
        <f>IFERROR(__xludf.DUMMYFUNCTION("""COMPUTED_VALUE"""),"")</f>
        <v/>
      </c>
      <c r="U47" s="78" t="str">
        <f>IFERROR(__xludf.DUMMYFUNCTION("""COMPUTED_VALUE"""),"")</f>
        <v/>
      </c>
      <c r="V47" s="78" t="str">
        <f>IFERROR(__xludf.DUMMYFUNCTION("""COMPUTED_VALUE"""),"")</f>
        <v/>
      </c>
      <c r="W47" s="78" t="str">
        <f>IFERROR(__xludf.DUMMYFUNCTION("""COMPUTED_VALUE"""),"")</f>
        <v/>
      </c>
      <c r="X47" s="78">
        <f>IFERROR(__xludf.DUMMYFUNCTION("""COMPUTED_VALUE"""),15.0)</f>
        <v>15</v>
      </c>
      <c r="Y47" s="78" t="str">
        <f>IFERROR(__xludf.DUMMYFUNCTION("""COMPUTED_VALUE"""),"")</f>
        <v/>
      </c>
      <c r="Z47" s="78" t="str">
        <f>IFERROR(__xludf.DUMMYFUNCTION("""COMPUTED_VALUE"""),"")</f>
        <v/>
      </c>
      <c r="AA47" s="78">
        <f>IFERROR(__xludf.DUMMYFUNCTION("""COMPUTED_VALUE"""),18.0)</f>
        <v>18</v>
      </c>
      <c r="AB47" s="78" t="str">
        <f>IFERROR(__xludf.DUMMYFUNCTION("""COMPUTED_VALUE"""),"")</f>
        <v/>
      </c>
      <c r="AC47" s="78" t="str">
        <f>IFERROR(__xludf.DUMMYFUNCTION("""COMPUTED_VALUE"""),"")</f>
        <v/>
      </c>
      <c r="AD47" s="78">
        <f>IFERROR(__xludf.DUMMYFUNCTION("""COMPUTED_VALUE"""),12.0)</f>
        <v>12</v>
      </c>
      <c r="AE47" s="78" t="str">
        <f>IFERROR(__xludf.DUMMYFUNCTION("""COMPUTED_VALUE"""),"")</f>
        <v/>
      </c>
      <c r="AF47" s="78" t="str">
        <f>IFERROR(__xludf.DUMMYFUNCTION("""COMPUTED_VALUE"""),"")</f>
        <v/>
      </c>
      <c r="AG47" s="78" t="str">
        <f>IFERROR(__xludf.DUMMYFUNCTION("""COMPUTED_VALUE"""),"")</f>
        <v/>
      </c>
      <c r="AH47" s="78" t="str">
        <f>IFERROR(__xludf.DUMMYFUNCTION("""COMPUTED_VALUE"""),"")</f>
        <v/>
      </c>
      <c r="AI47" s="78" t="str">
        <f>IFERROR(__xludf.DUMMYFUNCTION("""COMPUTED_VALUE"""),"")</f>
        <v/>
      </c>
      <c r="AJ47" s="78" t="str">
        <f>IFERROR(__xludf.DUMMYFUNCTION("""COMPUTED_VALUE"""),"")</f>
        <v/>
      </c>
      <c r="AK47" s="78" t="str">
        <f>IFERROR(__xludf.DUMMYFUNCTION("""COMPUTED_VALUE"""),"")</f>
        <v/>
      </c>
      <c r="AL47" s="78"/>
      <c r="AM47" s="78"/>
      <c r="AN47" s="78"/>
      <c r="AO47" s="78"/>
      <c r="AP47" s="78"/>
      <c r="AQ47" s="78"/>
      <c r="AR47" s="78"/>
      <c r="AS47" s="78"/>
    </row>
    <row r="48" ht="49.5" customHeight="1">
      <c r="A48" s="77" t="str">
        <f>IFERROR(__xludf.DUMMYFUNCTION("""COMPUTED_VALUE"""),"")</f>
        <v/>
      </c>
      <c r="B48" s="78" t="str">
        <f>IFERROR(__xludf.DUMMYFUNCTION("""COMPUTED_VALUE"""),"忍者咖哩")</f>
        <v>忍者咖哩</v>
      </c>
      <c r="C48" s="78" t="str">
        <f>IFERROR(__xludf.DUMMYFUNCTION("""COMPUTED_VALUE"""),"ninjacurry")</f>
        <v>ninjacurry</v>
      </c>
      <c r="D48" s="78">
        <f>IFERROR(__xludf.DUMMYFUNCTION("""COMPUTED_VALUE"""),50.0)</f>
        <v>50</v>
      </c>
      <c r="E48" s="78" t="str">
        <f>IFERROR(__xludf.DUMMYFUNCTION("""COMPUTED_VALUE"""),"咖哩、濃湯")</f>
        <v>咖哩、濃湯</v>
      </c>
      <c r="F48" s="82">
        <f>IFERROR(__xludf.DUMMYFUNCTION("""COMPUTED_VALUE"""),0.48)</f>
        <v>0.48</v>
      </c>
      <c r="G48" s="83">
        <f>IFERROR(__xludf.DUMMYFUNCTION("""COMPUTED_VALUE"""),6382.0)</f>
        <v>6382</v>
      </c>
      <c r="H48" s="83">
        <f>IFERROR(__xludf.DUMMYFUNCTION("""COMPUTED_VALUE"""),9445.0)</f>
        <v>9445</v>
      </c>
      <c r="I48" s="78" t="str">
        <f>IFERROR(__xludf.DUMMYFUNCTION("""COMPUTED_VALUE"""),"萌綠大豆,24,粗枝大蔥,12,豆製肉,9,品鮮蘑菇,5")</f>
        <v>萌綠大豆,24,粗枝大蔥,12,豆製肉,9,品鮮蘑菇,5</v>
      </c>
      <c r="J48" s="78" t="str">
        <f>IFERROR(__xludf.DUMMYFUNCTION("""COMPUTED_VALUE"""),"萌綠大豆")</f>
        <v>萌綠大豆</v>
      </c>
      <c r="K48" s="78">
        <f>IFERROR(__xludf.DUMMYFUNCTION("""COMPUTED_VALUE"""),24.0)</f>
        <v>24</v>
      </c>
      <c r="L48" s="78" t="str">
        <f>IFERROR(__xludf.DUMMYFUNCTION("""COMPUTED_VALUE"""),"粗枝大蔥")</f>
        <v>粗枝大蔥</v>
      </c>
      <c r="M48" s="78">
        <f>IFERROR(__xludf.DUMMYFUNCTION("""COMPUTED_VALUE"""),12.0)</f>
        <v>12</v>
      </c>
      <c r="N48" s="78" t="str">
        <f>IFERROR(__xludf.DUMMYFUNCTION("""COMPUTED_VALUE"""),"豆製肉")</f>
        <v>豆製肉</v>
      </c>
      <c r="O48" s="78">
        <f>IFERROR(__xludf.DUMMYFUNCTION("""COMPUTED_VALUE"""),9.0)</f>
        <v>9</v>
      </c>
      <c r="P48" s="78" t="str">
        <f>IFERROR(__xludf.DUMMYFUNCTION("""COMPUTED_VALUE"""),"品鮮蘑菇")</f>
        <v>品鮮蘑菇</v>
      </c>
      <c r="Q48" s="78">
        <f>IFERROR(__xludf.DUMMYFUNCTION("""COMPUTED_VALUE"""),5.0)</f>
        <v>5</v>
      </c>
      <c r="R48" s="78" t="str">
        <f>IFERROR(__xludf.DUMMYFUNCTION("""COMPUTED_VALUE"""),"")</f>
        <v/>
      </c>
      <c r="S48" s="78" t="str">
        <f>IFERROR(__xludf.DUMMYFUNCTION("""COMPUTED_VALUE"""),"")</f>
        <v/>
      </c>
      <c r="T48" s="78">
        <f>IFERROR(__xludf.DUMMYFUNCTION("""COMPUTED_VALUE"""),24.0)</f>
        <v>24</v>
      </c>
      <c r="U48" s="78" t="str">
        <f>IFERROR(__xludf.DUMMYFUNCTION("""COMPUTED_VALUE"""),"")</f>
        <v/>
      </c>
      <c r="V48" s="78">
        <f>IFERROR(__xludf.DUMMYFUNCTION("""COMPUTED_VALUE"""),9.0)</f>
        <v>9</v>
      </c>
      <c r="W48" s="78" t="str">
        <f>IFERROR(__xludf.DUMMYFUNCTION("""COMPUTED_VALUE"""),"")</f>
        <v/>
      </c>
      <c r="X48" s="78" t="str">
        <f>IFERROR(__xludf.DUMMYFUNCTION("""COMPUTED_VALUE"""),"")</f>
        <v/>
      </c>
      <c r="Y48" s="78" t="str">
        <f>IFERROR(__xludf.DUMMYFUNCTION("""COMPUTED_VALUE"""),"")</f>
        <v/>
      </c>
      <c r="Z48" s="78" t="str">
        <f>IFERROR(__xludf.DUMMYFUNCTION("""COMPUTED_VALUE"""),"")</f>
        <v/>
      </c>
      <c r="AA48" s="78" t="str">
        <f>IFERROR(__xludf.DUMMYFUNCTION("""COMPUTED_VALUE"""),"")</f>
        <v/>
      </c>
      <c r="AB48" s="78" t="str">
        <f>IFERROR(__xludf.DUMMYFUNCTION("""COMPUTED_VALUE"""),"")</f>
        <v/>
      </c>
      <c r="AC48" s="78" t="str">
        <f>IFERROR(__xludf.DUMMYFUNCTION("""COMPUTED_VALUE"""),"")</f>
        <v/>
      </c>
      <c r="AD48" s="78" t="str">
        <f>IFERROR(__xludf.DUMMYFUNCTION("""COMPUTED_VALUE"""),"")</f>
        <v/>
      </c>
      <c r="AE48" s="78" t="str">
        <f>IFERROR(__xludf.DUMMYFUNCTION("""COMPUTED_VALUE"""),"")</f>
        <v/>
      </c>
      <c r="AF48" s="78" t="str">
        <f>IFERROR(__xludf.DUMMYFUNCTION("""COMPUTED_VALUE"""),"")</f>
        <v/>
      </c>
      <c r="AG48" s="78">
        <f>IFERROR(__xludf.DUMMYFUNCTION("""COMPUTED_VALUE"""),5.0)</f>
        <v>5</v>
      </c>
      <c r="AH48" s="78">
        <f>IFERROR(__xludf.DUMMYFUNCTION("""COMPUTED_VALUE"""),12.0)</f>
        <v>12</v>
      </c>
      <c r="AI48" s="78" t="str">
        <f>IFERROR(__xludf.DUMMYFUNCTION("""COMPUTED_VALUE"""),"")</f>
        <v/>
      </c>
      <c r="AJ48" s="78" t="str">
        <f>IFERROR(__xludf.DUMMYFUNCTION("""COMPUTED_VALUE"""),"")</f>
        <v/>
      </c>
      <c r="AK48" s="78" t="str">
        <f>IFERROR(__xludf.DUMMYFUNCTION("""COMPUTED_VALUE"""),"")</f>
        <v/>
      </c>
      <c r="AL48" s="78"/>
      <c r="AM48" s="78"/>
      <c r="AN48" s="78"/>
      <c r="AO48" s="78"/>
      <c r="AP48" s="78"/>
      <c r="AQ48" s="78"/>
      <c r="AR48" s="78"/>
      <c r="AS48" s="78"/>
    </row>
    <row r="49" ht="49.5" customHeight="1">
      <c r="A49" s="77" t="str">
        <f>IFERROR(__xludf.DUMMYFUNCTION("""COMPUTED_VALUE"""),"")</f>
        <v/>
      </c>
      <c r="B49" s="78" t="str">
        <f>IFERROR(__xludf.DUMMYFUNCTION("""COMPUTED_VALUE"""),"煉獄玉米乾咖哩")</f>
        <v>煉獄玉米乾咖哩</v>
      </c>
      <c r="C49" s="78" t="str">
        <f>IFERROR(__xludf.DUMMYFUNCTION("""COMPUTED_VALUE"""),"infernocornkeemacurry")</f>
        <v>infernocornkeemacurry</v>
      </c>
      <c r="D49" s="78">
        <f>IFERROR(__xludf.DUMMYFUNCTION("""COMPUTED_VALUE"""),77.0)</f>
        <v>77</v>
      </c>
      <c r="E49" s="78" t="str">
        <f>IFERROR(__xludf.DUMMYFUNCTION("""COMPUTED_VALUE"""),"咖哩、濃湯")</f>
        <v>咖哩、濃湯</v>
      </c>
      <c r="F49" s="82">
        <f>IFERROR(__xludf.DUMMYFUNCTION("""COMPUTED_VALUE"""),0.48)</f>
        <v>0.48</v>
      </c>
      <c r="G49" s="83">
        <f>IFERROR(__xludf.DUMMYFUNCTION("""COMPUTED_VALUE"""),9250.0)</f>
        <v>9250</v>
      </c>
      <c r="H49" s="83">
        <f>IFERROR(__xludf.DUMMYFUNCTION("""COMPUTED_VALUE"""),13690.0)</f>
        <v>13690</v>
      </c>
      <c r="I49" s="78" t="str">
        <f>IFERROR(__xludf.DUMMYFUNCTION("""COMPUTED_VALUE"""),"火辣香草,27,豆製肉,24,萌綠玉米,14,暖暖薑,12")</f>
        <v>火辣香草,27,豆製肉,24,萌綠玉米,14,暖暖薑,12</v>
      </c>
      <c r="J49" s="78" t="str">
        <f>IFERROR(__xludf.DUMMYFUNCTION("""COMPUTED_VALUE"""),"火辣香草")</f>
        <v>火辣香草</v>
      </c>
      <c r="K49" s="78">
        <f>IFERROR(__xludf.DUMMYFUNCTION("""COMPUTED_VALUE"""),27.0)</f>
        <v>27</v>
      </c>
      <c r="L49" s="78" t="str">
        <f>IFERROR(__xludf.DUMMYFUNCTION("""COMPUTED_VALUE"""),"豆製肉")</f>
        <v>豆製肉</v>
      </c>
      <c r="M49" s="78">
        <f>IFERROR(__xludf.DUMMYFUNCTION("""COMPUTED_VALUE"""),24.0)</f>
        <v>24</v>
      </c>
      <c r="N49" s="78" t="str">
        <f>IFERROR(__xludf.DUMMYFUNCTION("""COMPUTED_VALUE"""),"萌綠玉米")</f>
        <v>萌綠玉米</v>
      </c>
      <c r="O49" s="78">
        <f>IFERROR(__xludf.DUMMYFUNCTION("""COMPUTED_VALUE"""),14.0)</f>
        <v>14</v>
      </c>
      <c r="P49" s="78" t="str">
        <f>IFERROR(__xludf.DUMMYFUNCTION("""COMPUTED_VALUE"""),"暖暖薑")</f>
        <v>暖暖薑</v>
      </c>
      <c r="Q49" s="78">
        <f>IFERROR(__xludf.DUMMYFUNCTION("""COMPUTED_VALUE"""),12.0)</f>
        <v>12</v>
      </c>
      <c r="R49" s="78" t="str">
        <f>IFERROR(__xludf.DUMMYFUNCTION("""COMPUTED_VALUE"""),"")</f>
        <v/>
      </c>
      <c r="S49" s="78" t="str">
        <f>IFERROR(__xludf.DUMMYFUNCTION("""COMPUTED_VALUE"""),"")</f>
        <v/>
      </c>
      <c r="T49" s="78" t="str">
        <f>IFERROR(__xludf.DUMMYFUNCTION("""COMPUTED_VALUE"""),"")</f>
        <v/>
      </c>
      <c r="U49" s="78" t="str">
        <f>IFERROR(__xludf.DUMMYFUNCTION("""COMPUTED_VALUE"""),"")</f>
        <v/>
      </c>
      <c r="V49" s="78">
        <f>IFERROR(__xludf.DUMMYFUNCTION("""COMPUTED_VALUE"""),24.0)</f>
        <v>24</v>
      </c>
      <c r="W49" s="78">
        <f>IFERROR(__xludf.DUMMYFUNCTION("""COMPUTED_VALUE"""),12.0)</f>
        <v>12</v>
      </c>
      <c r="X49" s="78" t="str">
        <f>IFERROR(__xludf.DUMMYFUNCTION("""COMPUTED_VALUE"""),"")</f>
        <v/>
      </c>
      <c r="Y49" s="78" t="str">
        <f>IFERROR(__xludf.DUMMYFUNCTION("""COMPUTED_VALUE"""),"")</f>
        <v/>
      </c>
      <c r="Z49" s="78" t="str">
        <f>IFERROR(__xludf.DUMMYFUNCTION("""COMPUTED_VALUE"""),"")</f>
        <v/>
      </c>
      <c r="AA49" s="78" t="str">
        <f>IFERROR(__xludf.DUMMYFUNCTION("""COMPUTED_VALUE"""),"")</f>
        <v/>
      </c>
      <c r="AB49" s="78">
        <f>IFERROR(__xludf.DUMMYFUNCTION("""COMPUTED_VALUE"""),27.0)</f>
        <v>27</v>
      </c>
      <c r="AC49" s="78">
        <f>IFERROR(__xludf.DUMMYFUNCTION("""COMPUTED_VALUE"""),14.0)</f>
        <v>14</v>
      </c>
      <c r="AD49" s="78" t="str">
        <f>IFERROR(__xludf.DUMMYFUNCTION("""COMPUTED_VALUE"""),"")</f>
        <v/>
      </c>
      <c r="AE49" s="78" t="str">
        <f>IFERROR(__xludf.DUMMYFUNCTION("""COMPUTED_VALUE"""),"")</f>
        <v/>
      </c>
      <c r="AF49" s="78" t="str">
        <f>IFERROR(__xludf.DUMMYFUNCTION("""COMPUTED_VALUE"""),"")</f>
        <v/>
      </c>
      <c r="AG49" s="78" t="str">
        <f>IFERROR(__xludf.DUMMYFUNCTION("""COMPUTED_VALUE"""),"")</f>
        <v/>
      </c>
      <c r="AH49" s="78" t="str">
        <f>IFERROR(__xludf.DUMMYFUNCTION("""COMPUTED_VALUE"""),"")</f>
        <v/>
      </c>
      <c r="AI49" s="78" t="str">
        <f>IFERROR(__xludf.DUMMYFUNCTION("""COMPUTED_VALUE"""),"")</f>
        <v/>
      </c>
      <c r="AJ49" s="78" t="str">
        <f>IFERROR(__xludf.DUMMYFUNCTION("""COMPUTED_VALUE"""),"")</f>
        <v/>
      </c>
      <c r="AK49" s="78" t="str">
        <f>IFERROR(__xludf.DUMMYFUNCTION("""COMPUTED_VALUE"""),"")</f>
        <v/>
      </c>
      <c r="AL49" s="78"/>
      <c r="AM49" s="78"/>
      <c r="AN49" s="78"/>
      <c r="AO49" s="78"/>
      <c r="AP49" s="78"/>
      <c r="AQ49" s="78"/>
      <c r="AR49" s="78"/>
      <c r="AS49" s="78"/>
    </row>
    <row r="50" ht="49.5" customHeight="1">
      <c r="A50" s="77" t="str">
        <f>IFERROR(__xludf.DUMMYFUNCTION("""COMPUTED_VALUE"""),"")</f>
        <v/>
      </c>
      <c r="B50" s="78" t="str">
        <f>IFERROR(__xludf.DUMMYFUNCTION("""COMPUTED_VALUE"""),"扮演南瓜精濃湯")</f>
        <v>扮演南瓜精濃湯</v>
      </c>
      <c r="C50" s="78" t="str">
        <f>IFERROR(__xludf.DUMMYFUNCTION("""COMPUTED_VALUE"""),"roleplaypumpkaboostew")</f>
        <v>roleplaypumpkaboostew</v>
      </c>
      <c r="D50" s="78">
        <f>IFERROR(__xludf.DUMMYFUNCTION("""COMPUTED_VALUE"""),69.0)</f>
        <v>69</v>
      </c>
      <c r="E50" s="78" t="str">
        <f>IFERROR(__xludf.DUMMYFUNCTION("""COMPUTED_VALUE"""),"咖哩、濃湯")</f>
        <v>咖哩、濃湯</v>
      </c>
      <c r="F50" s="82">
        <f>IFERROR(__xludf.DUMMYFUNCTION("""COMPUTED_VALUE"""),0.48)</f>
        <v>0.48</v>
      </c>
      <c r="G50" s="83">
        <f>IFERROR(__xludf.DUMMYFUNCTION("""COMPUTED_VALUE"""),10555.0)</f>
        <v>10555</v>
      </c>
      <c r="H50" s="83">
        <f>IFERROR(__xludf.DUMMYFUNCTION("""COMPUTED_VALUE"""),15621.0)</f>
        <v>15621</v>
      </c>
      <c r="I50" s="78" t="str">
        <f>IFERROR(__xludf.DUMMYFUNCTION("""COMPUTED_VALUE"""),"沉甸甸南瓜,10,豆製肉,16,窩心洋芋,18,品鮮蘑菇,25")</f>
        <v>沉甸甸南瓜,10,豆製肉,16,窩心洋芋,18,品鮮蘑菇,25</v>
      </c>
      <c r="J50" s="78" t="str">
        <f>IFERROR(__xludf.DUMMYFUNCTION("""COMPUTED_VALUE"""),"沉甸甸南瓜")</f>
        <v>沉甸甸南瓜</v>
      </c>
      <c r="K50" s="78">
        <f>IFERROR(__xludf.DUMMYFUNCTION("""COMPUTED_VALUE"""),10.0)</f>
        <v>10</v>
      </c>
      <c r="L50" s="78" t="str">
        <f>IFERROR(__xludf.DUMMYFUNCTION("""COMPUTED_VALUE"""),"豆製肉")</f>
        <v>豆製肉</v>
      </c>
      <c r="M50" s="78">
        <f>IFERROR(__xludf.DUMMYFUNCTION("""COMPUTED_VALUE"""),16.0)</f>
        <v>16</v>
      </c>
      <c r="N50" s="78" t="str">
        <f>IFERROR(__xludf.DUMMYFUNCTION("""COMPUTED_VALUE"""),"窩心洋芋")</f>
        <v>窩心洋芋</v>
      </c>
      <c r="O50" s="78">
        <f>IFERROR(__xludf.DUMMYFUNCTION("""COMPUTED_VALUE"""),18.0)</f>
        <v>18</v>
      </c>
      <c r="P50" s="78" t="str">
        <f>IFERROR(__xludf.DUMMYFUNCTION("""COMPUTED_VALUE"""),"品鮮蘑菇")</f>
        <v>品鮮蘑菇</v>
      </c>
      <c r="Q50" s="78">
        <f>IFERROR(__xludf.DUMMYFUNCTION("""COMPUTED_VALUE"""),25.0)</f>
        <v>25</v>
      </c>
      <c r="R50" s="78"/>
      <c r="S50" s="78"/>
      <c r="T50" s="78"/>
      <c r="U50" s="78"/>
      <c r="V50" s="78">
        <f>IFERROR(__xludf.DUMMYFUNCTION("""COMPUTED_VALUE"""),16.0)</f>
        <v>16</v>
      </c>
      <c r="W50" s="78"/>
      <c r="X50" s="78"/>
      <c r="Y50" s="78"/>
      <c r="Z50" s="78"/>
      <c r="AA50" s="78">
        <f>IFERROR(__xludf.DUMMYFUNCTION("""COMPUTED_VALUE"""),18.0)</f>
        <v>18</v>
      </c>
      <c r="AB50" s="78"/>
      <c r="AC50" s="78"/>
      <c r="AD50" s="78"/>
      <c r="AE50" s="78"/>
      <c r="AF50" s="78"/>
      <c r="AG50" s="78">
        <f>IFERROR(__xludf.DUMMYFUNCTION("""COMPUTED_VALUE"""),25.0)</f>
        <v>25</v>
      </c>
      <c r="AH50" s="78"/>
      <c r="AI50" s="78">
        <f>IFERROR(__xludf.DUMMYFUNCTION("""COMPUTED_VALUE"""),10.0)</f>
        <v>10</v>
      </c>
      <c r="AJ50" s="78"/>
      <c r="AK50" s="78"/>
      <c r="AL50" s="78"/>
      <c r="AM50" s="78"/>
      <c r="AN50" s="78"/>
      <c r="AO50" s="78"/>
      <c r="AP50" s="78"/>
      <c r="AQ50" s="78"/>
      <c r="AR50" s="78"/>
      <c r="AS50" s="78"/>
    </row>
    <row r="51" ht="49.5" customHeight="1">
      <c r="A51" s="77" t="str">
        <f>IFERROR(__xludf.DUMMYFUNCTION("""COMPUTED_VALUE"""),"")</f>
        <v/>
      </c>
      <c r="B51" s="78" t="str">
        <f>IFERROR(__xludf.DUMMYFUNCTION("""COMPUTED_VALUE"""),"覺醒力量濃湯")</f>
        <v>覺醒力量濃湯</v>
      </c>
      <c r="C51" s="78" t="str">
        <f>IFERROR(__xludf.DUMMYFUNCTION("""COMPUTED_VALUE"""),"hiddenpowerperk-upstew")</f>
        <v>hiddenpowerperk-upstew</v>
      </c>
      <c r="D51" s="78">
        <f>IFERROR(__xludf.DUMMYFUNCTION("""COMPUTED_VALUE"""),92.0)</f>
        <v>92</v>
      </c>
      <c r="E51" s="78" t="str">
        <f>IFERROR(__xludf.DUMMYFUNCTION("""COMPUTED_VALUE"""),"咖哩、濃湯")</f>
        <v>咖哩、濃湯</v>
      </c>
      <c r="F51" s="82">
        <f>IFERROR(__xludf.DUMMYFUNCTION("""COMPUTED_VALUE"""),0.61)</f>
        <v>0.61</v>
      </c>
      <c r="G51" s="83">
        <f>IFERROR(__xludf.DUMMYFUNCTION("""COMPUTED_VALUE"""),11839.0)</f>
        <v>11839</v>
      </c>
      <c r="H51" s="83">
        <f>IFERROR(__xludf.DUMMYFUNCTION("""COMPUTED_VALUE"""),19061.0)</f>
        <v>19061</v>
      </c>
      <c r="I51" s="78" t="str">
        <f>IFERROR(__xludf.DUMMYFUNCTION("""COMPUTED_VALUE"""),"萌綠大豆,28,好眠番茄,25,品鮮蘑菇,23,醒腦咖啡豆,16")</f>
        <v>萌綠大豆,28,好眠番茄,25,品鮮蘑菇,23,醒腦咖啡豆,16</v>
      </c>
      <c r="J51" s="78" t="str">
        <f>IFERROR(__xludf.DUMMYFUNCTION("""COMPUTED_VALUE"""),"萌綠大豆")</f>
        <v>萌綠大豆</v>
      </c>
      <c r="K51" s="78">
        <f>IFERROR(__xludf.DUMMYFUNCTION("""COMPUTED_VALUE"""),28.0)</f>
        <v>28</v>
      </c>
      <c r="L51" s="78" t="str">
        <f>IFERROR(__xludf.DUMMYFUNCTION("""COMPUTED_VALUE"""),"好眠番茄")</f>
        <v>好眠番茄</v>
      </c>
      <c r="M51" s="78">
        <f>IFERROR(__xludf.DUMMYFUNCTION("""COMPUTED_VALUE"""),25.0)</f>
        <v>25</v>
      </c>
      <c r="N51" s="78" t="str">
        <f>IFERROR(__xludf.DUMMYFUNCTION("""COMPUTED_VALUE"""),"品鮮蘑菇")</f>
        <v>品鮮蘑菇</v>
      </c>
      <c r="O51" s="78">
        <f>IFERROR(__xludf.DUMMYFUNCTION("""COMPUTED_VALUE"""),23.0)</f>
        <v>23</v>
      </c>
      <c r="P51" s="78" t="str">
        <f>IFERROR(__xludf.DUMMYFUNCTION("""COMPUTED_VALUE"""),"醒腦咖啡豆")</f>
        <v>醒腦咖啡豆</v>
      </c>
      <c r="Q51" s="78">
        <f>IFERROR(__xludf.DUMMYFUNCTION("""COMPUTED_VALUE"""),16.0)</f>
        <v>16</v>
      </c>
      <c r="R51" s="78" t="str">
        <f>IFERROR(__xludf.DUMMYFUNCTION("""COMPUTED_VALUE"""),"")</f>
        <v/>
      </c>
      <c r="S51" s="78" t="str">
        <f>IFERROR(__xludf.DUMMYFUNCTION("""COMPUTED_VALUE"""),"")</f>
        <v/>
      </c>
      <c r="T51" s="78">
        <f>IFERROR(__xludf.DUMMYFUNCTION("""COMPUTED_VALUE"""),28.0)</f>
        <v>28</v>
      </c>
      <c r="U51" s="78" t="str">
        <f>IFERROR(__xludf.DUMMYFUNCTION("""COMPUTED_VALUE"""),"")</f>
        <v/>
      </c>
      <c r="V51" s="78" t="str">
        <f>IFERROR(__xludf.DUMMYFUNCTION("""COMPUTED_VALUE"""),"")</f>
        <v/>
      </c>
      <c r="W51" s="78" t="str">
        <f>IFERROR(__xludf.DUMMYFUNCTION("""COMPUTED_VALUE"""),"")</f>
        <v/>
      </c>
      <c r="X51" s="78">
        <f>IFERROR(__xludf.DUMMYFUNCTION("""COMPUTED_VALUE"""),25.0)</f>
        <v>25</v>
      </c>
      <c r="Y51" s="78" t="str">
        <f>IFERROR(__xludf.DUMMYFUNCTION("""COMPUTED_VALUE"""),"")</f>
        <v/>
      </c>
      <c r="Z51" s="78" t="str">
        <f>IFERROR(__xludf.DUMMYFUNCTION("""COMPUTED_VALUE"""),"")</f>
        <v/>
      </c>
      <c r="AA51" s="78" t="str">
        <f>IFERROR(__xludf.DUMMYFUNCTION("""COMPUTED_VALUE"""),"")</f>
        <v/>
      </c>
      <c r="AB51" s="78" t="str">
        <f>IFERROR(__xludf.DUMMYFUNCTION("""COMPUTED_VALUE"""),"")</f>
        <v/>
      </c>
      <c r="AC51" s="78" t="str">
        <f>IFERROR(__xludf.DUMMYFUNCTION("""COMPUTED_VALUE"""),"")</f>
        <v/>
      </c>
      <c r="AD51" s="78" t="str">
        <f>IFERROR(__xludf.DUMMYFUNCTION("""COMPUTED_VALUE"""),"")</f>
        <v/>
      </c>
      <c r="AE51" s="78">
        <f>IFERROR(__xludf.DUMMYFUNCTION("""COMPUTED_VALUE"""),16.0)</f>
        <v>16</v>
      </c>
      <c r="AF51" s="78" t="str">
        <f>IFERROR(__xludf.DUMMYFUNCTION("""COMPUTED_VALUE"""),"")</f>
        <v/>
      </c>
      <c r="AG51" s="78">
        <f>IFERROR(__xludf.DUMMYFUNCTION("""COMPUTED_VALUE"""),23.0)</f>
        <v>23</v>
      </c>
      <c r="AH51" s="78" t="str">
        <f>IFERROR(__xludf.DUMMYFUNCTION("""COMPUTED_VALUE"""),"")</f>
        <v/>
      </c>
      <c r="AI51" s="78" t="str">
        <f>IFERROR(__xludf.DUMMYFUNCTION("""COMPUTED_VALUE"""),"")</f>
        <v/>
      </c>
      <c r="AJ51" s="78" t="str">
        <f>IFERROR(__xludf.DUMMYFUNCTION("""COMPUTED_VALUE"""),"")</f>
        <v/>
      </c>
      <c r="AK51" s="78" t="str">
        <f>IFERROR(__xludf.DUMMYFUNCTION("""COMPUTED_VALUE"""),"")</f>
        <v/>
      </c>
      <c r="AL51" s="78"/>
      <c r="AM51" s="78"/>
      <c r="AN51" s="78"/>
      <c r="AO51" s="78"/>
      <c r="AP51" s="78"/>
      <c r="AQ51" s="78"/>
      <c r="AR51" s="78"/>
      <c r="AS51" s="78"/>
    </row>
    <row r="52" ht="49.5" customHeight="1">
      <c r="A52" s="77" t="str">
        <f>IFERROR(__xludf.DUMMYFUNCTION("""COMPUTED_VALUE"""),"")</f>
        <v/>
      </c>
      <c r="B52" s="78" t="str">
        <f>IFERROR(__xludf.DUMMYFUNCTION("""COMPUTED_VALUE"""),"居合斬壽喜燒咖哩")</f>
        <v>居合斬壽喜燒咖哩</v>
      </c>
      <c r="C52" s="78" t="str">
        <f>IFERROR(__xludf.DUMMYFUNCTION("""COMPUTED_VALUE"""),"cutsukiyakicurry")</f>
        <v>cutsukiyakicurry</v>
      </c>
      <c r="D52" s="78">
        <f>IFERROR(__xludf.DUMMYFUNCTION("""COMPUTED_VALUE"""),101.0)</f>
        <v>101</v>
      </c>
      <c r="E52" s="78" t="str">
        <f>IFERROR(__xludf.DUMMYFUNCTION("""COMPUTED_VALUE"""),"咖哩、濃湯")</f>
        <v>咖哩、濃湯</v>
      </c>
      <c r="F52" s="82">
        <f>IFERROR(__xludf.DUMMYFUNCTION("""COMPUTED_VALUE"""),0.61)</f>
        <v>0.61</v>
      </c>
      <c r="G52" s="83">
        <f>IFERROR(__xludf.DUMMYFUNCTION("""COMPUTED_VALUE"""),12829.0)</f>
        <v>12829</v>
      </c>
      <c r="H52" s="83">
        <f>IFERROR(__xludf.DUMMYFUNCTION("""COMPUTED_VALUE"""),20655.0)</f>
        <v>20655</v>
      </c>
      <c r="I52" s="78" t="str">
        <f>IFERROR(__xludf.DUMMYFUNCTION("""COMPUTED_VALUE"""),"粗枝大蔥,27,豆製肉,26,甜甜蜜,26,特選蛋,22")</f>
        <v>粗枝大蔥,27,豆製肉,26,甜甜蜜,26,特選蛋,22</v>
      </c>
      <c r="J52" s="78" t="str">
        <f>IFERROR(__xludf.DUMMYFUNCTION("""COMPUTED_VALUE"""),"粗枝大蔥")</f>
        <v>粗枝大蔥</v>
      </c>
      <c r="K52" s="78">
        <f>IFERROR(__xludf.DUMMYFUNCTION("""COMPUTED_VALUE"""),27.0)</f>
        <v>27</v>
      </c>
      <c r="L52" s="78" t="str">
        <f>IFERROR(__xludf.DUMMYFUNCTION("""COMPUTED_VALUE"""),"豆製肉")</f>
        <v>豆製肉</v>
      </c>
      <c r="M52" s="78">
        <f>IFERROR(__xludf.DUMMYFUNCTION("""COMPUTED_VALUE"""),26.0)</f>
        <v>26</v>
      </c>
      <c r="N52" s="78" t="str">
        <f>IFERROR(__xludf.DUMMYFUNCTION("""COMPUTED_VALUE"""),"甜甜蜜")</f>
        <v>甜甜蜜</v>
      </c>
      <c r="O52" s="78">
        <f>IFERROR(__xludf.DUMMYFUNCTION("""COMPUTED_VALUE"""),26.0)</f>
        <v>26</v>
      </c>
      <c r="P52" s="78" t="str">
        <f>IFERROR(__xludf.DUMMYFUNCTION("""COMPUTED_VALUE"""),"特選蛋")</f>
        <v>特選蛋</v>
      </c>
      <c r="Q52" s="78">
        <f>IFERROR(__xludf.DUMMYFUNCTION("""COMPUTED_VALUE"""),22.0)</f>
        <v>22</v>
      </c>
      <c r="R52" s="78" t="str">
        <f>IFERROR(__xludf.DUMMYFUNCTION("""COMPUTED_VALUE"""),"")</f>
        <v/>
      </c>
      <c r="S52" s="78" t="str">
        <f>IFERROR(__xludf.DUMMYFUNCTION("""COMPUTED_VALUE"""),"")</f>
        <v/>
      </c>
      <c r="T52" s="78" t="str">
        <f>IFERROR(__xludf.DUMMYFUNCTION("""COMPUTED_VALUE"""),"")</f>
        <v/>
      </c>
      <c r="U52" s="78">
        <f>IFERROR(__xludf.DUMMYFUNCTION("""COMPUTED_VALUE"""),26.0)</f>
        <v>26</v>
      </c>
      <c r="V52" s="78">
        <f>IFERROR(__xludf.DUMMYFUNCTION("""COMPUTED_VALUE"""),26.0)</f>
        <v>26</v>
      </c>
      <c r="W52" s="78" t="str">
        <f>IFERROR(__xludf.DUMMYFUNCTION("""COMPUTED_VALUE"""),"")</f>
        <v/>
      </c>
      <c r="X52" s="78" t="str">
        <f>IFERROR(__xludf.DUMMYFUNCTION("""COMPUTED_VALUE"""),"")</f>
        <v/>
      </c>
      <c r="Y52" s="78">
        <f>IFERROR(__xludf.DUMMYFUNCTION("""COMPUTED_VALUE"""),22.0)</f>
        <v>22</v>
      </c>
      <c r="Z52" s="78" t="str">
        <f>IFERROR(__xludf.DUMMYFUNCTION("""COMPUTED_VALUE"""),"")</f>
        <v/>
      </c>
      <c r="AA52" s="78" t="str">
        <f>IFERROR(__xludf.DUMMYFUNCTION("""COMPUTED_VALUE"""),"")</f>
        <v/>
      </c>
      <c r="AB52" s="78" t="str">
        <f>IFERROR(__xludf.DUMMYFUNCTION("""COMPUTED_VALUE"""),"")</f>
        <v/>
      </c>
      <c r="AC52" s="78" t="str">
        <f>IFERROR(__xludf.DUMMYFUNCTION("""COMPUTED_VALUE"""),"")</f>
        <v/>
      </c>
      <c r="AD52" s="78" t="str">
        <f>IFERROR(__xludf.DUMMYFUNCTION("""COMPUTED_VALUE"""),"")</f>
        <v/>
      </c>
      <c r="AE52" s="78" t="str">
        <f>IFERROR(__xludf.DUMMYFUNCTION("""COMPUTED_VALUE"""),"")</f>
        <v/>
      </c>
      <c r="AF52" s="78" t="str">
        <f>IFERROR(__xludf.DUMMYFUNCTION("""COMPUTED_VALUE"""),"")</f>
        <v/>
      </c>
      <c r="AG52" s="78" t="str">
        <f>IFERROR(__xludf.DUMMYFUNCTION("""COMPUTED_VALUE"""),"")</f>
        <v/>
      </c>
      <c r="AH52" s="78">
        <f>IFERROR(__xludf.DUMMYFUNCTION("""COMPUTED_VALUE"""),27.0)</f>
        <v>27</v>
      </c>
      <c r="AI52" s="78" t="str">
        <f>IFERROR(__xludf.DUMMYFUNCTION("""COMPUTED_VALUE"""),"")</f>
        <v/>
      </c>
      <c r="AJ52" s="78" t="str">
        <f>IFERROR(__xludf.DUMMYFUNCTION("""COMPUTED_VALUE"""),"")</f>
        <v/>
      </c>
      <c r="AK52" s="78" t="str">
        <f>IFERROR(__xludf.DUMMYFUNCTION("""COMPUTED_VALUE"""),"")</f>
        <v/>
      </c>
      <c r="AL52" s="78"/>
      <c r="AM52" s="78"/>
      <c r="AN52" s="78"/>
      <c r="AO52" s="78"/>
      <c r="AP52" s="78"/>
      <c r="AQ52" s="78"/>
      <c r="AR52" s="78"/>
      <c r="AS52" s="78"/>
    </row>
    <row r="53" ht="49.5" customHeight="1">
      <c r="A53" s="77" t="str">
        <f>IFERROR(__xludf.DUMMYFUNCTION("""COMPUTED_VALUE"""),"")</f>
        <v/>
      </c>
      <c r="B53" s="78" t="str">
        <f>IFERROR(__xludf.DUMMYFUNCTION("""COMPUTED_VALUE"""),"茂盛焗烤酪梨")</f>
        <v>茂盛焗烤酪梨</v>
      </c>
      <c r="C53" s="78" t="str">
        <f>IFERROR(__xludf.DUMMYFUNCTION("""COMPUTED_VALUE"""),"overgrowavocadogratin")</f>
        <v>overgrowavocadogratin</v>
      </c>
      <c r="D53" s="78">
        <f>IFERROR(__xludf.DUMMYFUNCTION("""COMPUTED_VALUE"""),115.0)</f>
        <v>115</v>
      </c>
      <c r="E53" s="78" t="str">
        <f>IFERROR(__xludf.DUMMYFUNCTION("""COMPUTED_VALUE"""),"咖哩、濃湯")</f>
        <v>咖哩、濃湯</v>
      </c>
      <c r="F53" s="82">
        <f>IFERROR(__xludf.DUMMYFUNCTION("""COMPUTED_VALUE"""),0.78)</f>
        <v>0.78</v>
      </c>
      <c r="G53" s="83">
        <f>IFERROR(__xludf.DUMMYFUNCTION("""COMPUTED_VALUE"""),13934.0)</f>
        <v>13934</v>
      </c>
      <c r="H53" s="83">
        <f>IFERROR(__xludf.DUMMYFUNCTION("""COMPUTED_VALUE"""),24802.0)</f>
        <v>24802</v>
      </c>
      <c r="I53" s="78" t="str">
        <f>IFERROR(__xludf.DUMMYFUNCTION("""COMPUTED_VALUE"""),"嫩亮酪梨,22,窩心洋芋,20,哞哞鮮奶,41,純粹油,32")</f>
        <v>嫩亮酪梨,22,窩心洋芋,20,哞哞鮮奶,41,純粹油,32</v>
      </c>
      <c r="J53" s="78" t="str">
        <f>IFERROR(__xludf.DUMMYFUNCTION("""COMPUTED_VALUE"""),"嫩亮酪梨")</f>
        <v>嫩亮酪梨</v>
      </c>
      <c r="K53" s="78">
        <f>IFERROR(__xludf.DUMMYFUNCTION("""COMPUTED_VALUE"""),22.0)</f>
        <v>22</v>
      </c>
      <c r="L53" s="78" t="str">
        <f>IFERROR(__xludf.DUMMYFUNCTION("""COMPUTED_VALUE"""),"窩心洋芋")</f>
        <v>窩心洋芋</v>
      </c>
      <c r="M53" s="78">
        <f>IFERROR(__xludf.DUMMYFUNCTION("""COMPUTED_VALUE"""),20.0)</f>
        <v>20</v>
      </c>
      <c r="N53" s="78" t="str">
        <f>IFERROR(__xludf.DUMMYFUNCTION("""COMPUTED_VALUE"""),"哞哞鮮奶")</f>
        <v>哞哞鮮奶</v>
      </c>
      <c r="O53" s="78">
        <f>IFERROR(__xludf.DUMMYFUNCTION("""COMPUTED_VALUE"""),41.0)</f>
        <v>41</v>
      </c>
      <c r="P53" s="78" t="str">
        <f>IFERROR(__xludf.DUMMYFUNCTION("""COMPUTED_VALUE"""),"純粹油")</f>
        <v>純粹油</v>
      </c>
      <c r="Q53" s="78">
        <f>IFERROR(__xludf.DUMMYFUNCTION("""COMPUTED_VALUE"""),32.0)</f>
        <v>32</v>
      </c>
      <c r="R53" s="78"/>
      <c r="S53" s="78">
        <f>IFERROR(__xludf.DUMMYFUNCTION("""COMPUTED_VALUE"""),41.0)</f>
        <v>41</v>
      </c>
      <c r="T53" s="78"/>
      <c r="U53" s="78"/>
      <c r="V53" s="78"/>
      <c r="W53" s="78"/>
      <c r="X53" s="78"/>
      <c r="Y53" s="78"/>
      <c r="Z53" s="78">
        <f>IFERROR(__xludf.DUMMYFUNCTION("""COMPUTED_VALUE"""),32.0)</f>
        <v>32</v>
      </c>
      <c r="AA53" s="78">
        <f>IFERROR(__xludf.DUMMYFUNCTION("""COMPUTED_VALUE"""),20.0)</f>
        <v>20</v>
      </c>
      <c r="AB53" s="78"/>
      <c r="AC53" s="78"/>
      <c r="AD53" s="78"/>
      <c r="AE53" s="78"/>
      <c r="AF53" s="78">
        <f>IFERROR(__xludf.DUMMYFUNCTION("""COMPUTED_VALUE"""),22.0)</f>
        <v>22</v>
      </c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</row>
    <row r="54" ht="49.5" customHeight="1">
      <c r="A54" s="77" t="str">
        <f>IFERROR(__xludf.DUMMYFUNCTION("""COMPUTED_VALUE"""),"")</f>
        <v/>
      </c>
      <c r="B54" s="78" t="str">
        <f>IFERROR(__xludf.DUMMYFUNCTION("""COMPUTED_VALUE"""),"拌拌果汁")</f>
        <v>拌拌果汁</v>
      </c>
      <c r="C54" s="78" t="str">
        <f>IFERROR(__xludf.DUMMYFUNCTION("""COMPUTED_VALUE"""),"mixedjuice")</f>
        <v>mixedjuice</v>
      </c>
      <c r="D54" s="78">
        <f>IFERROR(__xludf.DUMMYFUNCTION("""COMPUTED_VALUE"""),0.0)</f>
        <v>0</v>
      </c>
      <c r="E54" s="78" t="str">
        <f>IFERROR(__xludf.DUMMYFUNCTION("""COMPUTED_VALUE"""),"點心、飲料")</f>
        <v>點心、飲料</v>
      </c>
      <c r="F54" s="82">
        <f>IFERROR(__xludf.DUMMYFUNCTION("""COMPUTED_VALUE"""),0.0)</f>
        <v>0</v>
      </c>
      <c r="G54" s="83">
        <f>IFERROR(__xludf.DUMMYFUNCTION("""COMPUTED_VALUE"""),0.0)</f>
        <v>0</v>
      </c>
      <c r="H54" s="83">
        <f>IFERROR(__xludf.DUMMYFUNCTION("""COMPUTED_VALUE"""),0.0)</f>
        <v>0</v>
      </c>
      <c r="I54" s="78" t="str">
        <f>IFERROR(__xludf.DUMMYFUNCTION("""COMPUTED_VALUE"""),"")</f>
        <v/>
      </c>
      <c r="J54" s="78"/>
      <c r="K54" s="78"/>
      <c r="L54" s="78"/>
      <c r="M54" s="78"/>
      <c r="N54" s="78"/>
      <c r="O54" s="78"/>
      <c r="P54" s="78"/>
      <c r="Q54" s="78"/>
      <c r="R54" s="78" t="str">
        <f>IFERROR(__xludf.DUMMYFUNCTION("""COMPUTED_VALUE"""),"")</f>
        <v/>
      </c>
      <c r="S54" s="78" t="str">
        <f>IFERROR(__xludf.DUMMYFUNCTION("""COMPUTED_VALUE"""),"")</f>
        <v/>
      </c>
      <c r="T54" s="78" t="str">
        <f>IFERROR(__xludf.DUMMYFUNCTION("""COMPUTED_VALUE"""),"")</f>
        <v/>
      </c>
      <c r="U54" s="78" t="str">
        <f>IFERROR(__xludf.DUMMYFUNCTION("""COMPUTED_VALUE"""),"")</f>
        <v/>
      </c>
      <c r="V54" s="78" t="str">
        <f>IFERROR(__xludf.DUMMYFUNCTION("""COMPUTED_VALUE"""),"")</f>
        <v/>
      </c>
      <c r="W54" s="78" t="str">
        <f>IFERROR(__xludf.DUMMYFUNCTION("""COMPUTED_VALUE"""),"")</f>
        <v/>
      </c>
      <c r="X54" s="78" t="str">
        <f>IFERROR(__xludf.DUMMYFUNCTION("""COMPUTED_VALUE"""),"")</f>
        <v/>
      </c>
      <c r="Y54" s="78" t="str">
        <f>IFERROR(__xludf.DUMMYFUNCTION("""COMPUTED_VALUE"""),"")</f>
        <v/>
      </c>
      <c r="Z54" s="78" t="str">
        <f>IFERROR(__xludf.DUMMYFUNCTION("""COMPUTED_VALUE"""),"")</f>
        <v/>
      </c>
      <c r="AA54" s="78" t="str">
        <f>IFERROR(__xludf.DUMMYFUNCTION("""COMPUTED_VALUE"""),"")</f>
        <v/>
      </c>
      <c r="AB54" s="78" t="str">
        <f>IFERROR(__xludf.DUMMYFUNCTION("""COMPUTED_VALUE"""),"")</f>
        <v/>
      </c>
      <c r="AC54" s="78" t="str">
        <f>IFERROR(__xludf.DUMMYFUNCTION("""COMPUTED_VALUE"""),"")</f>
        <v/>
      </c>
      <c r="AD54" s="78" t="str">
        <f>IFERROR(__xludf.DUMMYFUNCTION("""COMPUTED_VALUE"""),"")</f>
        <v/>
      </c>
      <c r="AE54" s="78" t="str">
        <f>IFERROR(__xludf.DUMMYFUNCTION("""COMPUTED_VALUE"""),"")</f>
        <v/>
      </c>
      <c r="AF54" s="78" t="str">
        <f>IFERROR(__xludf.DUMMYFUNCTION("""COMPUTED_VALUE"""),"")</f>
        <v/>
      </c>
      <c r="AG54" s="78" t="str">
        <f>IFERROR(__xludf.DUMMYFUNCTION("""COMPUTED_VALUE"""),"")</f>
        <v/>
      </c>
      <c r="AH54" s="78" t="str">
        <f>IFERROR(__xludf.DUMMYFUNCTION("""COMPUTED_VALUE"""),"")</f>
        <v/>
      </c>
      <c r="AI54" s="78" t="str">
        <f>IFERROR(__xludf.DUMMYFUNCTION("""COMPUTED_VALUE"""),"")</f>
        <v/>
      </c>
      <c r="AJ54" s="78" t="str">
        <f>IFERROR(__xludf.DUMMYFUNCTION("""COMPUTED_VALUE"""),"")</f>
        <v/>
      </c>
      <c r="AK54" s="78">
        <f>IFERROR(__xludf.DUMMYFUNCTION("""COMPUTED_VALUE"""),0.0)</f>
        <v>0</v>
      </c>
      <c r="AL54" s="78"/>
      <c r="AM54" s="78"/>
      <c r="AN54" s="78"/>
      <c r="AO54" s="78"/>
      <c r="AP54" s="78"/>
      <c r="AQ54" s="78"/>
      <c r="AR54" s="78"/>
      <c r="AS54" s="78"/>
    </row>
    <row r="55" ht="49.5" customHeight="1">
      <c r="A55" s="77" t="str">
        <f>IFERROR(__xludf.DUMMYFUNCTION("""COMPUTED_VALUE"""),"")</f>
        <v/>
      </c>
      <c r="B55" s="78" t="str">
        <f>IFERROR(__xludf.DUMMYFUNCTION("""COMPUTED_VALUE"""),"哞哞熱鮮奶")</f>
        <v>哞哞熱鮮奶</v>
      </c>
      <c r="C55" s="78" t="str">
        <f>IFERROR(__xludf.DUMMYFUNCTION("""COMPUTED_VALUE"""),"warmmoomoomilk")</f>
        <v>warmmoomoomilk</v>
      </c>
      <c r="D55" s="78">
        <f>IFERROR(__xludf.DUMMYFUNCTION("""COMPUTED_VALUE"""),7.0)</f>
        <v>7</v>
      </c>
      <c r="E55" s="78" t="str">
        <f>IFERROR(__xludf.DUMMYFUNCTION("""COMPUTED_VALUE"""),"點心、飲料")</f>
        <v>點心、飲料</v>
      </c>
      <c r="F55" s="82">
        <f>IFERROR(__xludf.DUMMYFUNCTION("""COMPUTED_VALUE"""),0.19)</f>
        <v>0.19</v>
      </c>
      <c r="G55" s="83">
        <f>IFERROR(__xludf.DUMMYFUNCTION("""COMPUTED_VALUE"""),686.0)</f>
        <v>686</v>
      </c>
      <c r="H55" s="83">
        <f>IFERROR(__xludf.DUMMYFUNCTION("""COMPUTED_VALUE"""),814.0)</f>
        <v>814</v>
      </c>
      <c r="I55" s="78" t="str">
        <f>IFERROR(__xludf.DUMMYFUNCTION("""COMPUTED_VALUE"""),"哞哞鮮奶,7")</f>
        <v>哞哞鮮奶,7</v>
      </c>
      <c r="J55" s="78" t="str">
        <f>IFERROR(__xludf.DUMMYFUNCTION("""COMPUTED_VALUE"""),"哞哞鮮奶")</f>
        <v>哞哞鮮奶</v>
      </c>
      <c r="K55" s="78">
        <f>IFERROR(__xludf.DUMMYFUNCTION("""COMPUTED_VALUE"""),7.0)</f>
        <v>7</v>
      </c>
      <c r="L55" s="78"/>
      <c r="M55" s="78"/>
      <c r="N55" s="78"/>
      <c r="O55" s="78"/>
      <c r="P55" s="78"/>
      <c r="Q55" s="78"/>
      <c r="R55" s="78" t="str">
        <f>IFERROR(__xludf.DUMMYFUNCTION("""COMPUTED_VALUE"""),"")</f>
        <v/>
      </c>
      <c r="S55" s="78">
        <f>IFERROR(__xludf.DUMMYFUNCTION("""COMPUTED_VALUE"""),7.0)</f>
        <v>7</v>
      </c>
      <c r="T55" s="78" t="str">
        <f>IFERROR(__xludf.DUMMYFUNCTION("""COMPUTED_VALUE"""),"")</f>
        <v/>
      </c>
      <c r="U55" s="78" t="str">
        <f>IFERROR(__xludf.DUMMYFUNCTION("""COMPUTED_VALUE"""),"")</f>
        <v/>
      </c>
      <c r="V55" s="78" t="str">
        <f>IFERROR(__xludf.DUMMYFUNCTION("""COMPUTED_VALUE"""),"")</f>
        <v/>
      </c>
      <c r="W55" s="78" t="str">
        <f>IFERROR(__xludf.DUMMYFUNCTION("""COMPUTED_VALUE"""),"")</f>
        <v/>
      </c>
      <c r="X55" s="78" t="str">
        <f>IFERROR(__xludf.DUMMYFUNCTION("""COMPUTED_VALUE"""),"")</f>
        <v/>
      </c>
      <c r="Y55" s="78" t="str">
        <f>IFERROR(__xludf.DUMMYFUNCTION("""COMPUTED_VALUE"""),"")</f>
        <v/>
      </c>
      <c r="Z55" s="78" t="str">
        <f>IFERROR(__xludf.DUMMYFUNCTION("""COMPUTED_VALUE"""),"")</f>
        <v/>
      </c>
      <c r="AA55" s="78" t="str">
        <f>IFERROR(__xludf.DUMMYFUNCTION("""COMPUTED_VALUE"""),"")</f>
        <v/>
      </c>
      <c r="AB55" s="78" t="str">
        <f>IFERROR(__xludf.DUMMYFUNCTION("""COMPUTED_VALUE"""),"")</f>
        <v/>
      </c>
      <c r="AC55" s="78" t="str">
        <f>IFERROR(__xludf.DUMMYFUNCTION("""COMPUTED_VALUE"""),"")</f>
        <v/>
      </c>
      <c r="AD55" s="78" t="str">
        <f>IFERROR(__xludf.DUMMYFUNCTION("""COMPUTED_VALUE"""),"")</f>
        <v/>
      </c>
      <c r="AE55" s="78" t="str">
        <f>IFERROR(__xludf.DUMMYFUNCTION("""COMPUTED_VALUE"""),"")</f>
        <v/>
      </c>
      <c r="AF55" s="78" t="str">
        <f>IFERROR(__xludf.DUMMYFUNCTION("""COMPUTED_VALUE"""),"")</f>
        <v/>
      </c>
      <c r="AG55" s="78" t="str">
        <f>IFERROR(__xludf.DUMMYFUNCTION("""COMPUTED_VALUE"""),"")</f>
        <v/>
      </c>
      <c r="AH55" s="78" t="str">
        <f>IFERROR(__xludf.DUMMYFUNCTION("""COMPUTED_VALUE"""),"")</f>
        <v/>
      </c>
      <c r="AI55" s="78" t="str">
        <f>IFERROR(__xludf.DUMMYFUNCTION("""COMPUTED_VALUE"""),"")</f>
        <v/>
      </c>
      <c r="AJ55" s="78" t="str">
        <f>IFERROR(__xludf.DUMMYFUNCTION("""COMPUTED_VALUE"""),"")</f>
        <v/>
      </c>
      <c r="AK55" s="78">
        <f>IFERROR(__xludf.DUMMYFUNCTION("""COMPUTED_VALUE"""),0.0)</f>
        <v>0</v>
      </c>
      <c r="AL55" s="78"/>
      <c r="AM55" s="78"/>
      <c r="AN55" s="78"/>
      <c r="AO55" s="78"/>
      <c r="AP55" s="78"/>
      <c r="AQ55" s="78"/>
      <c r="AR55" s="78"/>
      <c r="AS55" s="78"/>
    </row>
    <row r="56" ht="49.5" customHeight="1">
      <c r="A56" s="77" t="str">
        <f>IFERROR(__xludf.DUMMYFUNCTION("""COMPUTED_VALUE"""),"")</f>
        <v/>
      </c>
      <c r="B56" s="78" t="str">
        <f>IFERROR(__xludf.DUMMYFUNCTION("""COMPUTED_VALUE"""),"特選蘋果汁")</f>
        <v>特選蘋果汁</v>
      </c>
      <c r="C56" s="78" t="str">
        <f>IFERROR(__xludf.DUMMYFUNCTION("""COMPUTED_VALUE"""),"fancyapplejuice")</f>
        <v>fancyapplejuice</v>
      </c>
      <c r="D56" s="78">
        <f>IFERROR(__xludf.DUMMYFUNCTION("""COMPUTED_VALUE"""),8.0)</f>
        <v>8</v>
      </c>
      <c r="E56" s="78" t="str">
        <f>IFERROR(__xludf.DUMMYFUNCTION("""COMPUTED_VALUE"""),"點心、飲料")</f>
        <v>點心、飲料</v>
      </c>
      <c r="F56" s="82">
        <f>IFERROR(__xludf.DUMMYFUNCTION("""COMPUTED_VALUE"""),0.19)</f>
        <v>0.19</v>
      </c>
      <c r="G56" s="83">
        <f>IFERROR(__xludf.DUMMYFUNCTION("""COMPUTED_VALUE"""),720.0)</f>
        <v>720</v>
      </c>
      <c r="H56" s="83">
        <f>IFERROR(__xludf.DUMMYFUNCTION("""COMPUTED_VALUE"""),855.0)</f>
        <v>855</v>
      </c>
      <c r="I56" s="78" t="str">
        <f>IFERROR(__xludf.DUMMYFUNCTION("""COMPUTED_VALUE"""),"特選蘋果,8")</f>
        <v>特選蘋果,8</v>
      </c>
      <c r="J56" s="78" t="str">
        <f>IFERROR(__xludf.DUMMYFUNCTION("""COMPUTED_VALUE"""),"特選蘋果")</f>
        <v>特選蘋果</v>
      </c>
      <c r="K56" s="78">
        <f>IFERROR(__xludf.DUMMYFUNCTION("""COMPUTED_VALUE"""),8.0)</f>
        <v>8</v>
      </c>
      <c r="L56" s="78"/>
      <c r="M56" s="78"/>
      <c r="N56" s="78"/>
      <c r="O56" s="78"/>
      <c r="P56" s="78"/>
      <c r="Q56" s="78"/>
      <c r="R56" s="78">
        <f>IFERROR(__xludf.DUMMYFUNCTION("""COMPUTED_VALUE"""),8.0)</f>
        <v>8</v>
      </c>
      <c r="S56" s="78" t="str">
        <f>IFERROR(__xludf.DUMMYFUNCTION("""COMPUTED_VALUE"""),"")</f>
        <v/>
      </c>
      <c r="T56" s="78" t="str">
        <f>IFERROR(__xludf.DUMMYFUNCTION("""COMPUTED_VALUE"""),"")</f>
        <v/>
      </c>
      <c r="U56" s="78" t="str">
        <f>IFERROR(__xludf.DUMMYFUNCTION("""COMPUTED_VALUE"""),"")</f>
        <v/>
      </c>
      <c r="V56" s="78" t="str">
        <f>IFERROR(__xludf.DUMMYFUNCTION("""COMPUTED_VALUE"""),"")</f>
        <v/>
      </c>
      <c r="W56" s="78" t="str">
        <f>IFERROR(__xludf.DUMMYFUNCTION("""COMPUTED_VALUE"""),"")</f>
        <v/>
      </c>
      <c r="X56" s="78" t="str">
        <f>IFERROR(__xludf.DUMMYFUNCTION("""COMPUTED_VALUE"""),"")</f>
        <v/>
      </c>
      <c r="Y56" s="78" t="str">
        <f>IFERROR(__xludf.DUMMYFUNCTION("""COMPUTED_VALUE"""),"")</f>
        <v/>
      </c>
      <c r="Z56" s="78" t="str">
        <f>IFERROR(__xludf.DUMMYFUNCTION("""COMPUTED_VALUE"""),"")</f>
        <v/>
      </c>
      <c r="AA56" s="78" t="str">
        <f>IFERROR(__xludf.DUMMYFUNCTION("""COMPUTED_VALUE"""),"")</f>
        <v/>
      </c>
      <c r="AB56" s="78" t="str">
        <f>IFERROR(__xludf.DUMMYFUNCTION("""COMPUTED_VALUE"""),"")</f>
        <v/>
      </c>
      <c r="AC56" s="78" t="str">
        <f>IFERROR(__xludf.DUMMYFUNCTION("""COMPUTED_VALUE"""),"")</f>
        <v/>
      </c>
      <c r="AD56" s="78" t="str">
        <f>IFERROR(__xludf.DUMMYFUNCTION("""COMPUTED_VALUE"""),"")</f>
        <v/>
      </c>
      <c r="AE56" s="78" t="str">
        <f>IFERROR(__xludf.DUMMYFUNCTION("""COMPUTED_VALUE"""),"")</f>
        <v/>
      </c>
      <c r="AF56" s="78" t="str">
        <f>IFERROR(__xludf.DUMMYFUNCTION("""COMPUTED_VALUE"""),"")</f>
        <v/>
      </c>
      <c r="AG56" s="78" t="str">
        <f>IFERROR(__xludf.DUMMYFUNCTION("""COMPUTED_VALUE"""),"")</f>
        <v/>
      </c>
      <c r="AH56" s="78" t="str">
        <f>IFERROR(__xludf.DUMMYFUNCTION("""COMPUTED_VALUE"""),"")</f>
        <v/>
      </c>
      <c r="AI56" s="78" t="str">
        <f>IFERROR(__xludf.DUMMYFUNCTION("""COMPUTED_VALUE"""),"")</f>
        <v/>
      </c>
      <c r="AJ56" s="78" t="str">
        <f>IFERROR(__xludf.DUMMYFUNCTION("""COMPUTED_VALUE"""),"")</f>
        <v/>
      </c>
      <c r="AK56" s="78">
        <f>IFERROR(__xludf.DUMMYFUNCTION("""COMPUTED_VALUE"""),0.0)</f>
        <v>0</v>
      </c>
      <c r="AL56" s="78"/>
      <c r="AM56" s="78"/>
      <c r="AN56" s="78"/>
      <c r="AO56" s="78"/>
      <c r="AP56" s="78"/>
      <c r="AQ56" s="78"/>
      <c r="AR56" s="78"/>
      <c r="AS56" s="78"/>
    </row>
    <row r="57" ht="49.5" customHeight="1">
      <c r="A57" s="77" t="str">
        <f>IFERROR(__xludf.DUMMYFUNCTION("""COMPUTED_VALUE"""),"")</f>
        <v/>
      </c>
      <c r="B57" s="78" t="str">
        <f>IFERROR(__xludf.DUMMYFUNCTION("""COMPUTED_VALUE"""),"手製勁爽汽水")</f>
        <v>手製勁爽汽水</v>
      </c>
      <c r="C57" s="78" t="str">
        <f>IFERROR(__xludf.DUMMYFUNCTION("""COMPUTED_VALUE"""),"craftsodapop")</f>
        <v>craftsodapop</v>
      </c>
      <c r="D57" s="78">
        <f>IFERROR(__xludf.DUMMYFUNCTION("""COMPUTED_VALUE"""),9.0)</f>
        <v>9</v>
      </c>
      <c r="E57" s="78" t="str">
        <f>IFERROR(__xludf.DUMMYFUNCTION("""COMPUTED_VALUE"""),"點心、飲料")</f>
        <v>點心、飲料</v>
      </c>
      <c r="F57" s="82">
        <f>IFERROR(__xludf.DUMMYFUNCTION("""COMPUTED_VALUE"""),0.19)</f>
        <v>0.19</v>
      </c>
      <c r="G57" s="83">
        <f>IFERROR(__xludf.DUMMYFUNCTION("""COMPUTED_VALUE"""),909.0)</f>
        <v>909</v>
      </c>
      <c r="H57" s="83">
        <f>IFERROR(__xludf.DUMMYFUNCTION("""COMPUTED_VALUE"""),1079.0)</f>
        <v>1079</v>
      </c>
      <c r="I57" s="78" t="str">
        <f>IFERROR(__xludf.DUMMYFUNCTION("""COMPUTED_VALUE"""),"甜甜蜜,9")</f>
        <v>甜甜蜜,9</v>
      </c>
      <c r="J57" s="78" t="str">
        <f>IFERROR(__xludf.DUMMYFUNCTION("""COMPUTED_VALUE"""),"甜甜蜜")</f>
        <v>甜甜蜜</v>
      </c>
      <c r="K57" s="78">
        <f>IFERROR(__xludf.DUMMYFUNCTION("""COMPUTED_VALUE"""),9.0)</f>
        <v>9</v>
      </c>
      <c r="L57" s="78"/>
      <c r="M57" s="78"/>
      <c r="N57" s="78"/>
      <c r="O57" s="78"/>
      <c r="P57" s="78"/>
      <c r="Q57" s="78"/>
      <c r="R57" s="78" t="str">
        <f>IFERROR(__xludf.DUMMYFUNCTION("""COMPUTED_VALUE"""),"")</f>
        <v/>
      </c>
      <c r="S57" s="78" t="str">
        <f>IFERROR(__xludf.DUMMYFUNCTION("""COMPUTED_VALUE"""),"")</f>
        <v/>
      </c>
      <c r="T57" s="78" t="str">
        <f>IFERROR(__xludf.DUMMYFUNCTION("""COMPUTED_VALUE"""),"")</f>
        <v/>
      </c>
      <c r="U57" s="78">
        <f>IFERROR(__xludf.DUMMYFUNCTION("""COMPUTED_VALUE"""),9.0)</f>
        <v>9</v>
      </c>
      <c r="V57" s="78" t="str">
        <f>IFERROR(__xludf.DUMMYFUNCTION("""COMPUTED_VALUE"""),"")</f>
        <v/>
      </c>
      <c r="W57" s="78" t="str">
        <f>IFERROR(__xludf.DUMMYFUNCTION("""COMPUTED_VALUE"""),"")</f>
        <v/>
      </c>
      <c r="X57" s="78" t="str">
        <f>IFERROR(__xludf.DUMMYFUNCTION("""COMPUTED_VALUE"""),"")</f>
        <v/>
      </c>
      <c r="Y57" s="78" t="str">
        <f>IFERROR(__xludf.DUMMYFUNCTION("""COMPUTED_VALUE"""),"")</f>
        <v/>
      </c>
      <c r="Z57" s="78" t="str">
        <f>IFERROR(__xludf.DUMMYFUNCTION("""COMPUTED_VALUE"""),"")</f>
        <v/>
      </c>
      <c r="AA57" s="78" t="str">
        <f>IFERROR(__xludf.DUMMYFUNCTION("""COMPUTED_VALUE"""),"")</f>
        <v/>
      </c>
      <c r="AB57" s="78" t="str">
        <f>IFERROR(__xludf.DUMMYFUNCTION("""COMPUTED_VALUE"""),"")</f>
        <v/>
      </c>
      <c r="AC57" s="78" t="str">
        <f>IFERROR(__xludf.DUMMYFUNCTION("""COMPUTED_VALUE"""),"")</f>
        <v/>
      </c>
      <c r="AD57" s="78" t="str">
        <f>IFERROR(__xludf.DUMMYFUNCTION("""COMPUTED_VALUE"""),"")</f>
        <v/>
      </c>
      <c r="AE57" s="78" t="str">
        <f>IFERROR(__xludf.DUMMYFUNCTION("""COMPUTED_VALUE"""),"")</f>
        <v/>
      </c>
      <c r="AF57" s="78" t="str">
        <f>IFERROR(__xludf.DUMMYFUNCTION("""COMPUTED_VALUE"""),"")</f>
        <v/>
      </c>
      <c r="AG57" s="78" t="str">
        <f>IFERROR(__xludf.DUMMYFUNCTION("""COMPUTED_VALUE"""),"")</f>
        <v/>
      </c>
      <c r="AH57" s="78" t="str">
        <f>IFERROR(__xludf.DUMMYFUNCTION("""COMPUTED_VALUE"""),"")</f>
        <v/>
      </c>
      <c r="AI57" s="78" t="str">
        <f>IFERROR(__xludf.DUMMYFUNCTION("""COMPUTED_VALUE"""),"")</f>
        <v/>
      </c>
      <c r="AJ57" s="78" t="str">
        <f>IFERROR(__xludf.DUMMYFUNCTION("""COMPUTED_VALUE"""),"")</f>
        <v/>
      </c>
      <c r="AK57" s="78">
        <f>IFERROR(__xludf.DUMMYFUNCTION("""COMPUTED_VALUE"""),0.0)</f>
        <v>0</v>
      </c>
      <c r="AL57" s="78"/>
      <c r="AM57" s="78"/>
      <c r="AN57" s="78"/>
      <c r="AO57" s="78"/>
      <c r="AP57" s="78"/>
      <c r="AQ57" s="78"/>
      <c r="AR57" s="78"/>
      <c r="AS57" s="78"/>
    </row>
    <row r="58" ht="49.5" customHeight="1">
      <c r="A58" s="77" t="str">
        <f>IFERROR(__xludf.DUMMYFUNCTION("""COMPUTED_VALUE"""),"")</f>
        <v/>
      </c>
      <c r="B58" s="78" t="str">
        <f>IFERROR(__xludf.DUMMYFUNCTION("""COMPUTED_VALUE"""),"祈願蘋果派")</f>
        <v>祈願蘋果派</v>
      </c>
      <c r="C58" s="78" t="str">
        <f>IFERROR(__xludf.DUMMYFUNCTION("""COMPUTED_VALUE"""),"luckychantapplepie")</f>
        <v>luckychantapplepie</v>
      </c>
      <c r="D58" s="78">
        <f>IFERROR(__xludf.DUMMYFUNCTION("""COMPUTED_VALUE"""),16.0)</f>
        <v>16</v>
      </c>
      <c r="E58" s="78" t="str">
        <f>IFERROR(__xludf.DUMMYFUNCTION("""COMPUTED_VALUE"""),"點心、飲料")</f>
        <v>點心、飲料</v>
      </c>
      <c r="F58" s="82">
        <f>IFERROR(__xludf.DUMMYFUNCTION("""COMPUTED_VALUE"""),0.19)</f>
        <v>0.19</v>
      </c>
      <c r="G58" s="83">
        <f>IFERROR(__xludf.DUMMYFUNCTION("""COMPUTED_VALUE"""),1472.0)</f>
        <v>1472</v>
      </c>
      <c r="H58" s="83">
        <f>IFERROR(__xludf.DUMMYFUNCTION("""COMPUTED_VALUE"""),1748.0)</f>
        <v>1748</v>
      </c>
      <c r="I58" s="78" t="str">
        <f>IFERROR(__xludf.DUMMYFUNCTION("""COMPUTED_VALUE"""),"特選蘋果,12,哞哞鮮奶,4")</f>
        <v>特選蘋果,12,哞哞鮮奶,4</v>
      </c>
      <c r="J58" s="78" t="str">
        <f>IFERROR(__xludf.DUMMYFUNCTION("""COMPUTED_VALUE"""),"特選蘋果")</f>
        <v>特選蘋果</v>
      </c>
      <c r="K58" s="78">
        <f>IFERROR(__xludf.DUMMYFUNCTION("""COMPUTED_VALUE"""),12.0)</f>
        <v>12</v>
      </c>
      <c r="L58" s="78" t="str">
        <f>IFERROR(__xludf.DUMMYFUNCTION("""COMPUTED_VALUE"""),"哞哞鮮奶")</f>
        <v>哞哞鮮奶</v>
      </c>
      <c r="M58" s="78">
        <f>IFERROR(__xludf.DUMMYFUNCTION("""COMPUTED_VALUE"""),4.0)</f>
        <v>4</v>
      </c>
      <c r="N58" s="78"/>
      <c r="O58" s="78"/>
      <c r="P58" s="78"/>
      <c r="Q58" s="78"/>
      <c r="R58" s="78">
        <f>IFERROR(__xludf.DUMMYFUNCTION("""COMPUTED_VALUE"""),12.0)</f>
        <v>12</v>
      </c>
      <c r="S58" s="78">
        <f>IFERROR(__xludf.DUMMYFUNCTION("""COMPUTED_VALUE"""),4.0)</f>
        <v>4</v>
      </c>
      <c r="T58" s="78" t="str">
        <f>IFERROR(__xludf.DUMMYFUNCTION("""COMPUTED_VALUE"""),"")</f>
        <v/>
      </c>
      <c r="U58" s="78" t="str">
        <f>IFERROR(__xludf.DUMMYFUNCTION("""COMPUTED_VALUE"""),"")</f>
        <v/>
      </c>
      <c r="V58" s="78" t="str">
        <f>IFERROR(__xludf.DUMMYFUNCTION("""COMPUTED_VALUE"""),"")</f>
        <v/>
      </c>
      <c r="W58" s="78" t="str">
        <f>IFERROR(__xludf.DUMMYFUNCTION("""COMPUTED_VALUE"""),"")</f>
        <v/>
      </c>
      <c r="X58" s="78" t="str">
        <f>IFERROR(__xludf.DUMMYFUNCTION("""COMPUTED_VALUE"""),"")</f>
        <v/>
      </c>
      <c r="Y58" s="78" t="str">
        <f>IFERROR(__xludf.DUMMYFUNCTION("""COMPUTED_VALUE"""),"")</f>
        <v/>
      </c>
      <c r="Z58" s="78" t="str">
        <f>IFERROR(__xludf.DUMMYFUNCTION("""COMPUTED_VALUE"""),"")</f>
        <v/>
      </c>
      <c r="AA58" s="78" t="str">
        <f>IFERROR(__xludf.DUMMYFUNCTION("""COMPUTED_VALUE"""),"")</f>
        <v/>
      </c>
      <c r="AB58" s="78" t="str">
        <f>IFERROR(__xludf.DUMMYFUNCTION("""COMPUTED_VALUE"""),"")</f>
        <v/>
      </c>
      <c r="AC58" s="78" t="str">
        <f>IFERROR(__xludf.DUMMYFUNCTION("""COMPUTED_VALUE"""),"")</f>
        <v/>
      </c>
      <c r="AD58" s="78" t="str">
        <f>IFERROR(__xludf.DUMMYFUNCTION("""COMPUTED_VALUE"""),"")</f>
        <v/>
      </c>
      <c r="AE58" s="78" t="str">
        <f>IFERROR(__xludf.DUMMYFUNCTION("""COMPUTED_VALUE"""),"")</f>
        <v/>
      </c>
      <c r="AF58" s="78" t="str">
        <f>IFERROR(__xludf.DUMMYFUNCTION("""COMPUTED_VALUE"""),"")</f>
        <v/>
      </c>
      <c r="AG58" s="78" t="str">
        <f>IFERROR(__xludf.DUMMYFUNCTION("""COMPUTED_VALUE"""),"")</f>
        <v/>
      </c>
      <c r="AH58" s="78" t="str">
        <f>IFERROR(__xludf.DUMMYFUNCTION("""COMPUTED_VALUE"""),"")</f>
        <v/>
      </c>
      <c r="AI58" s="78" t="str">
        <f>IFERROR(__xludf.DUMMYFUNCTION("""COMPUTED_VALUE"""),"")</f>
        <v/>
      </c>
      <c r="AJ58" s="78" t="str">
        <f>IFERROR(__xludf.DUMMYFUNCTION("""COMPUTED_VALUE"""),"")</f>
        <v/>
      </c>
      <c r="AK58" s="78">
        <f>IFERROR(__xludf.DUMMYFUNCTION("""COMPUTED_VALUE"""),0.0)</f>
        <v>0</v>
      </c>
      <c r="AL58" s="78"/>
      <c r="AM58" s="78"/>
      <c r="AN58" s="78"/>
      <c r="AO58" s="78"/>
      <c r="AP58" s="78"/>
      <c r="AQ58" s="78"/>
      <c r="AR58" s="78"/>
      <c r="AS58" s="78"/>
    </row>
    <row r="59" ht="49.5" customHeight="1">
      <c r="A59" s="77" t="str">
        <f>IFERROR(__xludf.DUMMYFUNCTION("""COMPUTED_VALUE"""),"")</f>
        <v/>
      </c>
      <c r="B59" s="78" t="str">
        <f>IFERROR(__xludf.DUMMYFUNCTION("""COMPUTED_VALUE"""),"熟成甜薯燒")</f>
        <v>熟成甜薯燒</v>
      </c>
      <c r="C59" s="78" t="str">
        <f>IFERROR(__xludf.DUMMYFUNCTION("""COMPUTED_VALUE"""),"fluffysweetpotatoes")</f>
        <v>fluffysweetpotatoes</v>
      </c>
      <c r="D59" s="78">
        <f>IFERROR(__xludf.DUMMYFUNCTION("""COMPUTED_VALUE"""),14.0)</f>
        <v>14</v>
      </c>
      <c r="E59" s="78" t="str">
        <f>IFERROR(__xludf.DUMMYFUNCTION("""COMPUTED_VALUE"""),"點心、飲料")</f>
        <v>點心、飲料</v>
      </c>
      <c r="F59" s="82">
        <f>IFERROR(__xludf.DUMMYFUNCTION("""COMPUTED_VALUE"""),0.19)</f>
        <v>0.19</v>
      </c>
      <c r="G59" s="83">
        <f>IFERROR(__xludf.DUMMYFUNCTION("""COMPUTED_VALUE"""),1606.0)</f>
        <v>1606</v>
      </c>
      <c r="H59" s="83">
        <f>IFERROR(__xludf.DUMMYFUNCTION("""COMPUTED_VALUE"""),1907.0)</f>
        <v>1907</v>
      </c>
      <c r="I59" s="78" t="str">
        <f>IFERROR(__xludf.DUMMYFUNCTION("""COMPUTED_VALUE"""),"窩心洋芋,9,哞哞鮮奶,5")</f>
        <v>窩心洋芋,9,哞哞鮮奶,5</v>
      </c>
      <c r="J59" s="78" t="str">
        <f>IFERROR(__xludf.DUMMYFUNCTION("""COMPUTED_VALUE"""),"窩心洋芋")</f>
        <v>窩心洋芋</v>
      </c>
      <c r="K59" s="78">
        <f>IFERROR(__xludf.DUMMYFUNCTION("""COMPUTED_VALUE"""),9.0)</f>
        <v>9</v>
      </c>
      <c r="L59" s="78" t="str">
        <f>IFERROR(__xludf.DUMMYFUNCTION("""COMPUTED_VALUE"""),"哞哞鮮奶")</f>
        <v>哞哞鮮奶</v>
      </c>
      <c r="M59" s="78">
        <f>IFERROR(__xludf.DUMMYFUNCTION("""COMPUTED_VALUE"""),5.0)</f>
        <v>5</v>
      </c>
      <c r="N59" s="78"/>
      <c r="O59" s="78"/>
      <c r="P59" s="78"/>
      <c r="Q59" s="78"/>
      <c r="R59" s="78" t="str">
        <f>IFERROR(__xludf.DUMMYFUNCTION("""COMPUTED_VALUE"""),"")</f>
        <v/>
      </c>
      <c r="S59" s="78">
        <f>IFERROR(__xludf.DUMMYFUNCTION("""COMPUTED_VALUE"""),5.0)</f>
        <v>5</v>
      </c>
      <c r="T59" s="78" t="str">
        <f>IFERROR(__xludf.DUMMYFUNCTION("""COMPUTED_VALUE"""),"")</f>
        <v/>
      </c>
      <c r="U59" s="78" t="str">
        <f>IFERROR(__xludf.DUMMYFUNCTION("""COMPUTED_VALUE"""),"")</f>
        <v/>
      </c>
      <c r="V59" s="78" t="str">
        <f>IFERROR(__xludf.DUMMYFUNCTION("""COMPUTED_VALUE"""),"")</f>
        <v/>
      </c>
      <c r="W59" s="78" t="str">
        <f>IFERROR(__xludf.DUMMYFUNCTION("""COMPUTED_VALUE"""),"")</f>
        <v/>
      </c>
      <c r="X59" s="78" t="str">
        <f>IFERROR(__xludf.DUMMYFUNCTION("""COMPUTED_VALUE"""),"")</f>
        <v/>
      </c>
      <c r="Y59" s="78" t="str">
        <f>IFERROR(__xludf.DUMMYFUNCTION("""COMPUTED_VALUE"""),"")</f>
        <v/>
      </c>
      <c r="Z59" s="78" t="str">
        <f>IFERROR(__xludf.DUMMYFUNCTION("""COMPUTED_VALUE"""),"")</f>
        <v/>
      </c>
      <c r="AA59" s="78">
        <f>IFERROR(__xludf.DUMMYFUNCTION("""COMPUTED_VALUE"""),9.0)</f>
        <v>9</v>
      </c>
      <c r="AB59" s="78" t="str">
        <f>IFERROR(__xludf.DUMMYFUNCTION("""COMPUTED_VALUE"""),"")</f>
        <v/>
      </c>
      <c r="AC59" s="78" t="str">
        <f>IFERROR(__xludf.DUMMYFUNCTION("""COMPUTED_VALUE"""),"")</f>
        <v/>
      </c>
      <c r="AD59" s="78" t="str">
        <f>IFERROR(__xludf.DUMMYFUNCTION("""COMPUTED_VALUE"""),"")</f>
        <v/>
      </c>
      <c r="AE59" s="78" t="str">
        <f>IFERROR(__xludf.DUMMYFUNCTION("""COMPUTED_VALUE"""),"")</f>
        <v/>
      </c>
      <c r="AF59" s="78" t="str">
        <f>IFERROR(__xludf.DUMMYFUNCTION("""COMPUTED_VALUE"""),"")</f>
        <v/>
      </c>
      <c r="AG59" s="78" t="str">
        <f>IFERROR(__xludf.DUMMYFUNCTION("""COMPUTED_VALUE"""),"")</f>
        <v/>
      </c>
      <c r="AH59" s="78" t="str">
        <f>IFERROR(__xludf.DUMMYFUNCTION("""COMPUTED_VALUE"""),"")</f>
        <v/>
      </c>
      <c r="AI59" s="78" t="str">
        <f>IFERROR(__xludf.DUMMYFUNCTION("""COMPUTED_VALUE"""),"")</f>
        <v/>
      </c>
      <c r="AJ59" s="78" t="str">
        <f>IFERROR(__xludf.DUMMYFUNCTION("""COMPUTED_VALUE"""),"")</f>
        <v/>
      </c>
      <c r="AK59" s="78">
        <f>IFERROR(__xludf.DUMMYFUNCTION("""COMPUTED_VALUE"""),0.0)</f>
        <v>0</v>
      </c>
      <c r="AL59" s="78"/>
      <c r="AM59" s="78"/>
      <c r="AN59" s="78"/>
      <c r="AO59" s="78"/>
      <c r="AP59" s="78"/>
      <c r="AQ59" s="78"/>
      <c r="AR59" s="78"/>
      <c r="AS59" s="78"/>
    </row>
    <row r="60" ht="49.5" customHeight="1">
      <c r="A60" s="77" t="str">
        <f>IFERROR(__xludf.DUMMYFUNCTION("""COMPUTED_VALUE"""),"")</f>
        <v/>
      </c>
      <c r="B60" s="78" t="str">
        <f>IFERROR(__xludf.DUMMYFUNCTION("""COMPUTED_VALUE"""),"火花薑茶")</f>
        <v>火花薑茶</v>
      </c>
      <c r="C60" s="78" t="str">
        <f>IFERROR(__xludf.DUMMYFUNCTION("""COMPUTED_VALUE"""),"embergingertea")</f>
        <v>embergingertea</v>
      </c>
      <c r="D60" s="78">
        <f>IFERROR(__xludf.DUMMYFUNCTION("""COMPUTED_VALUE"""),16.0)</f>
        <v>16</v>
      </c>
      <c r="E60" s="78" t="str">
        <f>IFERROR(__xludf.DUMMYFUNCTION("""COMPUTED_VALUE"""),"點心、飲料")</f>
        <v>點心、飲料</v>
      </c>
      <c r="F60" s="82">
        <f>IFERROR(__xludf.DUMMYFUNCTION("""COMPUTED_VALUE"""),0.19)</f>
        <v>0.19</v>
      </c>
      <c r="G60" s="83">
        <f>IFERROR(__xludf.DUMMYFUNCTION("""COMPUTED_VALUE"""),1611.0)</f>
        <v>1611</v>
      </c>
      <c r="H60" s="83">
        <f>IFERROR(__xludf.DUMMYFUNCTION("""COMPUTED_VALUE"""),1913.0)</f>
        <v>1913</v>
      </c>
      <c r="I60" s="78" t="str">
        <f>IFERROR(__xludf.DUMMYFUNCTION("""COMPUTED_VALUE"""),"暖暖薑,9,特選蘋果,7")</f>
        <v>暖暖薑,9,特選蘋果,7</v>
      </c>
      <c r="J60" s="78" t="str">
        <f>IFERROR(__xludf.DUMMYFUNCTION("""COMPUTED_VALUE"""),"暖暖薑")</f>
        <v>暖暖薑</v>
      </c>
      <c r="K60" s="78">
        <f>IFERROR(__xludf.DUMMYFUNCTION("""COMPUTED_VALUE"""),9.0)</f>
        <v>9</v>
      </c>
      <c r="L60" s="78" t="str">
        <f>IFERROR(__xludf.DUMMYFUNCTION("""COMPUTED_VALUE"""),"特選蘋果")</f>
        <v>特選蘋果</v>
      </c>
      <c r="M60" s="78">
        <f>IFERROR(__xludf.DUMMYFUNCTION("""COMPUTED_VALUE"""),7.0)</f>
        <v>7</v>
      </c>
      <c r="N60" s="78"/>
      <c r="O60" s="78"/>
      <c r="P60" s="78"/>
      <c r="Q60" s="78"/>
      <c r="R60" s="78">
        <f>IFERROR(__xludf.DUMMYFUNCTION("""COMPUTED_VALUE"""),7.0)</f>
        <v>7</v>
      </c>
      <c r="S60" s="78" t="str">
        <f>IFERROR(__xludf.DUMMYFUNCTION("""COMPUTED_VALUE"""),"")</f>
        <v/>
      </c>
      <c r="T60" s="78" t="str">
        <f>IFERROR(__xludf.DUMMYFUNCTION("""COMPUTED_VALUE"""),"")</f>
        <v/>
      </c>
      <c r="U60" s="78" t="str">
        <f>IFERROR(__xludf.DUMMYFUNCTION("""COMPUTED_VALUE"""),"")</f>
        <v/>
      </c>
      <c r="V60" s="78" t="str">
        <f>IFERROR(__xludf.DUMMYFUNCTION("""COMPUTED_VALUE"""),"")</f>
        <v/>
      </c>
      <c r="W60" s="78">
        <f>IFERROR(__xludf.DUMMYFUNCTION("""COMPUTED_VALUE"""),9.0)</f>
        <v>9</v>
      </c>
      <c r="X60" s="78" t="str">
        <f>IFERROR(__xludf.DUMMYFUNCTION("""COMPUTED_VALUE"""),"")</f>
        <v/>
      </c>
      <c r="Y60" s="78" t="str">
        <f>IFERROR(__xludf.DUMMYFUNCTION("""COMPUTED_VALUE"""),"")</f>
        <v/>
      </c>
      <c r="Z60" s="78" t="str">
        <f>IFERROR(__xludf.DUMMYFUNCTION("""COMPUTED_VALUE"""),"")</f>
        <v/>
      </c>
      <c r="AA60" s="78" t="str">
        <f>IFERROR(__xludf.DUMMYFUNCTION("""COMPUTED_VALUE"""),"")</f>
        <v/>
      </c>
      <c r="AB60" s="78" t="str">
        <f>IFERROR(__xludf.DUMMYFUNCTION("""COMPUTED_VALUE"""),"")</f>
        <v/>
      </c>
      <c r="AC60" s="78" t="str">
        <f>IFERROR(__xludf.DUMMYFUNCTION("""COMPUTED_VALUE"""),"")</f>
        <v/>
      </c>
      <c r="AD60" s="78" t="str">
        <f>IFERROR(__xludf.DUMMYFUNCTION("""COMPUTED_VALUE"""),"")</f>
        <v/>
      </c>
      <c r="AE60" s="78" t="str">
        <f>IFERROR(__xludf.DUMMYFUNCTION("""COMPUTED_VALUE"""),"")</f>
        <v/>
      </c>
      <c r="AF60" s="78" t="str">
        <f>IFERROR(__xludf.DUMMYFUNCTION("""COMPUTED_VALUE"""),"")</f>
        <v/>
      </c>
      <c r="AG60" s="78" t="str">
        <f>IFERROR(__xludf.DUMMYFUNCTION("""COMPUTED_VALUE"""),"")</f>
        <v/>
      </c>
      <c r="AH60" s="78" t="str">
        <f>IFERROR(__xludf.DUMMYFUNCTION("""COMPUTED_VALUE"""),"")</f>
        <v/>
      </c>
      <c r="AI60" s="78" t="str">
        <f>IFERROR(__xludf.DUMMYFUNCTION("""COMPUTED_VALUE"""),"")</f>
        <v/>
      </c>
      <c r="AJ60" s="78" t="str">
        <f>IFERROR(__xludf.DUMMYFUNCTION("""COMPUTED_VALUE"""),"")</f>
        <v/>
      </c>
      <c r="AK60" s="78">
        <f>IFERROR(__xludf.DUMMYFUNCTION("""COMPUTED_VALUE"""),0.0)</f>
        <v>0</v>
      </c>
      <c r="AL60" s="78"/>
      <c r="AM60" s="78"/>
      <c r="AN60" s="78"/>
      <c r="AO60" s="78"/>
      <c r="AP60" s="78"/>
      <c r="AQ60" s="78"/>
      <c r="AR60" s="78"/>
      <c r="AS60" s="78"/>
    </row>
    <row r="61" ht="49.5" customHeight="1">
      <c r="A61" s="77" t="str">
        <f>IFERROR(__xludf.DUMMYFUNCTION("""COMPUTED_VALUE"""),"")</f>
        <v/>
      </c>
      <c r="B61" s="78" t="str">
        <f>IFERROR(__xludf.DUMMYFUNCTION("""COMPUTED_VALUE"""),"輕裝豆香蛋糕")</f>
        <v>輕裝豆香蛋糕</v>
      </c>
      <c r="C61" s="78" t="str">
        <f>IFERROR(__xludf.DUMMYFUNCTION("""COMPUTED_VALUE"""),"cloudninesoycake")</f>
        <v>cloudninesoycake</v>
      </c>
      <c r="D61" s="78">
        <f>IFERROR(__xludf.DUMMYFUNCTION("""COMPUTED_VALUE"""),15.0)</f>
        <v>15</v>
      </c>
      <c r="E61" s="78" t="str">
        <f>IFERROR(__xludf.DUMMYFUNCTION("""COMPUTED_VALUE"""),"點心、飲料")</f>
        <v>點心、飲料</v>
      </c>
      <c r="F61" s="82">
        <f>IFERROR(__xludf.DUMMYFUNCTION("""COMPUTED_VALUE"""),0.19)</f>
        <v>0.19</v>
      </c>
      <c r="G61" s="83">
        <f>IFERROR(__xludf.DUMMYFUNCTION("""COMPUTED_VALUE"""),1620.0)</f>
        <v>1620</v>
      </c>
      <c r="H61" s="83">
        <f>IFERROR(__xludf.DUMMYFUNCTION("""COMPUTED_VALUE"""),1924.0)</f>
        <v>1924</v>
      </c>
      <c r="I61" s="78" t="str">
        <f>IFERROR(__xludf.DUMMYFUNCTION("""COMPUTED_VALUE"""),"特選蛋,8,萌綠大豆,7")</f>
        <v>特選蛋,8,萌綠大豆,7</v>
      </c>
      <c r="J61" s="78" t="str">
        <f>IFERROR(__xludf.DUMMYFUNCTION("""COMPUTED_VALUE"""),"特選蛋")</f>
        <v>特選蛋</v>
      </c>
      <c r="K61" s="78">
        <f>IFERROR(__xludf.DUMMYFUNCTION("""COMPUTED_VALUE"""),8.0)</f>
        <v>8</v>
      </c>
      <c r="L61" s="78" t="str">
        <f>IFERROR(__xludf.DUMMYFUNCTION("""COMPUTED_VALUE"""),"萌綠大豆")</f>
        <v>萌綠大豆</v>
      </c>
      <c r="M61" s="78">
        <f>IFERROR(__xludf.DUMMYFUNCTION("""COMPUTED_VALUE"""),7.0)</f>
        <v>7</v>
      </c>
      <c r="N61" s="78"/>
      <c r="O61" s="78"/>
      <c r="P61" s="78"/>
      <c r="Q61" s="78"/>
      <c r="R61" s="78" t="str">
        <f>IFERROR(__xludf.DUMMYFUNCTION("""COMPUTED_VALUE"""),"")</f>
        <v/>
      </c>
      <c r="S61" s="78" t="str">
        <f>IFERROR(__xludf.DUMMYFUNCTION("""COMPUTED_VALUE"""),"")</f>
        <v/>
      </c>
      <c r="T61" s="78">
        <f>IFERROR(__xludf.DUMMYFUNCTION("""COMPUTED_VALUE"""),7.0)</f>
        <v>7</v>
      </c>
      <c r="U61" s="78" t="str">
        <f>IFERROR(__xludf.DUMMYFUNCTION("""COMPUTED_VALUE"""),"")</f>
        <v/>
      </c>
      <c r="V61" s="78" t="str">
        <f>IFERROR(__xludf.DUMMYFUNCTION("""COMPUTED_VALUE"""),"")</f>
        <v/>
      </c>
      <c r="W61" s="78" t="str">
        <f>IFERROR(__xludf.DUMMYFUNCTION("""COMPUTED_VALUE"""),"")</f>
        <v/>
      </c>
      <c r="X61" s="78" t="str">
        <f>IFERROR(__xludf.DUMMYFUNCTION("""COMPUTED_VALUE"""),"")</f>
        <v/>
      </c>
      <c r="Y61" s="78">
        <f>IFERROR(__xludf.DUMMYFUNCTION("""COMPUTED_VALUE"""),8.0)</f>
        <v>8</v>
      </c>
      <c r="Z61" s="78" t="str">
        <f>IFERROR(__xludf.DUMMYFUNCTION("""COMPUTED_VALUE"""),"")</f>
        <v/>
      </c>
      <c r="AA61" s="78" t="str">
        <f>IFERROR(__xludf.DUMMYFUNCTION("""COMPUTED_VALUE"""),"")</f>
        <v/>
      </c>
      <c r="AB61" s="78" t="str">
        <f>IFERROR(__xludf.DUMMYFUNCTION("""COMPUTED_VALUE"""),"")</f>
        <v/>
      </c>
      <c r="AC61" s="78" t="str">
        <f>IFERROR(__xludf.DUMMYFUNCTION("""COMPUTED_VALUE"""),"")</f>
        <v/>
      </c>
      <c r="AD61" s="78" t="str">
        <f>IFERROR(__xludf.DUMMYFUNCTION("""COMPUTED_VALUE"""),"")</f>
        <v/>
      </c>
      <c r="AE61" s="78" t="str">
        <f>IFERROR(__xludf.DUMMYFUNCTION("""COMPUTED_VALUE"""),"")</f>
        <v/>
      </c>
      <c r="AF61" s="78" t="str">
        <f>IFERROR(__xludf.DUMMYFUNCTION("""COMPUTED_VALUE"""),"")</f>
        <v/>
      </c>
      <c r="AG61" s="78" t="str">
        <f>IFERROR(__xludf.DUMMYFUNCTION("""COMPUTED_VALUE"""),"")</f>
        <v/>
      </c>
      <c r="AH61" s="78" t="str">
        <f>IFERROR(__xludf.DUMMYFUNCTION("""COMPUTED_VALUE"""),"")</f>
        <v/>
      </c>
      <c r="AI61" s="78" t="str">
        <f>IFERROR(__xludf.DUMMYFUNCTION("""COMPUTED_VALUE"""),"")</f>
        <v/>
      </c>
      <c r="AJ61" s="78" t="str">
        <f>IFERROR(__xludf.DUMMYFUNCTION("""COMPUTED_VALUE"""),"")</f>
        <v/>
      </c>
      <c r="AK61" s="78">
        <f>IFERROR(__xludf.DUMMYFUNCTION("""COMPUTED_VALUE"""),0.0)</f>
        <v>0</v>
      </c>
      <c r="AL61" s="78"/>
      <c r="AM61" s="78"/>
      <c r="AN61" s="78"/>
      <c r="AO61" s="78"/>
      <c r="AP61" s="78"/>
      <c r="AQ61" s="78"/>
      <c r="AR61" s="78"/>
      <c r="AS61" s="78"/>
    </row>
    <row r="62" ht="49.5" customHeight="1">
      <c r="A62" s="77" t="str">
        <f>IFERROR(__xludf.DUMMYFUNCTION("""COMPUTED_VALUE"""),"")</f>
        <v/>
      </c>
      <c r="B62" s="78" t="str">
        <f>IFERROR(__xludf.DUMMYFUNCTION("""COMPUTED_VALUE"""),"我行我素蔬菜汁")</f>
        <v>我行我素蔬菜汁</v>
      </c>
      <c r="C62" s="78" t="str">
        <f>IFERROR(__xludf.DUMMYFUNCTION("""COMPUTED_VALUE"""),"stalwartvegetablejuice")</f>
        <v>stalwartvegetablejuice</v>
      </c>
      <c r="D62" s="78">
        <f>IFERROR(__xludf.DUMMYFUNCTION("""COMPUTED_VALUE"""),16.0)</f>
        <v>16</v>
      </c>
      <c r="E62" s="78" t="str">
        <f>IFERROR(__xludf.DUMMYFUNCTION("""COMPUTED_VALUE"""),"點心、飲料")</f>
        <v>點心、飲料</v>
      </c>
      <c r="F62" s="82">
        <f>IFERROR(__xludf.DUMMYFUNCTION("""COMPUTED_VALUE"""),0.19)</f>
        <v>0.19</v>
      </c>
      <c r="G62" s="83">
        <f>IFERROR(__xludf.DUMMYFUNCTION("""COMPUTED_VALUE"""),1620.0)</f>
        <v>1620</v>
      </c>
      <c r="H62" s="83">
        <f>IFERROR(__xludf.DUMMYFUNCTION("""COMPUTED_VALUE"""),1924.0)</f>
        <v>1924</v>
      </c>
      <c r="I62" s="78" t="str">
        <f>IFERROR(__xludf.DUMMYFUNCTION("""COMPUTED_VALUE"""),"好眠番茄,9,特選蘋果,7")</f>
        <v>好眠番茄,9,特選蘋果,7</v>
      </c>
      <c r="J62" s="78" t="str">
        <f>IFERROR(__xludf.DUMMYFUNCTION("""COMPUTED_VALUE"""),"好眠番茄")</f>
        <v>好眠番茄</v>
      </c>
      <c r="K62" s="78">
        <f>IFERROR(__xludf.DUMMYFUNCTION("""COMPUTED_VALUE"""),9.0)</f>
        <v>9</v>
      </c>
      <c r="L62" s="78" t="str">
        <f>IFERROR(__xludf.DUMMYFUNCTION("""COMPUTED_VALUE"""),"特選蘋果")</f>
        <v>特選蘋果</v>
      </c>
      <c r="M62" s="78">
        <f>IFERROR(__xludf.DUMMYFUNCTION("""COMPUTED_VALUE"""),7.0)</f>
        <v>7</v>
      </c>
      <c r="N62" s="78"/>
      <c r="O62" s="78"/>
      <c r="P62" s="78"/>
      <c r="Q62" s="78"/>
      <c r="R62" s="78">
        <f>IFERROR(__xludf.DUMMYFUNCTION("""COMPUTED_VALUE"""),7.0)</f>
        <v>7</v>
      </c>
      <c r="S62" s="78" t="str">
        <f>IFERROR(__xludf.DUMMYFUNCTION("""COMPUTED_VALUE"""),"")</f>
        <v/>
      </c>
      <c r="T62" s="78" t="str">
        <f>IFERROR(__xludf.DUMMYFUNCTION("""COMPUTED_VALUE"""),"")</f>
        <v/>
      </c>
      <c r="U62" s="78" t="str">
        <f>IFERROR(__xludf.DUMMYFUNCTION("""COMPUTED_VALUE"""),"")</f>
        <v/>
      </c>
      <c r="V62" s="78" t="str">
        <f>IFERROR(__xludf.DUMMYFUNCTION("""COMPUTED_VALUE"""),"")</f>
        <v/>
      </c>
      <c r="W62" s="78" t="str">
        <f>IFERROR(__xludf.DUMMYFUNCTION("""COMPUTED_VALUE"""),"")</f>
        <v/>
      </c>
      <c r="X62" s="78">
        <f>IFERROR(__xludf.DUMMYFUNCTION("""COMPUTED_VALUE"""),9.0)</f>
        <v>9</v>
      </c>
      <c r="Y62" s="78" t="str">
        <f>IFERROR(__xludf.DUMMYFUNCTION("""COMPUTED_VALUE"""),"")</f>
        <v/>
      </c>
      <c r="Z62" s="78" t="str">
        <f>IFERROR(__xludf.DUMMYFUNCTION("""COMPUTED_VALUE"""),"")</f>
        <v/>
      </c>
      <c r="AA62" s="78" t="str">
        <f>IFERROR(__xludf.DUMMYFUNCTION("""COMPUTED_VALUE"""),"")</f>
        <v/>
      </c>
      <c r="AB62" s="78" t="str">
        <f>IFERROR(__xludf.DUMMYFUNCTION("""COMPUTED_VALUE"""),"")</f>
        <v/>
      </c>
      <c r="AC62" s="78" t="str">
        <f>IFERROR(__xludf.DUMMYFUNCTION("""COMPUTED_VALUE"""),"")</f>
        <v/>
      </c>
      <c r="AD62" s="78" t="str">
        <f>IFERROR(__xludf.DUMMYFUNCTION("""COMPUTED_VALUE"""),"")</f>
        <v/>
      </c>
      <c r="AE62" s="78" t="str">
        <f>IFERROR(__xludf.DUMMYFUNCTION("""COMPUTED_VALUE"""),"")</f>
        <v/>
      </c>
      <c r="AF62" s="78" t="str">
        <f>IFERROR(__xludf.DUMMYFUNCTION("""COMPUTED_VALUE"""),"")</f>
        <v/>
      </c>
      <c r="AG62" s="78" t="str">
        <f>IFERROR(__xludf.DUMMYFUNCTION("""COMPUTED_VALUE"""),"")</f>
        <v/>
      </c>
      <c r="AH62" s="78" t="str">
        <f>IFERROR(__xludf.DUMMYFUNCTION("""COMPUTED_VALUE"""),"")</f>
        <v/>
      </c>
      <c r="AI62" s="78" t="str">
        <f>IFERROR(__xludf.DUMMYFUNCTION("""COMPUTED_VALUE"""),"")</f>
        <v/>
      </c>
      <c r="AJ62" s="78" t="str">
        <f>IFERROR(__xludf.DUMMYFUNCTION("""COMPUTED_VALUE"""),"")</f>
        <v/>
      </c>
      <c r="AK62" s="78">
        <f>IFERROR(__xludf.DUMMYFUNCTION("""COMPUTED_VALUE"""),0.0)</f>
        <v>0</v>
      </c>
      <c r="AL62" s="78"/>
      <c r="AM62" s="78"/>
      <c r="AN62" s="78"/>
      <c r="AO62" s="78"/>
      <c r="AP62" s="78"/>
      <c r="AQ62" s="78"/>
      <c r="AR62" s="78"/>
      <c r="AS62" s="78"/>
    </row>
    <row r="63" ht="49.5" customHeight="1">
      <c r="A63" s="77" t="str">
        <f>IFERROR(__xludf.DUMMYFUNCTION("""COMPUTED_VALUE"""),"")</f>
        <v/>
      </c>
      <c r="B63" s="78" t="str">
        <f>IFERROR(__xludf.DUMMYFUNCTION("""COMPUTED_VALUE"""),"大馬拉薩達")</f>
        <v>大馬拉薩達</v>
      </c>
      <c r="C63" s="78" t="str">
        <f>IFERROR(__xludf.DUMMYFUNCTION("""COMPUTED_VALUE"""),"bigmalasada")</f>
        <v>bigmalasada</v>
      </c>
      <c r="D63" s="78">
        <f>IFERROR(__xludf.DUMMYFUNCTION("""COMPUTED_VALUE"""),23.0)</f>
        <v>23</v>
      </c>
      <c r="E63" s="78" t="str">
        <f>IFERROR(__xludf.DUMMYFUNCTION("""COMPUTED_VALUE"""),"點心、飲料")</f>
        <v>點心、飲料</v>
      </c>
      <c r="F63" s="82">
        <f>IFERROR(__xludf.DUMMYFUNCTION("""COMPUTED_VALUE"""),0.21)</f>
        <v>0.21</v>
      </c>
      <c r="G63" s="83">
        <f>IFERROR(__xludf.DUMMYFUNCTION("""COMPUTED_VALUE"""),2502.0)</f>
        <v>2502</v>
      </c>
      <c r="H63" s="83">
        <f>IFERROR(__xludf.DUMMYFUNCTION("""COMPUTED_VALUE"""),3015.0)</f>
        <v>3015</v>
      </c>
      <c r="I63" s="78" t="str">
        <f>IFERROR(__xludf.DUMMYFUNCTION("""COMPUTED_VALUE"""),"純粹油,10,哞哞鮮奶,7,甜甜蜜,6")</f>
        <v>純粹油,10,哞哞鮮奶,7,甜甜蜜,6</v>
      </c>
      <c r="J63" s="78" t="str">
        <f>IFERROR(__xludf.DUMMYFUNCTION("""COMPUTED_VALUE"""),"純粹油")</f>
        <v>純粹油</v>
      </c>
      <c r="K63" s="78">
        <f>IFERROR(__xludf.DUMMYFUNCTION("""COMPUTED_VALUE"""),10.0)</f>
        <v>10</v>
      </c>
      <c r="L63" s="78" t="str">
        <f>IFERROR(__xludf.DUMMYFUNCTION("""COMPUTED_VALUE"""),"哞哞鮮奶")</f>
        <v>哞哞鮮奶</v>
      </c>
      <c r="M63" s="78">
        <f>IFERROR(__xludf.DUMMYFUNCTION("""COMPUTED_VALUE"""),7.0)</f>
        <v>7</v>
      </c>
      <c r="N63" s="78" t="str">
        <f>IFERROR(__xludf.DUMMYFUNCTION("""COMPUTED_VALUE"""),"甜甜蜜")</f>
        <v>甜甜蜜</v>
      </c>
      <c r="O63" s="78">
        <f>IFERROR(__xludf.DUMMYFUNCTION("""COMPUTED_VALUE"""),6.0)</f>
        <v>6</v>
      </c>
      <c r="P63" s="78"/>
      <c r="Q63" s="78"/>
      <c r="R63" s="78" t="str">
        <f>IFERROR(__xludf.DUMMYFUNCTION("""COMPUTED_VALUE"""),"")</f>
        <v/>
      </c>
      <c r="S63" s="78">
        <f>IFERROR(__xludf.DUMMYFUNCTION("""COMPUTED_VALUE"""),7.0)</f>
        <v>7</v>
      </c>
      <c r="T63" s="78" t="str">
        <f>IFERROR(__xludf.DUMMYFUNCTION("""COMPUTED_VALUE"""),"")</f>
        <v/>
      </c>
      <c r="U63" s="78">
        <f>IFERROR(__xludf.DUMMYFUNCTION("""COMPUTED_VALUE"""),6.0)</f>
        <v>6</v>
      </c>
      <c r="V63" s="78" t="str">
        <f>IFERROR(__xludf.DUMMYFUNCTION("""COMPUTED_VALUE"""),"")</f>
        <v/>
      </c>
      <c r="W63" s="78" t="str">
        <f>IFERROR(__xludf.DUMMYFUNCTION("""COMPUTED_VALUE"""),"")</f>
        <v/>
      </c>
      <c r="X63" s="78" t="str">
        <f>IFERROR(__xludf.DUMMYFUNCTION("""COMPUTED_VALUE"""),"")</f>
        <v/>
      </c>
      <c r="Y63" s="78" t="str">
        <f>IFERROR(__xludf.DUMMYFUNCTION("""COMPUTED_VALUE"""),"")</f>
        <v/>
      </c>
      <c r="Z63" s="78">
        <f>IFERROR(__xludf.DUMMYFUNCTION("""COMPUTED_VALUE"""),10.0)</f>
        <v>10</v>
      </c>
      <c r="AA63" s="78" t="str">
        <f>IFERROR(__xludf.DUMMYFUNCTION("""COMPUTED_VALUE"""),"")</f>
        <v/>
      </c>
      <c r="AB63" s="78" t="str">
        <f>IFERROR(__xludf.DUMMYFUNCTION("""COMPUTED_VALUE"""),"")</f>
        <v/>
      </c>
      <c r="AC63" s="78" t="str">
        <f>IFERROR(__xludf.DUMMYFUNCTION("""COMPUTED_VALUE"""),"")</f>
        <v/>
      </c>
      <c r="AD63" s="78" t="str">
        <f>IFERROR(__xludf.DUMMYFUNCTION("""COMPUTED_VALUE"""),"")</f>
        <v/>
      </c>
      <c r="AE63" s="78" t="str">
        <f>IFERROR(__xludf.DUMMYFUNCTION("""COMPUTED_VALUE"""),"")</f>
        <v/>
      </c>
      <c r="AF63" s="78" t="str">
        <f>IFERROR(__xludf.DUMMYFUNCTION("""COMPUTED_VALUE"""),"")</f>
        <v/>
      </c>
      <c r="AG63" s="78" t="str">
        <f>IFERROR(__xludf.DUMMYFUNCTION("""COMPUTED_VALUE"""),"")</f>
        <v/>
      </c>
      <c r="AH63" s="78" t="str">
        <f>IFERROR(__xludf.DUMMYFUNCTION("""COMPUTED_VALUE"""),"")</f>
        <v/>
      </c>
      <c r="AI63" s="78" t="str">
        <f>IFERROR(__xludf.DUMMYFUNCTION("""COMPUTED_VALUE"""),"")</f>
        <v/>
      </c>
      <c r="AJ63" s="78" t="str">
        <f>IFERROR(__xludf.DUMMYFUNCTION("""COMPUTED_VALUE"""),"")</f>
        <v/>
      </c>
      <c r="AK63" s="78">
        <f>IFERROR(__xludf.DUMMYFUNCTION("""COMPUTED_VALUE"""),0.0)</f>
        <v>0</v>
      </c>
      <c r="AL63" s="78"/>
      <c r="AM63" s="78"/>
      <c r="AN63" s="78"/>
      <c r="AO63" s="78"/>
      <c r="AP63" s="78"/>
      <c r="AQ63" s="78"/>
      <c r="AR63" s="78"/>
      <c r="AS63" s="78"/>
    </row>
    <row r="64" ht="49.5" customHeight="1">
      <c r="A64" s="77" t="str">
        <f>IFERROR(__xludf.DUMMYFUNCTION("""COMPUTED_VALUE"""),"")</f>
        <v/>
      </c>
      <c r="B64" s="78" t="str">
        <f>IFERROR(__xludf.DUMMYFUNCTION("""COMPUTED_VALUE"""),"活力蛋白飲")</f>
        <v>活力蛋白飲</v>
      </c>
      <c r="C64" s="78" t="str">
        <f>IFERROR(__xludf.DUMMYFUNCTION("""COMPUTED_VALUE"""),"hustleproteinsmoothie")</f>
        <v>hustleproteinsmoothie</v>
      </c>
      <c r="D64" s="78">
        <f>IFERROR(__xludf.DUMMYFUNCTION("""COMPUTED_VALUE"""),23.0)</f>
        <v>23</v>
      </c>
      <c r="E64" s="78" t="str">
        <f>IFERROR(__xludf.DUMMYFUNCTION("""COMPUTED_VALUE"""),"點心、飲料")</f>
        <v>點心、飲料</v>
      </c>
      <c r="F64" s="82">
        <f>IFERROR(__xludf.DUMMYFUNCTION("""COMPUTED_VALUE"""),0.2)</f>
        <v>0.2</v>
      </c>
      <c r="G64" s="83">
        <f>IFERROR(__xludf.DUMMYFUNCTION("""COMPUTED_VALUE"""),2708.0)</f>
        <v>2708</v>
      </c>
      <c r="H64" s="83">
        <f>IFERROR(__xludf.DUMMYFUNCTION("""COMPUTED_VALUE"""),3263.0)</f>
        <v>3263</v>
      </c>
      <c r="I64" s="78" t="str">
        <f>IFERROR(__xludf.DUMMYFUNCTION("""COMPUTED_VALUE"""),"萌綠大豆,15,放鬆可可,8")</f>
        <v>萌綠大豆,15,放鬆可可,8</v>
      </c>
      <c r="J64" s="78" t="str">
        <f>IFERROR(__xludf.DUMMYFUNCTION("""COMPUTED_VALUE"""),"萌綠大豆")</f>
        <v>萌綠大豆</v>
      </c>
      <c r="K64" s="78">
        <f>IFERROR(__xludf.DUMMYFUNCTION("""COMPUTED_VALUE"""),15.0)</f>
        <v>15</v>
      </c>
      <c r="L64" s="78" t="str">
        <f>IFERROR(__xludf.DUMMYFUNCTION("""COMPUTED_VALUE"""),"放鬆可可")</f>
        <v>放鬆可可</v>
      </c>
      <c r="M64" s="78">
        <f>IFERROR(__xludf.DUMMYFUNCTION("""COMPUTED_VALUE"""),8.0)</f>
        <v>8</v>
      </c>
      <c r="N64" s="78"/>
      <c r="O64" s="78"/>
      <c r="P64" s="78"/>
      <c r="Q64" s="78"/>
      <c r="R64" s="78" t="str">
        <f>IFERROR(__xludf.DUMMYFUNCTION("""COMPUTED_VALUE"""),"")</f>
        <v/>
      </c>
      <c r="S64" s="78" t="str">
        <f>IFERROR(__xludf.DUMMYFUNCTION("""COMPUTED_VALUE"""),"")</f>
        <v/>
      </c>
      <c r="T64" s="78">
        <f>IFERROR(__xludf.DUMMYFUNCTION("""COMPUTED_VALUE"""),15.0)</f>
        <v>15</v>
      </c>
      <c r="U64" s="78" t="str">
        <f>IFERROR(__xludf.DUMMYFUNCTION("""COMPUTED_VALUE"""),"")</f>
        <v/>
      </c>
      <c r="V64" s="78" t="str">
        <f>IFERROR(__xludf.DUMMYFUNCTION("""COMPUTED_VALUE"""),"")</f>
        <v/>
      </c>
      <c r="W64" s="78" t="str">
        <f>IFERROR(__xludf.DUMMYFUNCTION("""COMPUTED_VALUE"""),"")</f>
        <v/>
      </c>
      <c r="X64" s="78" t="str">
        <f>IFERROR(__xludf.DUMMYFUNCTION("""COMPUTED_VALUE"""),"")</f>
        <v/>
      </c>
      <c r="Y64" s="78" t="str">
        <f>IFERROR(__xludf.DUMMYFUNCTION("""COMPUTED_VALUE"""),"")</f>
        <v/>
      </c>
      <c r="Z64" s="78" t="str">
        <f>IFERROR(__xludf.DUMMYFUNCTION("""COMPUTED_VALUE"""),"")</f>
        <v/>
      </c>
      <c r="AA64" s="78" t="str">
        <f>IFERROR(__xludf.DUMMYFUNCTION("""COMPUTED_VALUE"""),"")</f>
        <v/>
      </c>
      <c r="AB64" s="78" t="str">
        <f>IFERROR(__xludf.DUMMYFUNCTION("""COMPUTED_VALUE"""),"")</f>
        <v/>
      </c>
      <c r="AC64" s="78" t="str">
        <f>IFERROR(__xludf.DUMMYFUNCTION("""COMPUTED_VALUE"""),"")</f>
        <v/>
      </c>
      <c r="AD64" s="78">
        <f>IFERROR(__xludf.DUMMYFUNCTION("""COMPUTED_VALUE"""),8.0)</f>
        <v>8</v>
      </c>
      <c r="AE64" s="78" t="str">
        <f>IFERROR(__xludf.DUMMYFUNCTION("""COMPUTED_VALUE"""),"")</f>
        <v/>
      </c>
      <c r="AF64" s="78" t="str">
        <f>IFERROR(__xludf.DUMMYFUNCTION("""COMPUTED_VALUE"""),"")</f>
        <v/>
      </c>
      <c r="AG64" s="78" t="str">
        <f>IFERROR(__xludf.DUMMYFUNCTION("""COMPUTED_VALUE"""),"")</f>
        <v/>
      </c>
      <c r="AH64" s="78" t="str">
        <f>IFERROR(__xludf.DUMMYFUNCTION("""COMPUTED_VALUE"""),"")</f>
        <v/>
      </c>
      <c r="AI64" s="78" t="str">
        <f>IFERROR(__xludf.DUMMYFUNCTION("""COMPUTED_VALUE"""),"")</f>
        <v/>
      </c>
      <c r="AJ64" s="78" t="str">
        <f>IFERROR(__xludf.DUMMYFUNCTION("""COMPUTED_VALUE"""),"")</f>
        <v/>
      </c>
      <c r="AK64" s="78">
        <f>IFERROR(__xludf.DUMMYFUNCTION("""COMPUTED_VALUE"""),0.0)</f>
        <v>0</v>
      </c>
      <c r="AL64" s="78"/>
      <c r="AM64" s="78"/>
      <c r="AN64" s="78"/>
      <c r="AO64" s="78"/>
      <c r="AP64" s="78"/>
      <c r="AQ64" s="78"/>
      <c r="AR64" s="78"/>
      <c r="AS64" s="78"/>
    </row>
    <row r="65" ht="49.5" customHeight="1">
      <c r="A65" s="77" t="str">
        <f>IFERROR(__xludf.DUMMYFUNCTION("""COMPUTED_VALUE"""),"")</f>
        <v/>
      </c>
      <c r="B65" s="78" t="str">
        <f>IFERROR(__xludf.DUMMYFUNCTION("""COMPUTED_VALUE"""),"花瓣舞巧克力塔")</f>
        <v>花瓣舞巧克力塔</v>
      </c>
      <c r="C65" s="78" t="str">
        <f>IFERROR(__xludf.DUMMYFUNCTION("""COMPUTED_VALUE"""),"petaldancechocolatetart")</f>
        <v>petaldancechocolatetart</v>
      </c>
      <c r="D65" s="78">
        <f>IFERROR(__xludf.DUMMYFUNCTION("""COMPUTED_VALUE"""),22.0)</f>
        <v>22</v>
      </c>
      <c r="E65" s="78" t="str">
        <f>IFERROR(__xludf.DUMMYFUNCTION("""COMPUTED_VALUE"""),"點心、飲料")</f>
        <v>點心、飲料</v>
      </c>
      <c r="F65" s="82">
        <f>IFERROR(__xludf.DUMMYFUNCTION("""COMPUTED_VALUE"""),0.25)</f>
        <v>0.25</v>
      </c>
      <c r="G65" s="83">
        <f>IFERROR(__xludf.DUMMYFUNCTION("""COMPUTED_VALUE"""),2651.0)</f>
        <v>2651</v>
      </c>
      <c r="H65" s="83">
        <f>IFERROR(__xludf.DUMMYFUNCTION("""COMPUTED_VALUE"""),3314.0)</f>
        <v>3314</v>
      </c>
      <c r="I65" s="78" t="str">
        <f>IFERROR(__xludf.DUMMYFUNCTION("""COMPUTED_VALUE"""),"特選蘋果,11,放鬆可可,11")</f>
        <v>特選蘋果,11,放鬆可可,11</v>
      </c>
      <c r="J65" s="78" t="str">
        <f>IFERROR(__xludf.DUMMYFUNCTION("""COMPUTED_VALUE"""),"特選蘋果")</f>
        <v>特選蘋果</v>
      </c>
      <c r="K65" s="78">
        <f>IFERROR(__xludf.DUMMYFUNCTION("""COMPUTED_VALUE"""),11.0)</f>
        <v>11</v>
      </c>
      <c r="L65" s="78" t="str">
        <f>IFERROR(__xludf.DUMMYFUNCTION("""COMPUTED_VALUE"""),"放鬆可可")</f>
        <v>放鬆可可</v>
      </c>
      <c r="M65" s="78">
        <f>IFERROR(__xludf.DUMMYFUNCTION("""COMPUTED_VALUE"""),11.0)</f>
        <v>11</v>
      </c>
      <c r="N65" s="78"/>
      <c r="O65" s="78"/>
      <c r="P65" s="78"/>
      <c r="Q65" s="78"/>
      <c r="R65" s="78">
        <f>IFERROR(__xludf.DUMMYFUNCTION("""COMPUTED_VALUE"""),11.0)</f>
        <v>11</v>
      </c>
      <c r="S65" s="78" t="str">
        <f>IFERROR(__xludf.DUMMYFUNCTION("""COMPUTED_VALUE"""),"")</f>
        <v/>
      </c>
      <c r="T65" s="78" t="str">
        <f>IFERROR(__xludf.DUMMYFUNCTION("""COMPUTED_VALUE"""),"")</f>
        <v/>
      </c>
      <c r="U65" s="78" t="str">
        <f>IFERROR(__xludf.DUMMYFUNCTION("""COMPUTED_VALUE"""),"")</f>
        <v/>
      </c>
      <c r="V65" s="78" t="str">
        <f>IFERROR(__xludf.DUMMYFUNCTION("""COMPUTED_VALUE"""),"")</f>
        <v/>
      </c>
      <c r="W65" s="78" t="str">
        <f>IFERROR(__xludf.DUMMYFUNCTION("""COMPUTED_VALUE"""),"")</f>
        <v/>
      </c>
      <c r="X65" s="78" t="str">
        <f>IFERROR(__xludf.DUMMYFUNCTION("""COMPUTED_VALUE"""),"")</f>
        <v/>
      </c>
      <c r="Y65" s="78" t="str">
        <f>IFERROR(__xludf.DUMMYFUNCTION("""COMPUTED_VALUE"""),"")</f>
        <v/>
      </c>
      <c r="Z65" s="78" t="str">
        <f>IFERROR(__xludf.DUMMYFUNCTION("""COMPUTED_VALUE"""),"")</f>
        <v/>
      </c>
      <c r="AA65" s="78" t="str">
        <f>IFERROR(__xludf.DUMMYFUNCTION("""COMPUTED_VALUE"""),"")</f>
        <v/>
      </c>
      <c r="AB65" s="78" t="str">
        <f>IFERROR(__xludf.DUMMYFUNCTION("""COMPUTED_VALUE"""),"")</f>
        <v/>
      </c>
      <c r="AC65" s="78" t="str">
        <f>IFERROR(__xludf.DUMMYFUNCTION("""COMPUTED_VALUE"""),"")</f>
        <v/>
      </c>
      <c r="AD65" s="78">
        <f>IFERROR(__xludf.DUMMYFUNCTION("""COMPUTED_VALUE"""),11.0)</f>
        <v>11</v>
      </c>
      <c r="AE65" s="78" t="str">
        <f>IFERROR(__xludf.DUMMYFUNCTION("""COMPUTED_VALUE"""),"")</f>
        <v/>
      </c>
      <c r="AF65" s="78" t="str">
        <f>IFERROR(__xludf.DUMMYFUNCTION("""COMPUTED_VALUE"""),"")</f>
        <v/>
      </c>
      <c r="AG65" s="78" t="str">
        <f>IFERROR(__xludf.DUMMYFUNCTION("""COMPUTED_VALUE"""),"")</f>
        <v/>
      </c>
      <c r="AH65" s="78" t="str">
        <f>IFERROR(__xludf.DUMMYFUNCTION("""COMPUTED_VALUE"""),"")</f>
        <v/>
      </c>
      <c r="AI65" s="78" t="str">
        <f>IFERROR(__xludf.DUMMYFUNCTION("""COMPUTED_VALUE"""),"")</f>
        <v/>
      </c>
      <c r="AJ65" s="78" t="str">
        <f>IFERROR(__xludf.DUMMYFUNCTION("""COMPUTED_VALUE"""),"")</f>
        <v/>
      </c>
      <c r="AK65" s="78">
        <f>IFERROR(__xludf.DUMMYFUNCTION("""COMPUTED_VALUE"""),0.0)</f>
        <v>0</v>
      </c>
      <c r="AL65" s="78"/>
      <c r="AM65" s="78"/>
      <c r="AN65" s="78"/>
      <c r="AO65" s="78"/>
      <c r="AP65" s="78"/>
      <c r="AQ65" s="78"/>
      <c r="AR65" s="78"/>
      <c r="AS65" s="78"/>
    </row>
    <row r="66" ht="49.5" customHeight="1">
      <c r="A66" s="77" t="str">
        <f>IFERROR(__xludf.DUMMYFUNCTION("""COMPUTED_VALUE"""),"")</f>
        <v/>
      </c>
      <c r="B66" s="78" t="str">
        <f>IFERROR(__xludf.DUMMYFUNCTION("""COMPUTED_VALUE"""),"甜甜香氣巧克力蛋糕")</f>
        <v>甜甜香氣巧克力蛋糕</v>
      </c>
      <c r="C66" s="78" t="str">
        <f>IFERROR(__xludf.DUMMYFUNCTION("""COMPUTED_VALUE"""),"sweetscentchocolatecake")</f>
        <v>sweetscentchocolatecake</v>
      </c>
      <c r="D66" s="78">
        <f>IFERROR(__xludf.DUMMYFUNCTION("""COMPUTED_VALUE"""),24.0)</f>
        <v>24</v>
      </c>
      <c r="E66" s="78" t="str">
        <f>IFERROR(__xludf.DUMMYFUNCTION("""COMPUTED_VALUE"""),"點心、飲料")</f>
        <v>點心、飲料</v>
      </c>
      <c r="F66" s="82">
        <f>IFERROR(__xludf.DUMMYFUNCTION("""COMPUTED_VALUE"""),0.21)</f>
        <v>0.21</v>
      </c>
      <c r="G66" s="83">
        <f>IFERROR(__xludf.DUMMYFUNCTION("""COMPUTED_VALUE"""),2803.0)</f>
        <v>2803</v>
      </c>
      <c r="H66" s="83">
        <f>IFERROR(__xludf.DUMMYFUNCTION("""COMPUTED_VALUE"""),3378.0)</f>
        <v>3378</v>
      </c>
      <c r="I66" s="78" t="str">
        <f>IFERROR(__xludf.DUMMYFUNCTION("""COMPUTED_VALUE"""),"甜甜蜜,9,放鬆可可,8,哞哞鮮奶,7")</f>
        <v>甜甜蜜,9,放鬆可可,8,哞哞鮮奶,7</v>
      </c>
      <c r="J66" s="78" t="str">
        <f>IFERROR(__xludf.DUMMYFUNCTION("""COMPUTED_VALUE"""),"甜甜蜜")</f>
        <v>甜甜蜜</v>
      </c>
      <c r="K66" s="78">
        <f>IFERROR(__xludf.DUMMYFUNCTION("""COMPUTED_VALUE"""),9.0)</f>
        <v>9</v>
      </c>
      <c r="L66" s="78" t="str">
        <f>IFERROR(__xludf.DUMMYFUNCTION("""COMPUTED_VALUE"""),"放鬆可可")</f>
        <v>放鬆可可</v>
      </c>
      <c r="M66" s="78">
        <f>IFERROR(__xludf.DUMMYFUNCTION("""COMPUTED_VALUE"""),8.0)</f>
        <v>8</v>
      </c>
      <c r="N66" s="78" t="str">
        <f>IFERROR(__xludf.DUMMYFUNCTION("""COMPUTED_VALUE"""),"哞哞鮮奶")</f>
        <v>哞哞鮮奶</v>
      </c>
      <c r="O66" s="78">
        <f>IFERROR(__xludf.DUMMYFUNCTION("""COMPUTED_VALUE"""),7.0)</f>
        <v>7</v>
      </c>
      <c r="P66" s="78"/>
      <c r="Q66" s="78"/>
      <c r="R66" s="78" t="str">
        <f>IFERROR(__xludf.DUMMYFUNCTION("""COMPUTED_VALUE"""),"")</f>
        <v/>
      </c>
      <c r="S66" s="78">
        <f>IFERROR(__xludf.DUMMYFUNCTION("""COMPUTED_VALUE"""),7.0)</f>
        <v>7</v>
      </c>
      <c r="T66" s="78" t="str">
        <f>IFERROR(__xludf.DUMMYFUNCTION("""COMPUTED_VALUE"""),"")</f>
        <v/>
      </c>
      <c r="U66" s="78">
        <f>IFERROR(__xludf.DUMMYFUNCTION("""COMPUTED_VALUE"""),9.0)</f>
        <v>9</v>
      </c>
      <c r="V66" s="78" t="str">
        <f>IFERROR(__xludf.DUMMYFUNCTION("""COMPUTED_VALUE"""),"")</f>
        <v/>
      </c>
      <c r="W66" s="78" t="str">
        <f>IFERROR(__xludf.DUMMYFUNCTION("""COMPUTED_VALUE"""),"")</f>
        <v/>
      </c>
      <c r="X66" s="78" t="str">
        <f>IFERROR(__xludf.DUMMYFUNCTION("""COMPUTED_VALUE"""),"")</f>
        <v/>
      </c>
      <c r="Y66" s="78" t="str">
        <f>IFERROR(__xludf.DUMMYFUNCTION("""COMPUTED_VALUE"""),"")</f>
        <v/>
      </c>
      <c r="Z66" s="78" t="str">
        <f>IFERROR(__xludf.DUMMYFUNCTION("""COMPUTED_VALUE"""),"")</f>
        <v/>
      </c>
      <c r="AA66" s="78" t="str">
        <f>IFERROR(__xludf.DUMMYFUNCTION("""COMPUTED_VALUE"""),"")</f>
        <v/>
      </c>
      <c r="AB66" s="78" t="str">
        <f>IFERROR(__xludf.DUMMYFUNCTION("""COMPUTED_VALUE"""),"")</f>
        <v/>
      </c>
      <c r="AC66" s="78" t="str">
        <f>IFERROR(__xludf.DUMMYFUNCTION("""COMPUTED_VALUE"""),"")</f>
        <v/>
      </c>
      <c r="AD66" s="78">
        <f>IFERROR(__xludf.DUMMYFUNCTION("""COMPUTED_VALUE"""),8.0)</f>
        <v>8</v>
      </c>
      <c r="AE66" s="78" t="str">
        <f>IFERROR(__xludf.DUMMYFUNCTION("""COMPUTED_VALUE"""),"")</f>
        <v/>
      </c>
      <c r="AF66" s="78" t="str">
        <f>IFERROR(__xludf.DUMMYFUNCTION("""COMPUTED_VALUE"""),"")</f>
        <v/>
      </c>
      <c r="AG66" s="78" t="str">
        <f>IFERROR(__xludf.DUMMYFUNCTION("""COMPUTED_VALUE"""),"")</f>
        <v/>
      </c>
      <c r="AH66" s="78" t="str">
        <f>IFERROR(__xludf.DUMMYFUNCTION("""COMPUTED_VALUE"""),"")</f>
        <v/>
      </c>
      <c r="AI66" s="78" t="str">
        <f>IFERROR(__xludf.DUMMYFUNCTION("""COMPUTED_VALUE"""),"")</f>
        <v/>
      </c>
      <c r="AJ66" s="78" t="str">
        <f>IFERROR(__xludf.DUMMYFUNCTION("""COMPUTED_VALUE"""),"")</f>
        <v/>
      </c>
      <c r="AK66" s="78">
        <f>IFERROR(__xludf.DUMMYFUNCTION("""COMPUTED_VALUE"""),0.0)</f>
        <v>0</v>
      </c>
      <c r="AL66" s="78"/>
      <c r="AM66" s="78"/>
      <c r="AN66" s="78"/>
      <c r="AO66" s="78"/>
      <c r="AP66" s="78"/>
      <c r="AQ66" s="78"/>
      <c r="AR66" s="78"/>
      <c r="AS66" s="78"/>
    </row>
    <row r="67" ht="49.5" customHeight="1">
      <c r="A67" s="77" t="str">
        <f>IFERROR(__xludf.DUMMYFUNCTION("""COMPUTED_VALUE"""),"")</f>
        <v/>
      </c>
      <c r="B67" s="78" t="str">
        <f>IFERROR(__xludf.DUMMYFUNCTION("""COMPUTED_VALUE"""),"惡魔之吻水果牛奶")</f>
        <v>惡魔之吻水果牛奶</v>
      </c>
      <c r="C67" s="78" t="str">
        <f>IFERROR(__xludf.DUMMYFUNCTION("""COMPUTED_VALUE"""),"lovelykisssmoothie")</f>
        <v>lovelykisssmoothie</v>
      </c>
      <c r="D67" s="78">
        <f>IFERROR(__xludf.DUMMYFUNCTION("""COMPUTED_VALUE"""),35.0)</f>
        <v>35</v>
      </c>
      <c r="E67" s="78" t="str">
        <f>IFERROR(__xludf.DUMMYFUNCTION("""COMPUTED_VALUE"""),"點心、飲料")</f>
        <v>點心、飲料</v>
      </c>
      <c r="F67" s="82">
        <f>IFERROR(__xludf.DUMMYFUNCTION("""COMPUTED_VALUE"""),0.25)</f>
        <v>0.25</v>
      </c>
      <c r="G67" s="83">
        <f>IFERROR(__xludf.DUMMYFUNCTION("""COMPUTED_VALUE"""),3787.0)</f>
        <v>3787</v>
      </c>
      <c r="H67" s="83">
        <f>IFERROR(__xludf.DUMMYFUNCTION("""COMPUTED_VALUE"""),4734.0)</f>
        <v>4734</v>
      </c>
      <c r="I67" s="78" t="str">
        <f>IFERROR(__xludf.DUMMYFUNCTION("""COMPUTED_VALUE"""),"特選蘋果,11,哞哞鮮奶,9,放鬆可可,8,甜甜蜜,7")</f>
        <v>特選蘋果,11,哞哞鮮奶,9,放鬆可可,8,甜甜蜜,7</v>
      </c>
      <c r="J67" s="78" t="str">
        <f>IFERROR(__xludf.DUMMYFUNCTION("""COMPUTED_VALUE"""),"特選蘋果")</f>
        <v>特選蘋果</v>
      </c>
      <c r="K67" s="78">
        <f>IFERROR(__xludf.DUMMYFUNCTION("""COMPUTED_VALUE"""),11.0)</f>
        <v>11</v>
      </c>
      <c r="L67" s="78" t="str">
        <f>IFERROR(__xludf.DUMMYFUNCTION("""COMPUTED_VALUE"""),"哞哞鮮奶")</f>
        <v>哞哞鮮奶</v>
      </c>
      <c r="M67" s="78">
        <f>IFERROR(__xludf.DUMMYFUNCTION("""COMPUTED_VALUE"""),9.0)</f>
        <v>9</v>
      </c>
      <c r="N67" s="78" t="str">
        <f>IFERROR(__xludf.DUMMYFUNCTION("""COMPUTED_VALUE"""),"放鬆可可")</f>
        <v>放鬆可可</v>
      </c>
      <c r="O67" s="78">
        <f>IFERROR(__xludf.DUMMYFUNCTION("""COMPUTED_VALUE"""),8.0)</f>
        <v>8</v>
      </c>
      <c r="P67" s="78" t="str">
        <f>IFERROR(__xludf.DUMMYFUNCTION("""COMPUTED_VALUE"""),"甜甜蜜")</f>
        <v>甜甜蜜</v>
      </c>
      <c r="Q67" s="78">
        <f>IFERROR(__xludf.DUMMYFUNCTION("""COMPUTED_VALUE"""),7.0)</f>
        <v>7</v>
      </c>
      <c r="R67" s="78">
        <f>IFERROR(__xludf.DUMMYFUNCTION("""COMPUTED_VALUE"""),11.0)</f>
        <v>11</v>
      </c>
      <c r="S67" s="78">
        <f>IFERROR(__xludf.DUMMYFUNCTION("""COMPUTED_VALUE"""),9.0)</f>
        <v>9</v>
      </c>
      <c r="T67" s="78" t="str">
        <f>IFERROR(__xludf.DUMMYFUNCTION("""COMPUTED_VALUE"""),"")</f>
        <v/>
      </c>
      <c r="U67" s="78">
        <f>IFERROR(__xludf.DUMMYFUNCTION("""COMPUTED_VALUE"""),7.0)</f>
        <v>7</v>
      </c>
      <c r="V67" s="78" t="str">
        <f>IFERROR(__xludf.DUMMYFUNCTION("""COMPUTED_VALUE"""),"")</f>
        <v/>
      </c>
      <c r="W67" s="78" t="str">
        <f>IFERROR(__xludf.DUMMYFUNCTION("""COMPUTED_VALUE"""),"")</f>
        <v/>
      </c>
      <c r="X67" s="78" t="str">
        <f>IFERROR(__xludf.DUMMYFUNCTION("""COMPUTED_VALUE"""),"")</f>
        <v/>
      </c>
      <c r="Y67" s="78" t="str">
        <f>IFERROR(__xludf.DUMMYFUNCTION("""COMPUTED_VALUE"""),"")</f>
        <v/>
      </c>
      <c r="Z67" s="78" t="str">
        <f>IFERROR(__xludf.DUMMYFUNCTION("""COMPUTED_VALUE"""),"")</f>
        <v/>
      </c>
      <c r="AA67" s="78" t="str">
        <f>IFERROR(__xludf.DUMMYFUNCTION("""COMPUTED_VALUE"""),"")</f>
        <v/>
      </c>
      <c r="AB67" s="78" t="str">
        <f>IFERROR(__xludf.DUMMYFUNCTION("""COMPUTED_VALUE"""),"")</f>
        <v/>
      </c>
      <c r="AC67" s="78" t="str">
        <f>IFERROR(__xludf.DUMMYFUNCTION("""COMPUTED_VALUE"""),"")</f>
        <v/>
      </c>
      <c r="AD67" s="78">
        <f>IFERROR(__xludf.DUMMYFUNCTION("""COMPUTED_VALUE"""),8.0)</f>
        <v>8</v>
      </c>
      <c r="AE67" s="78" t="str">
        <f>IFERROR(__xludf.DUMMYFUNCTION("""COMPUTED_VALUE"""),"")</f>
        <v/>
      </c>
      <c r="AF67" s="78" t="str">
        <f>IFERROR(__xludf.DUMMYFUNCTION("""COMPUTED_VALUE"""),"")</f>
        <v/>
      </c>
      <c r="AG67" s="78" t="str">
        <f>IFERROR(__xludf.DUMMYFUNCTION("""COMPUTED_VALUE"""),"")</f>
        <v/>
      </c>
      <c r="AH67" s="78" t="str">
        <f>IFERROR(__xludf.DUMMYFUNCTION("""COMPUTED_VALUE"""),"")</f>
        <v/>
      </c>
      <c r="AI67" s="78" t="str">
        <f>IFERROR(__xludf.DUMMYFUNCTION("""COMPUTED_VALUE"""),"")</f>
        <v/>
      </c>
      <c r="AJ67" s="78" t="str">
        <f>IFERROR(__xludf.DUMMYFUNCTION("""COMPUTED_VALUE"""),"")</f>
        <v/>
      </c>
      <c r="AK67" s="78" t="str">
        <f>IFERROR(__xludf.DUMMYFUNCTION("""COMPUTED_VALUE"""),"")</f>
        <v/>
      </c>
      <c r="AL67" s="78"/>
      <c r="AM67" s="78"/>
      <c r="AN67" s="78"/>
      <c r="AO67" s="78"/>
      <c r="AP67" s="78"/>
      <c r="AQ67" s="78"/>
      <c r="AR67" s="78"/>
      <c r="AS67" s="78"/>
    </row>
    <row r="68" ht="49.5" customHeight="1">
      <c r="A68" s="77" t="str">
        <f>IFERROR(__xludf.DUMMYFUNCTION("""COMPUTED_VALUE"""),"")</f>
        <v/>
      </c>
      <c r="B68" s="78" t="str">
        <f>IFERROR(__xludf.DUMMYFUNCTION("""COMPUTED_VALUE"""),"不屈薑餅")</f>
        <v>不屈薑餅</v>
      </c>
      <c r="C68" s="78" t="str">
        <f>IFERROR(__xludf.DUMMYFUNCTION("""COMPUTED_VALUE"""),"steadfastgingercookies")</f>
        <v>steadfastgingercookies</v>
      </c>
      <c r="D68" s="78">
        <f>IFERROR(__xludf.DUMMYFUNCTION("""COMPUTED_VALUE"""),35.0)</f>
        <v>35</v>
      </c>
      <c r="E68" s="78" t="str">
        <f>IFERROR(__xludf.DUMMYFUNCTION("""COMPUTED_VALUE"""),"點心、飲料")</f>
        <v>點心、飲料</v>
      </c>
      <c r="F68" s="82">
        <f>IFERROR(__xludf.DUMMYFUNCTION("""COMPUTED_VALUE"""),0.25)</f>
        <v>0.25</v>
      </c>
      <c r="G68" s="83">
        <f>IFERROR(__xludf.DUMMYFUNCTION("""COMPUTED_VALUE"""),3937.0)</f>
        <v>3937</v>
      </c>
      <c r="H68" s="83">
        <f>IFERROR(__xludf.DUMMYFUNCTION("""COMPUTED_VALUE"""),4921.0)</f>
        <v>4921</v>
      </c>
      <c r="I68" s="78" t="str">
        <f>IFERROR(__xludf.DUMMYFUNCTION("""COMPUTED_VALUE"""),"甜甜蜜,14,暖暖薑,12,放鬆可可,5,特選蛋,4")</f>
        <v>甜甜蜜,14,暖暖薑,12,放鬆可可,5,特選蛋,4</v>
      </c>
      <c r="J68" s="78" t="str">
        <f>IFERROR(__xludf.DUMMYFUNCTION("""COMPUTED_VALUE"""),"甜甜蜜")</f>
        <v>甜甜蜜</v>
      </c>
      <c r="K68" s="78">
        <f>IFERROR(__xludf.DUMMYFUNCTION("""COMPUTED_VALUE"""),14.0)</f>
        <v>14</v>
      </c>
      <c r="L68" s="78" t="str">
        <f>IFERROR(__xludf.DUMMYFUNCTION("""COMPUTED_VALUE"""),"暖暖薑")</f>
        <v>暖暖薑</v>
      </c>
      <c r="M68" s="78">
        <f>IFERROR(__xludf.DUMMYFUNCTION("""COMPUTED_VALUE"""),12.0)</f>
        <v>12</v>
      </c>
      <c r="N68" s="78" t="str">
        <f>IFERROR(__xludf.DUMMYFUNCTION("""COMPUTED_VALUE"""),"放鬆可可")</f>
        <v>放鬆可可</v>
      </c>
      <c r="O68" s="78">
        <f>IFERROR(__xludf.DUMMYFUNCTION("""COMPUTED_VALUE"""),5.0)</f>
        <v>5</v>
      </c>
      <c r="P68" s="78" t="str">
        <f>IFERROR(__xludf.DUMMYFUNCTION("""COMPUTED_VALUE"""),"特選蛋")</f>
        <v>特選蛋</v>
      </c>
      <c r="Q68" s="78">
        <f>IFERROR(__xludf.DUMMYFUNCTION("""COMPUTED_VALUE"""),4.0)</f>
        <v>4</v>
      </c>
      <c r="R68" s="78" t="str">
        <f>IFERROR(__xludf.DUMMYFUNCTION("""COMPUTED_VALUE"""),"")</f>
        <v/>
      </c>
      <c r="S68" s="78" t="str">
        <f>IFERROR(__xludf.DUMMYFUNCTION("""COMPUTED_VALUE"""),"")</f>
        <v/>
      </c>
      <c r="T68" s="78" t="str">
        <f>IFERROR(__xludf.DUMMYFUNCTION("""COMPUTED_VALUE"""),"")</f>
        <v/>
      </c>
      <c r="U68" s="78">
        <f>IFERROR(__xludf.DUMMYFUNCTION("""COMPUTED_VALUE"""),14.0)</f>
        <v>14</v>
      </c>
      <c r="V68" s="78" t="str">
        <f>IFERROR(__xludf.DUMMYFUNCTION("""COMPUTED_VALUE"""),"")</f>
        <v/>
      </c>
      <c r="W68" s="78">
        <f>IFERROR(__xludf.DUMMYFUNCTION("""COMPUTED_VALUE"""),12.0)</f>
        <v>12</v>
      </c>
      <c r="X68" s="78" t="str">
        <f>IFERROR(__xludf.DUMMYFUNCTION("""COMPUTED_VALUE"""),"")</f>
        <v/>
      </c>
      <c r="Y68" s="78">
        <f>IFERROR(__xludf.DUMMYFUNCTION("""COMPUTED_VALUE"""),4.0)</f>
        <v>4</v>
      </c>
      <c r="Z68" s="78" t="str">
        <f>IFERROR(__xludf.DUMMYFUNCTION("""COMPUTED_VALUE"""),"")</f>
        <v/>
      </c>
      <c r="AA68" s="78" t="str">
        <f>IFERROR(__xludf.DUMMYFUNCTION("""COMPUTED_VALUE"""),"")</f>
        <v/>
      </c>
      <c r="AB68" s="78" t="str">
        <f>IFERROR(__xludf.DUMMYFUNCTION("""COMPUTED_VALUE"""),"")</f>
        <v/>
      </c>
      <c r="AC68" s="78" t="str">
        <f>IFERROR(__xludf.DUMMYFUNCTION("""COMPUTED_VALUE"""),"")</f>
        <v/>
      </c>
      <c r="AD68" s="78">
        <f>IFERROR(__xludf.DUMMYFUNCTION("""COMPUTED_VALUE"""),5.0)</f>
        <v>5</v>
      </c>
      <c r="AE68" s="78" t="str">
        <f>IFERROR(__xludf.DUMMYFUNCTION("""COMPUTED_VALUE"""),"")</f>
        <v/>
      </c>
      <c r="AF68" s="78" t="str">
        <f>IFERROR(__xludf.DUMMYFUNCTION("""COMPUTED_VALUE"""),"")</f>
        <v/>
      </c>
      <c r="AG68" s="78" t="str">
        <f>IFERROR(__xludf.DUMMYFUNCTION("""COMPUTED_VALUE"""),"")</f>
        <v/>
      </c>
      <c r="AH68" s="78" t="str">
        <f>IFERROR(__xludf.DUMMYFUNCTION("""COMPUTED_VALUE"""),"")</f>
        <v/>
      </c>
      <c r="AI68" s="78" t="str">
        <f>IFERROR(__xludf.DUMMYFUNCTION("""COMPUTED_VALUE"""),"")</f>
        <v/>
      </c>
      <c r="AJ68" s="78" t="str">
        <f>IFERROR(__xludf.DUMMYFUNCTION("""COMPUTED_VALUE"""),"")</f>
        <v/>
      </c>
      <c r="AK68" s="78" t="str">
        <f>IFERROR(__xludf.DUMMYFUNCTION("""COMPUTED_VALUE"""),"")</f>
        <v/>
      </c>
      <c r="AL68" s="78"/>
      <c r="AM68" s="78"/>
      <c r="AN68" s="78"/>
      <c r="AO68" s="78"/>
      <c r="AP68" s="78"/>
      <c r="AQ68" s="78"/>
      <c r="AR68" s="78"/>
      <c r="AS68" s="78"/>
    </row>
    <row r="69" ht="49.5" customHeight="1">
      <c r="A69" s="77" t="str">
        <f>IFERROR(__xludf.DUMMYFUNCTION("""COMPUTED_VALUE"""),"")</f>
        <v/>
      </c>
      <c r="B69" s="78" t="str">
        <f>IFERROR(__xludf.DUMMYFUNCTION("""COMPUTED_VALUE"""),"橙夢的排毒茶")</f>
        <v>橙夢的排毒茶</v>
      </c>
      <c r="C69" s="78" t="str">
        <f>IFERROR(__xludf.DUMMYFUNCTION("""COMPUTED_VALUE"""),"neroli'srestorativetea")</f>
        <v>neroli'srestorativetea</v>
      </c>
      <c r="D69" s="78">
        <f>IFERROR(__xludf.DUMMYFUNCTION("""COMPUTED_VALUE"""),35.0)</f>
        <v>35</v>
      </c>
      <c r="E69" s="78" t="str">
        <f>IFERROR(__xludf.DUMMYFUNCTION("""COMPUTED_VALUE"""),"點心、飲料")</f>
        <v>點心、飲料</v>
      </c>
      <c r="F69" s="82">
        <f>IFERROR(__xludf.DUMMYFUNCTION("""COMPUTED_VALUE"""),0.25)</f>
        <v>0.25</v>
      </c>
      <c r="G69" s="83">
        <f>IFERROR(__xludf.DUMMYFUNCTION("""COMPUTED_VALUE"""),4052.0)</f>
        <v>4052</v>
      </c>
      <c r="H69" s="83">
        <f>IFERROR(__xludf.DUMMYFUNCTION("""COMPUTED_VALUE"""),5065.0)</f>
        <v>5065</v>
      </c>
      <c r="I69" s="78" t="str">
        <f>IFERROR(__xludf.DUMMYFUNCTION("""COMPUTED_VALUE"""),"特選蘋果,15,暖暖薑,11,品鮮蘑菇,9")</f>
        <v>特選蘋果,15,暖暖薑,11,品鮮蘑菇,9</v>
      </c>
      <c r="J69" s="78" t="str">
        <f>IFERROR(__xludf.DUMMYFUNCTION("""COMPUTED_VALUE"""),"特選蘋果")</f>
        <v>特選蘋果</v>
      </c>
      <c r="K69" s="78">
        <f>IFERROR(__xludf.DUMMYFUNCTION("""COMPUTED_VALUE"""),15.0)</f>
        <v>15</v>
      </c>
      <c r="L69" s="78" t="str">
        <f>IFERROR(__xludf.DUMMYFUNCTION("""COMPUTED_VALUE"""),"暖暖薑")</f>
        <v>暖暖薑</v>
      </c>
      <c r="M69" s="78">
        <f>IFERROR(__xludf.DUMMYFUNCTION("""COMPUTED_VALUE"""),11.0)</f>
        <v>11</v>
      </c>
      <c r="N69" s="78" t="str">
        <f>IFERROR(__xludf.DUMMYFUNCTION("""COMPUTED_VALUE"""),"品鮮蘑菇")</f>
        <v>品鮮蘑菇</v>
      </c>
      <c r="O69" s="78">
        <f>IFERROR(__xludf.DUMMYFUNCTION("""COMPUTED_VALUE"""),9.0)</f>
        <v>9</v>
      </c>
      <c r="P69" s="78"/>
      <c r="Q69" s="78"/>
      <c r="R69" s="78">
        <f>IFERROR(__xludf.DUMMYFUNCTION("""COMPUTED_VALUE"""),15.0)</f>
        <v>15</v>
      </c>
      <c r="S69" s="78" t="str">
        <f>IFERROR(__xludf.DUMMYFUNCTION("""COMPUTED_VALUE"""),"")</f>
        <v/>
      </c>
      <c r="T69" s="78" t="str">
        <f>IFERROR(__xludf.DUMMYFUNCTION("""COMPUTED_VALUE"""),"")</f>
        <v/>
      </c>
      <c r="U69" s="78" t="str">
        <f>IFERROR(__xludf.DUMMYFUNCTION("""COMPUTED_VALUE"""),"")</f>
        <v/>
      </c>
      <c r="V69" s="78" t="str">
        <f>IFERROR(__xludf.DUMMYFUNCTION("""COMPUTED_VALUE"""),"")</f>
        <v/>
      </c>
      <c r="W69" s="78">
        <f>IFERROR(__xludf.DUMMYFUNCTION("""COMPUTED_VALUE"""),11.0)</f>
        <v>11</v>
      </c>
      <c r="X69" s="78" t="str">
        <f>IFERROR(__xludf.DUMMYFUNCTION("""COMPUTED_VALUE"""),"")</f>
        <v/>
      </c>
      <c r="Y69" s="78" t="str">
        <f>IFERROR(__xludf.DUMMYFUNCTION("""COMPUTED_VALUE"""),"")</f>
        <v/>
      </c>
      <c r="Z69" s="78" t="str">
        <f>IFERROR(__xludf.DUMMYFUNCTION("""COMPUTED_VALUE"""),"")</f>
        <v/>
      </c>
      <c r="AA69" s="78" t="str">
        <f>IFERROR(__xludf.DUMMYFUNCTION("""COMPUTED_VALUE"""),"")</f>
        <v/>
      </c>
      <c r="AB69" s="78" t="str">
        <f>IFERROR(__xludf.DUMMYFUNCTION("""COMPUTED_VALUE"""),"")</f>
        <v/>
      </c>
      <c r="AC69" s="78" t="str">
        <f>IFERROR(__xludf.DUMMYFUNCTION("""COMPUTED_VALUE"""),"")</f>
        <v/>
      </c>
      <c r="AD69" s="78" t="str">
        <f>IFERROR(__xludf.DUMMYFUNCTION("""COMPUTED_VALUE"""),"")</f>
        <v/>
      </c>
      <c r="AE69" s="78" t="str">
        <f>IFERROR(__xludf.DUMMYFUNCTION("""COMPUTED_VALUE"""),"")</f>
        <v/>
      </c>
      <c r="AF69" s="78" t="str">
        <f>IFERROR(__xludf.DUMMYFUNCTION("""COMPUTED_VALUE"""),"")</f>
        <v/>
      </c>
      <c r="AG69" s="78">
        <f>IFERROR(__xludf.DUMMYFUNCTION("""COMPUTED_VALUE"""),9.0)</f>
        <v>9</v>
      </c>
      <c r="AH69" s="78" t="str">
        <f>IFERROR(__xludf.DUMMYFUNCTION("""COMPUTED_VALUE"""),"")</f>
        <v/>
      </c>
      <c r="AI69" s="78" t="str">
        <f>IFERROR(__xludf.DUMMYFUNCTION("""COMPUTED_VALUE"""),"")</f>
        <v/>
      </c>
      <c r="AJ69" s="78" t="str">
        <f>IFERROR(__xludf.DUMMYFUNCTION("""COMPUTED_VALUE"""),"")</f>
        <v/>
      </c>
      <c r="AK69" s="78">
        <f>IFERROR(__xludf.DUMMYFUNCTION("""COMPUTED_VALUE"""),0.0)</f>
        <v>0</v>
      </c>
      <c r="AL69" s="78"/>
      <c r="AM69" s="78"/>
      <c r="AN69" s="78"/>
      <c r="AO69" s="78"/>
      <c r="AP69" s="78"/>
      <c r="AQ69" s="78"/>
      <c r="AR69" s="78"/>
      <c r="AS69" s="78"/>
    </row>
    <row r="70" ht="49.5" customHeight="1">
      <c r="A70" s="77" t="str">
        <f>IFERROR(__xludf.DUMMYFUNCTION("""COMPUTED_VALUE"""),"")</f>
        <v/>
      </c>
      <c r="B70" s="78" t="str">
        <f>IFERROR(__xludf.DUMMYFUNCTION("""COMPUTED_VALUE"""),"大力士豆香甜甜圈")</f>
        <v>大力士豆香甜甜圈</v>
      </c>
      <c r="C70" s="78" t="str">
        <f>IFERROR(__xludf.DUMMYFUNCTION("""COMPUTED_VALUE"""),"hugepowersoydonuts")</f>
        <v>hugepowersoydonuts</v>
      </c>
      <c r="D70" s="78">
        <f>IFERROR(__xludf.DUMMYFUNCTION("""COMPUTED_VALUE"""),35.0)</f>
        <v>35</v>
      </c>
      <c r="E70" s="78" t="str">
        <f>IFERROR(__xludf.DUMMYFUNCTION("""COMPUTED_VALUE"""),"點心、飲料")</f>
        <v>點心、飲料</v>
      </c>
      <c r="F70" s="82">
        <f>IFERROR(__xludf.DUMMYFUNCTION("""COMPUTED_VALUE"""),0.35)</f>
        <v>0.35</v>
      </c>
      <c r="G70" s="83">
        <f>IFERROR(__xludf.DUMMYFUNCTION("""COMPUTED_VALUE"""),4109.0)</f>
        <v>4109</v>
      </c>
      <c r="H70" s="83">
        <f>IFERROR(__xludf.DUMMYFUNCTION("""COMPUTED_VALUE"""),5547.0)</f>
        <v>5547</v>
      </c>
      <c r="I70" s="78" t="str">
        <f>IFERROR(__xludf.DUMMYFUNCTION("""COMPUTED_VALUE"""),"萌綠大豆,16,純粹油,12,放鬆可可,7")</f>
        <v>萌綠大豆,16,純粹油,12,放鬆可可,7</v>
      </c>
      <c r="J70" s="78" t="str">
        <f>IFERROR(__xludf.DUMMYFUNCTION("""COMPUTED_VALUE"""),"萌綠大豆")</f>
        <v>萌綠大豆</v>
      </c>
      <c r="K70" s="78">
        <f>IFERROR(__xludf.DUMMYFUNCTION("""COMPUTED_VALUE"""),16.0)</f>
        <v>16</v>
      </c>
      <c r="L70" s="78" t="str">
        <f>IFERROR(__xludf.DUMMYFUNCTION("""COMPUTED_VALUE"""),"純粹油")</f>
        <v>純粹油</v>
      </c>
      <c r="M70" s="78">
        <f>IFERROR(__xludf.DUMMYFUNCTION("""COMPUTED_VALUE"""),12.0)</f>
        <v>12</v>
      </c>
      <c r="N70" s="78" t="str">
        <f>IFERROR(__xludf.DUMMYFUNCTION("""COMPUTED_VALUE"""),"放鬆可可")</f>
        <v>放鬆可可</v>
      </c>
      <c r="O70" s="78">
        <f>IFERROR(__xludf.DUMMYFUNCTION("""COMPUTED_VALUE"""),7.0)</f>
        <v>7</v>
      </c>
      <c r="P70" s="78"/>
      <c r="Q70" s="78"/>
      <c r="R70" s="78" t="str">
        <f>IFERROR(__xludf.DUMMYFUNCTION("""COMPUTED_VALUE"""),"")</f>
        <v/>
      </c>
      <c r="S70" s="78" t="str">
        <f>IFERROR(__xludf.DUMMYFUNCTION("""COMPUTED_VALUE"""),"")</f>
        <v/>
      </c>
      <c r="T70" s="78">
        <f>IFERROR(__xludf.DUMMYFUNCTION("""COMPUTED_VALUE"""),16.0)</f>
        <v>16</v>
      </c>
      <c r="U70" s="78" t="str">
        <f>IFERROR(__xludf.DUMMYFUNCTION("""COMPUTED_VALUE"""),"")</f>
        <v/>
      </c>
      <c r="V70" s="78" t="str">
        <f>IFERROR(__xludf.DUMMYFUNCTION("""COMPUTED_VALUE"""),"")</f>
        <v/>
      </c>
      <c r="W70" s="78" t="str">
        <f>IFERROR(__xludf.DUMMYFUNCTION("""COMPUTED_VALUE"""),"")</f>
        <v/>
      </c>
      <c r="X70" s="78" t="str">
        <f>IFERROR(__xludf.DUMMYFUNCTION("""COMPUTED_VALUE"""),"")</f>
        <v/>
      </c>
      <c r="Y70" s="78" t="str">
        <f>IFERROR(__xludf.DUMMYFUNCTION("""COMPUTED_VALUE"""),"")</f>
        <v/>
      </c>
      <c r="Z70" s="78">
        <f>IFERROR(__xludf.DUMMYFUNCTION("""COMPUTED_VALUE"""),12.0)</f>
        <v>12</v>
      </c>
      <c r="AA70" s="78" t="str">
        <f>IFERROR(__xludf.DUMMYFUNCTION("""COMPUTED_VALUE"""),"")</f>
        <v/>
      </c>
      <c r="AB70" s="78" t="str">
        <f>IFERROR(__xludf.DUMMYFUNCTION("""COMPUTED_VALUE"""),"")</f>
        <v/>
      </c>
      <c r="AC70" s="78" t="str">
        <f>IFERROR(__xludf.DUMMYFUNCTION("""COMPUTED_VALUE"""),"")</f>
        <v/>
      </c>
      <c r="AD70" s="78">
        <f>IFERROR(__xludf.DUMMYFUNCTION("""COMPUTED_VALUE"""),7.0)</f>
        <v>7</v>
      </c>
      <c r="AE70" s="78" t="str">
        <f>IFERROR(__xludf.DUMMYFUNCTION("""COMPUTED_VALUE"""),"")</f>
        <v/>
      </c>
      <c r="AF70" s="78" t="str">
        <f>IFERROR(__xludf.DUMMYFUNCTION("""COMPUTED_VALUE"""),"")</f>
        <v/>
      </c>
      <c r="AG70" s="78" t="str">
        <f>IFERROR(__xludf.DUMMYFUNCTION("""COMPUTED_VALUE"""),"")</f>
        <v/>
      </c>
      <c r="AH70" s="78" t="str">
        <f>IFERROR(__xludf.DUMMYFUNCTION("""COMPUTED_VALUE"""),"")</f>
        <v/>
      </c>
      <c r="AI70" s="78" t="str">
        <f>IFERROR(__xludf.DUMMYFUNCTION("""COMPUTED_VALUE"""),"")</f>
        <v/>
      </c>
      <c r="AJ70" s="78" t="str">
        <f>IFERROR(__xludf.DUMMYFUNCTION("""COMPUTED_VALUE"""),"")</f>
        <v/>
      </c>
      <c r="AK70" s="78">
        <f>IFERROR(__xludf.DUMMYFUNCTION("""COMPUTED_VALUE"""),0.0)</f>
        <v>0</v>
      </c>
      <c r="AL70" s="78"/>
      <c r="AM70" s="78"/>
      <c r="AN70" s="78"/>
      <c r="AO70" s="78"/>
      <c r="AP70" s="78"/>
      <c r="AQ70" s="78"/>
      <c r="AR70" s="78"/>
      <c r="AS70" s="78"/>
    </row>
    <row r="71" ht="49.5" customHeight="1">
      <c r="A71" s="77" t="str">
        <f>IFERROR(__xludf.DUMMYFUNCTION("""COMPUTED_VALUE"""),"")</f>
        <v/>
      </c>
      <c r="B71" s="78" t="str">
        <f>IFERROR(__xludf.DUMMYFUNCTION("""COMPUTED_VALUE"""),"大爆炸爆米花")</f>
        <v>大爆炸爆米花</v>
      </c>
      <c r="C71" s="78" t="str">
        <f>IFERROR(__xludf.DUMMYFUNCTION("""COMPUTED_VALUE"""),"explosionpopcorn")</f>
        <v>explosionpopcorn</v>
      </c>
      <c r="D71" s="78">
        <f>IFERROR(__xludf.DUMMYFUNCTION("""COMPUTED_VALUE"""),36.0)</f>
        <v>36</v>
      </c>
      <c r="E71" s="78" t="str">
        <f>IFERROR(__xludf.DUMMYFUNCTION("""COMPUTED_VALUE"""),"點心、飲料")</f>
        <v>點心、飲料</v>
      </c>
      <c r="F71" s="82">
        <f>IFERROR(__xludf.DUMMYFUNCTION("""COMPUTED_VALUE"""),0.35)</f>
        <v>0.35</v>
      </c>
      <c r="G71" s="83">
        <f>IFERROR(__xludf.DUMMYFUNCTION("""COMPUTED_VALUE"""),4480.0)</f>
        <v>4480</v>
      </c>
      <c r="H71" s="83">
        <f>IFERROR(__xludf.DUMMYFUNCTION("""COMPUTED_VALUE"""),6048.0)</f>
        <v>6048</v>
      </c>
      <c r="I71" s="78" t="str">
        <f>IFERROR(__xludf.DUMMYFUNCTION("""COMPUTED_VALUE"""),"萌綠玉米,15,純粹油,14,哞哞鮮奶,7")</f>
        <v>萌綠玉米,15,純粹油,14,哞哞鮮奶,7</v>
      </c>
      <c r="J71" s="78" t="str">
        <f>IFERROR(__xludf.DUMMYFUNCTION("""COMPUTED_VALUE"""),"萌綠玉米")</f>
        <v>萌綠玉米</v>
      </c>
      <c r="K71" s="78">
        <f>IFERROR(__xludf.DUMMYFUNCTION("""COMPUTED_VALUE"""),15.0)</f>
        <v>15</v>
      </c>
      <c r="L71" s="78" t="str">
        <f>IFERROR(__xludf.DUMMYFUNCTION("""COMPUTED_VALUE"""),"純粹油")</f>
        <v>純粹油</v>
      </c>
      <c r="M71" s="78">
        <f>IFERROR(__xludf.DUMMYFUNCTION("""COMPUTED_VALUE"""),14.0)</f>
        <v>14</v>
      </c>
      <c r="N71" s="78" t="str">
        <f>IFERROR(__xludf.DUMMYFUNCTION("""COMPUTED_VALUE"""),"哞哞鮮奶")</f>
        <v>哞哞鮮奶</v>
      </c>
      <c r="O71" s="78">
        <f>IFERROR(__xludf.DUMMYFUNCTION("""COMPUTED_VALUE"""),7.0)</f>
        <v>7</v>
      </c>
      <c r="P71" s="78"/>
      <c r="Q71" s="78"/>
      <c r="R71" s="78" t="str">
        <f>IFERROR(__xludf.DUMMYFUNCTION("""COMPUTED_VALUE"""),"")</f>
        <v/>
      </c>
      <c r="S71" s="78">
        <f>IFERROR(__xludf.DUMMYFUNCTION("""COMPUTED_VALUE"""),7.0)</f>
        <v>7</v>
      </c>
      <c r="T71" s="78" t="str">
        <f>IFERROR(__xludf.DUMMYFUNCTION("""COMPUTED_VALUE"""),"")</f>
        <v/>
      </c>
      <c r="U71" s="78" t="str">
        <f>IFERROR(__xludf.DUMMYFUNCTION("""COMPUTED_VALUE"""),"")</f>
        <v/>
      </c>
      <c r="V71" s="78" t="str">
        <f>IFERROR(__xludf.DUMMYFUNCTION("""COMPUTED_VALUE"""),"")</f>
        <v/>
      </c>
      <c r="W71" s="78" t="str">
        <f>IFERROR(__xludf.DUMMYFUNCTION("""COMPUTED_VALUE"""),"")</f>
        <v/>
      </c>
      <c r="X71" s="78" t="str">
        <f>IFERROR(__xludf.DUMMYFUNCTION("""COMPUTED_VALUE"""),"")</f>
        <v/>
      </c>
      <c r="Y71" s="78" t="str">
        <f>IFERROR(__xludf.DUMMYFUNCTION("""COMPUTED_VALUE"""),"")</f>
        <v/>
      </c>
      <c r="Z71" s="78">
        <f>IFERROR(__xludf.DUMMYFUNCTION("""COMPUTED_VALUE"""),14.0)</f>
        <v>14</v>
      </c>
      <c r="AA71" s="78" t="str">
        <f>IFERROR(__xludf.DUMMYFUNCTION("""COMPUTED_VALUE"""),"")</f>
        <v/>
      </c>
      <c r="AB71" s="78" t="str">
        <f>IFERROR(__xludf.DUMMYFUNCTION("""COMPUTED_VALUE"""),"")</f>
        <v/>
      </c>
      <c r="AC71" s="78">
        <f>IFERROR(__xludf.DUMMYFUNCTION("""COMPUTED_VALUE"""),15.0)</f>
        <v>15</v>
      </c>
      <c r="AD71" s="78" t="str">
        <f>IFERROR(__xludf.DUMMYFUNCTION("""COMPUTED_VALUE"""),"")</f>
        <v/>
      </c>
      <c r="AE71" s="78" t="str">
        <f>IFERROR(__xludf.DUMMYFUNCTION("""COMPUTED_VALUE"""),"")</f>
        <v/>
      </c>
      <c r="AF71" s="78" t="str">
        <f>IFERROR(__xludf.DUMMYFUNCTION("""COMPUTED_VALUE"""),"")</f>
        <v/>
      </c>
      <c r="AG71" s="78" t="str">
        <f>IFERROR(__xludf.DUMMYFUNCTION("""COMPUTED_VALUE"""),"")</f>
        <v/>
      </c>
      <c r="AH71" s="78" t="str">
        <f>IFERROR(__xludf.DUMMYFUNCTION("""COMPUTED_VALUE"""),"")</f>
        <v/>
      </c>
      <c r="AI71" s="78" t="str">
        <f>IFERROR(__xludf.DUMMYFUNCTION("""COMPUTED_VALUE"""),"")</f>
        <v/>
      </c>
      <c r="AJ71" s="78" t="str">
        <f>IFERROR(__xludf.DUMMYFUNCTION("""COMPUTED_VALUE"""),"")</f>
        <v/>
      </c>
      <c r="AK71" s="78">
        <f>IFERROR(__xludf.DUMMYFUNCTION("""COMPUTED_VALUE"""),0.0)</f>
        <v>0</v>
      </c>
      <c r="AL71" s="78"/>
      <c r="AM71" s="78"/>
      <c r="AN71" s="78"/>
      <c r="AO71" s="78"/>
      <c r="AP71" s="78"/>
      <c r="AQ71" s="78"/>
      <c r="AR71" s="78"/>
      <c r="AS71" s="78"/>
    </row>
    <row r="72" ht="49.5" customHeight="1">
      <c r="A72" s="77" t="str">
        <f>IFERROR(__xludf.DUMMYFUNCTION("""COMPUTED_VALUE"""),"")</f>
        <v/>
      </c>
      <c r="B72" s="78" t="str">
        <f>IFERROR(__xludf.DUMMYFUNCTION("""COMPUTED_VALUE"""),"早起咖啡凍")</f>
        <v>早起咖啡凍</v>
      </c>
      <c r="C72" s="78" t="str">
        <f>IFERROR(__xludf.DUMMYFUNCTION("""COMPUTED_VALUE"""),"earlybirdcoffeejelly")</f>
        <v>earlybirdcoffeejelly</v>
      </c>
      <c r="D72" s="78">
        <f>IFERROR(__xludf.DUMMYFUNCTION("""COMPUTED_VALUE"""),42.0)</f>
        <v>42</v>
      </c>
      <c r="E72" s="78" t="str">
        <f>IFERROR(__xludf.DUMMYFUNCTION("""COMPUTED_VALUE"""),"點心、飲料")</f>
        <v>點心、飲料</v>
      </c>
      <c r="F72" s="82">
        <f>IFERROR(__xludf.DUMMYFUNCTION("""COMPUTED_VALUE"""),0.35)</f>
        <v>0.35</v>
      </c>
      <c r="G72" s="83">
        <f>IFERROR(__xludf.DUMMYFUNCTION("""COMPUTED_VALUE"""),5032.0)</f>
        <v>5032</v>
      </c>
      <c r="H72" s="83">
        <f>IFERROR(__xludf.DUMMYFUNCTION("""COMPUTED_VALUE"""),6793.0)</f>
        <v>6793</v>
      </c>
      <c r="I72" s="78" t="str">
        <f>IFERROR(__xludf.DUMMYFUNCTION("""COMPUTED_VALUE"""),"醒腦咖啡豆,16,哞哞鮮奶,14,甜甜蜜,12")</f>
        <v>醒腦咖啡豆,16,哞哞鮮奶,14,甜甜蜜,12</v>
      </c>
      <c r="J72" s="78" t="str">
        <f>IFERROR(__xludf.DUMMYFUNCTION("""COMPUTED_VALUE"""),"醒腦咖啡豆")</f>
        <v>醒腦咖啡豆</v>
      </c>
      <c r="K72" s="78">
        <f>IFERROR(__xludf.DUMMYFUNCTION("""COMPUTED_VALUE"""),16.0)</f>
        <v>16</v>
      </c>
      <c r="L72" s="78" t="str">
        <f>IFERROR(__xludf.DUMMYFUNCTION("""COMPUTED_VALUE"""),"哞哞鮮奶")</f>
        <v>哞哞鮮奶</v>
      </c>
      <c r="M72" s="78">
        <f>IFERROR(__xludf.DUMMYFUNCTION("""COMPUTED_VALUE"""),14.0)</f>
        <v>14</v>
      </c>
      <c r="N72" s="78" t="str">
        <f>IFERROR(__xludf.DUMMYFUNCTION("""COMPUTED_VALUE"""),"甜甜蜜")</f>
        <v>甜甜蜜</v>
      </c>
      <c r="O72" s="78">
        <f>IFERROR(__xludf.DUMMYFUNCTION("""COMPUTED_VALUE"""),12.0)</f>
        <v>12</v>
      </c>
      <c r="P72" s="78"/>
      <c r="Q72" s="78"/>
      <c r="R72" s="78" t="str">
        <f>IFERROR(__xludf.DUMMYFUNCTION("""COMPUTED_VALUE"""),"")</f>
        <v/>
      </c>
      <c r="S72" s="78">
        <f>IFERROR(__xludf.DUMMYFUNCTION("""COMPUTED_VALUE"""),14.0)</f>
        <v>14</v>
      </c>
      <c r="T72" s="78" t="str">
        <f>IFERROR(__xludf.DUMMYFUNCTION("""COMPUTED_VALUE"""),"")</f>
        <v/>
      </c>
      <c r="U72" s="78">
        <f>IFERROR(__xludf.DUMMYFUNCTION("""COMPUTED_VALUE"""),12.0)</f>
        <v>12</v>
      </c>
      <c r="V72" s="78" t="str">
        <f>IFERROR(__xludf.DUMMYFUNCTION("""COMPUTED_VALUE"""),"")</f>
        <v/>
      </c>
      <c r="W72" s="78" t="str">
        <f>IFERROR(__xludf.DUMMYFUNCTION("""COMPUTED_VALUE"""),"")</f>
        <v/>
      </c>
      <c r="X72" s="78" t="str">
        <f>IFERROR(__xludf.DUMMYFUNCTION("""COMPUTED_VALUE"""),"")</f>
        <v/>
      </c>
      <c r="Y72" s="78" t="str">
        <f>IFERROR(__xludf.DUMMYFUNCTION("""COMPUTED_VALUE"""),"")</f>
        <v/>
      </c>
      <c r="Z72" s="78" t="str">
        <f>IFERROR(__xludf.DUMMYFUNCTION("""COMPUTED_VALUE"""),"")</f>
        <v/>
      </c>
      <c r="AA72" s="78" t="str">
        <f>IFERROR(__xludf.DUMMYFUNCTION("""COMPUTED_VALUE"""),"")</f>
        <v/>
      </c>
      <c r="AB72" s="78" t="str">
        <f>IFERROR(__xludf.DUMMYFUNCTION("""COMPUTED_VALUE"""),"")</f>
        <v/>
      </c>
      <c r="AC72" s="78" t="str">
        <f>IFERROR(__xludf.DUMMYFUNCTION("""COMPUTED_VALUE"""),"")</f>
        <v/>
      </c>
      <c r="AD72" s="78" t="str">
        <f>IFERROR(__xludf.DUMMYFUNCTION("""COMPUTED_VALUE"""),"")</f>
        <v/>
      </c>
      <c r="AE72" s="78">
        <f>IFERROR(__xludf.DUMMYFUNCTION("""COMPUTED_VALUE"""),16.0)</f>
        <v>16</v>
      </c>
      <c r="AF72" s="78" t="str">
        <f>IFERROR(__xludf.DUMMYFUNCTION("""COMPUTED_VALUE"""),"")</f>
        <v/>
      </c>
      <c r="AG72" s="78" t="str">
        <f>IFERROR(__xludf.DUMMYFUNCTION("""COMPUTED_VALUE"""),"")</f>
        <v/>
      </c>
      <c r="AH72" s="78" t="str">
        <f>IFERROR(__xludf.DUMMYFUNCTION("""COMPUTED_VALUE"""),"")</f>
        <v/>
      </c>
      <c r="AI72" s="78" t="str">
        <f>IFERROR(__xludf.DUMMYFUNCTION("""COMPUTED_VALUE"""),"")</f>
        <v/>
      </c>
      <c r="AJ72" s="78" t="str">
        <f>IFERROR(__xludf.DUMMYFUNCTION("""COMPUTED_VALUE"""),"")</f>
        <v/>
      </c>
      <c r="AK72" s="78">
        <f>IFERROR(__xludf.DUMMYFUNCTION("""COMPUTED_VALUE"""),0.0)</f>
        <v>0</v>
      </c>
      <c r="AL72" s="78"/>
      <c r="AM72" s="78"/>
      <c r="AN72" s="78"/>
      <c r="AO72" s="78"/>
      <c r="AP72" s="78"/>
      <c r="AQ72" s="78"/>
      <c r="AR72" s="78"/>
      <c r="AS72" s="78"/>
    </row>
    <row r="73" ht="49.5" customHeight="1">
      <c r="A73" s="77" t="str">
        <f>IFERROR(__xludf.DUMMYFUNCTION("""COMPUTED_VALUE"""),"")</f>
        <v/>
      </c>
      <c r="B73" s="78" t="str">
        <f>IFERROR(__xludf.DUMMYFUNCTION("""COMPUTED_VALUE"""),"破格玉米香提拉米蘇")</f>
        <v>破格玉米香提拉米蘇</v>
      </c>
      <c r="C73" s="78" t="str">
        <f>IFERROR(__xludf.DUMMYFUNCTION("""COMPUTED_VALUE"""),"moldbreakercorntiramisu")</f>
        <v>moldbreakercorntiramisu</v>
      </c>
      <c r="D73" s="78">
        <f>IFERROR(__xludf.DUMMYFUNCTION("""COMPUTED_VALUE"""),40.0)</f>
        <v>40</v>
      </c>
      <c r="E73" s="78" t="str">
        <f>IFERROR(__xludf.DUMMYFUNCTION("""COMPUTED_VALUE"""),"點心、飲料")</f>
        <v>點心、飲料</v>
      </c>
      <c r="F73" s="82">
        <f>IFERROR(__xludf.DUMMYFUNCTION("""COMPUTED_VALUE"""),0.35)</f>
        <v>0.35</v>
      </c>
      <c r="G73" s="83">
        <f>IFERROR(__xludf.DUMMYFUNCTION("""COMPUTED_VALUE"""),5278.0)</f>
        <v>5278</v>
      </c>
      <c r="H73" s="83">
        <f>IFERROR(__xludf.DUMMYFUNCTION("""COMPUTED_VALUE"""),7125.0)</f>
        <v>7125</v>
      </c>
      <c r="I73" s="78" t="str">
        <f>IFERROR(__xludf.DUMMYFUNCTION("""COMPUTED_VALUE"""),"萌綠玉米,14,醒腦咖啡豆,14,哞哞鮮奶,12")</f>
        <v>萌綠玉米,14,醒腦咖啡豆,14,哞哞鮮奶,12</v>
      </c>
      <c r="J73" s="78" t="str">
        <f>IFERROR(__xludf.DUMMYFUNCTION("""COMPUTED_VALUE"""),"萌綠玉米")</f>
        <v>萌綠玉米</v>
      </c>
      <c r="K73" s="78">
        <f>IFERROR(__xludf.DUMMYFUNCTION("""COMPUTED_VALUE"""),14.0)</f>
        <v>14</v>
      </c>
      <c r="L73" s="78" t="str">
        <f>IFERROR(__xludf.DUMMYFUNCTION("""COMPUTED_VALUE"""),"醒腦咖啡豆")</f>
        <v>醒腦咖啡豆</v>
      </c>
      <c r="M73" s="78">
        <f>IFERROR(__xludf.DUMMYFUNCTION("""COMPUTED_VALUE"""),14.0)</f>
        <v>14</v>
      </c>
      <c r="N73" s="78" t="str">
        <f>IFERROR(__xludf.DUMMYFUNCTION("""COMPUTED_VALUE"""),"哞哞鮮奶")</f>
        <v>哞哞鮮奶</v>
      </c>
      <c r="O73" s="78">
        <f>IFERROR(__xludf.DUMMYFUNCTION("""COMPUTED_VALUE"""),12.0)</f>
        <v>12</v>
      </c>
      <c r="P73" s="78"/>
      <c r="Q73" s="78"/>
      <c r="R73" s="78" t="str">
        <f>IFERROR(__xludf.DUMMYFUNCTION("""COMPUTED_VALUE"""),"")</f>
        <v/>
      </c>
      <c r="S73" s="78">
        <f>IFERROR(__xludf.DUMMYFUNCTION("""COMPUTED_VALUE"""),12.0)</f>
        <v>12</v>
      </c>
      <c r="T73" s="78" t="str">
        <f>IFERROR(__xludf.DUMMYFUNCTION("""COMPUTED_VALUE"""),"")</f>
        <v/>
      </c>
      <c r="U73" s="78" t="str">
        <f>IFERROR(__xludf.DUMMYFUNCTION("""COMPUTED_VALUE"""),"")</f>
        <v/>
      </c>
      <c r="V73" s="78" t="str">
        <f>IFERROR(__xludf.DUMMYFUNCTION("""COMPUTED_VALUE"""),"")</f>
        <v/>
      </c>
      <c r="W73" s="78" t="str">
        <f>IFERROR(__xludf.DUMMYFUNCTION("""COMPUTED_VALUE"""),"")</f>
        <v/>
      </c>
      <c r="X73" s="78" t="str">
        <f>IFERROR(__xludf.DUMMYFUNCTION("""COMPUTED_VALUE"""),"")</f>
        <v/>
      </c>
      <c r="Y73" s="78" t="str">
        <f>IFERROR(__xludf.DUMMYFUNCTION("""COMPUTED_VALUE"""),"")</f>
        <v/>
      </c>
      <c r="Z73" s="78" t="str">
        <f>IFERROR(__xludf.DUMMYFUNCTION("""COMPUTED_VALUE"""),"")</f>
        <v/>
      </c>
      <c r="AA73" s="78" t="str">
        <f>IFERROR(__xludf.DUMMYFUNCTION("""COMPUTED_VALUE"""),"")</f>
        <v/>
      </c>
      <c r="AB73" s="78" t="str">
        <f>IFERROR(__xludf.DUMMYFUNCTION("""COMPUTED_VALUE"""),"")</f>
        <v/>
      </c>
      <c r="AC73" s="78">
        <f>IFERROR(__xludf.DUMMYFUNCTION("""COMPUTED_VALUE"""),14.0)</f>
        <v>14</v>
      </c>
      <c r="AD73" s="78" t="str">
        <f>IFERROR(__xludf.DUMMYFUNCTION("""COMPUTED_VALUE"""),"")</f>
        <v/>
      </c>
      <c r="AE73" s="78">
        <f>IFERROR(__xludf.DUMMYFUNCTION("""COMPUTED_VALUE"""),14.0)</f>
        <v>14</v>
      </c>
      <c r="AF73" s="78" t="str">
        <f>IFERROR(__xludf.DUMMYFUNCTION("""COMPUTED_VALUE"""),"")</f>
        <v/>
      </c>
      <c r="AG73" s="78" t="str">
        <f>IFERROR(__xludf.DUMMYFUNCTION("""COMPUTED_VALUE"""),"")</f>
        <v/>
      </c>
      <c r="AH73" s="78" t="str">
        <f>IFERROR(__xludf.DUMMYFUNCTION("""COMPUTED_VALUE"""),"")</f>
        <v/>
      </c>
      <c r="AI73" s="78" t="str">
        <f>IFERROR(__xludf.DUMMYFUNCTION("""COMPUTED_VALUE"""),"")</f>
        <v/>
      </c>
      <c r="AJ73" s="78" t="str">
        <f>IFERROR(__xludf.DUMMYFUNCTION("""COMPUTED_VALUE"""),"")</f>
        <v/>
      </c>
      <c r="AK73" s="78">
        <f>IFERROR(__xludf.DUMMYFUNCTION("""COMPUTED_VALUE"""),0.0)</f>
        <v>0</v>
      </c>
      <c r="AL73" s="78"/>
      <c r="AM73" s="78"/>
      <c r="AN73" s="78"/>
      <c r="AO73" s="78"/>
      <c r="AP73" s="78"/>
      <c r="AQ73" s="78"/>
      <c r="AR73" s="78"/>
      <c r="AS73" s="78"/>
    </row>
    <row r="74" ht="49.5" customHeight="1">
      <c r="A74" s="77" t="str">
        <f>IFERROR(__xludf.DUMMYFUNCTION("""COMPUTED_VALUE"""),"")</f>
        <v/>
      </c>
      <c r="B74" s="78" t="str">
        <f>IFERROR(__xludf.DUMMYFUNCTION("""COMPUTED_VALUE"""),"胖丁百匯布丁")</f>
        <v>胖丁百匯布丁</v>
      </c>
      <c r="C74" s="78" t="str">
        <f>IFERROR(__xludf.DUMMYFUNCTION("""COMPUTED_VALUE"""),"jigglypuff'sfruityflan")</f>
        <v>jigglypuff'sfruityflan</v>
      </c>
      <c r="D74" s="78">
        <f>IFERROR(__xludf.DUMMYFUNCTION("""COMPUTED_VALUE"""),55.0)</f>
        <v>55</v>
      </c>
      <c r="E74" s="78" t="str">
        <f>IFERROR(__xludf.DUMMYFUNCTION("""COMPUTED_VALUE"""),"點心、飲料")</f>
        <v>點心、飲料</v>
      </c>
      <c r="F74" s="82">
        <f>IFERROR(__xludf.DUMMYFUNCTION("""COMPUTED_VALUE"""),0.35)</f>
        <v>0.35</v>
      </c>
      <c r="G74" s="83">
        <f>IFERROR(__xludf.DUMMYFUNCTION("""COMPUTED_VALUE"""),5625.0)</f>
        <v>5625</v>
      </c>
      <c r="H74" s="83">
        <f>IFERROR(__xludf.DUMMYFUNCTION("""COMPUTED_VALUE"""),7594.0)</f>
        <v>7594</v>
      </c>
      <c r="I74" s="78" t="str">
        <f>IFERROR(__xludf.DUMMYFUNCTION("""COMPUTED_VALUE"""),"甜甜蜜,20,特選蛋,15,特選蘋果,10,哞哞鮮奶,10")</f>
        <v>甜甜蜜,20,特選蛋,15,特選蘋果,10,哞哞鮮奶,10</v>
      </c>
      <c r="J74" s="78" t="str">
        <f>IFERROR(__xludf.DUMMYFUNCTION("""COMPUTED_VALUE"""),"甜甜蜜")</f>
        <v>甜甜蜜</v>
      </c>
      <c r="K74" s="78">
        <f>IFERROR(__xludf.DUMMYFUNCTION("""COMPUTED_VALUE"""),20.0)</f>
        <v>20</v>
      </c>
      <c r="L74" s="78" t="str">
        <f>IFERROR(__xludf.DUMMYFUNCTION("""COMPUTED_VALUE"""),"特選蛋")</f>
        <v>特選蛋</v>
      </c>
      <c r="M74" s="78">
        <f>IFERROR(__xludf.DUMMYFUNCTION("""COMPUTED_VALUE"""),15.0)</f>
        <v>15</v>
      </c>
      <c r="N74" s="78" t="str">
        <f>IFERROR(__xludf.DUMMYFUNCTION("""COMPUTED_VALUE"""),"特選蘋果")</f>
        <v>特選蘋果</v>
      </c>
      <c r="O74" s="78">
        <f>IFERROR(__xludf.DUMMYFUNCTION("""COMPUTED_VALUE"""),10.0)</f>
        <v>10</v>
      </c>
      <c r="P74" s="78" t="str">
        <f>IFERROR(__xludf.DUMMYFUNCTION("""COMPUTED_VALUE"""),"哞哞鮮奶")</f>
        <v>哞哞鮮奶</v>
      </c>
      <c r="Q74" s="78">
        <f>IFERROR(__xludf.DUMMYFUNCTION("""COMPUTED_VALUE"""),10.0)</f>
        <v>10</v>
      </c>
      <c r="R74" s="78">
        <f>IFERROR(__xludf.DUMMYFUNCTION("""COMPUTED_VALUE"""),10.0)</f>
        <v>10</v>
      </c>
      <c r="S74" s="78">
        <f>IFERROR(__xludf.DUMMYFUNCTION("""COMPUTED_VALUE"""),10.0)</f>
        <v>10</v>
      </c>
      <c r="T74" s="78" t="str">
        <f>IFERROR(__xludf.DUMMYFUNCTION("""COMPUTED_VALUE"""),"")</f>
        <v/>
      </c>
      <c r="U74" s="78">
        <f>IFERROR(__xludf.DUMMYFUNCTION("""COMPUTED_VALUE"""),20.0)</f>
        <v>20</v>
      </c>
      <c r="V74" s="78" t="str">
        <f>IFERROR(__xludf.DUMMYFUNCTION("""COMPUTED_VALUE"""),"")</f>
        <v/>
      </c>
      <c r="W74" s="78" t="str">
        <f>IFERROR(__xludf.DUMMYFUNCTION("""COMPUTED_VALUE"""),"")</f>
        <v/>
      </c>
      <c r="X74" s="78" t="str">
        <f>IFERROR(__xludf.DUMMYFUNCTION("""COMPUTED_VALUE"""),"")</f>
        <v/>
      </c>
      <c r="Y74" s="78">
        <f>IFERROR(__xludf.DUMMYFUNCTION("""COMPUTED_VALUE"""),15.0)</f>
        <v>15</v>
      </c>
      <c r="Z74" s="78" t="str">
        <f>IFERROR(__xludf.DUMMYFUNCTION("""COMPUTED_VALUE"""),"")</f>
        <v/>
      </c>
      <c r="AA74" s="78" t="str">
        <f>IFERROR(__xludf.DUMMYFUNCTION("""COMPUTED_VALUE"""),"")</f>
        <v/>
      </c>
      <c r="AB74" s="78" t="str">
        <f>IFERROR(__xludf.DUMMYFUNCTION("""COMPUTED_VALUE"""),"")</f>
        <v/>
      </c>
      <c r="AC74" s="78" t="str">
        <f>IFERROR(__xludf.DUMMYFUNCTION("""COMPUTED_VALUE"""),"")</f>
        <v/>
      </c>
      <c r="AD74" s="78" t="str">
        <f>IFERROR(__xludf.DUMMYFUNCTION("""COMPUTED_VALUE"""),"")</f>
        <v/>
      </c>
      <c r="AE74" s="78" t="str">
        <f>IFERROR(__xludf.DUMMYFUNCTION("""COMPUTED_VALUE"""),"")</f>
        <v/>
      </c>
      <c r="AF74" s="78" t="str">
        <f>IFERROR(__xludf.DUMMYFUNCTION("""COMPUTED_VALUE"""),"")</f>
        <v/>
      </c>
      <c r="AG74" s="78" t="str">
        <f>IFERROR(__xludf.DUMMYFUNCTION("""COMPUTED_VALUE"""),"")</f>
        <v/>
      </c>
      <c r="AH74" s="78" t="str">
        <f>IFERROR(__xludf.DUMMYFUNCTION("""COMPUTED_VALUE"""),"")</f>
        <v/>
      </c>
      <c r="AI74" s="78" t="str">
        <f>IFERROR(__xludf.DUMMYFUNCTION("""COMPUTED_VALUE"""),"")</f>
        <v/>
      </c>
      <c r="AJ74" s="78" t="str">
        <f>IFERROR(__xludf.DUMMYFUNCTION("""COMPUTED_VALUE"""),"")</f>
        <v/>
      </c>
      <c r="AK74" s="78" t="str">
        <f>IFERROR(__xludf.DUMMYFUNCTION("""COMPUTED_VALUE"""),"")</f>
        <v/>
      </c>
      <c r="AL74" s="78"/>
      <c r="AM74" s="78"/>
      <c r="AN74" s="78"/>
      <c r="AO74" s="78"/>
      <c r="AP74" s="78"/>
      <c r="AQ74" s="78"/>
      <c r="AR74" s="78"/>
      <c r="AS74" s="78"/>
    </row>
    <row r="75" ht="49.5" customHeight="1">
      <c r="A75" s="77" t="str">
        <f>IFERROR(__xludf.DUMMYFUNCTION("""COMPUTED_VALUE"""),"")</f>
        <v/>
      </c>
      <c r="B75" s="78" t="str">
        <f>IFERROR(__xludf.DUMMYFUNCTION("""COMPUTED_VALUE"""),"青草攪拌器冰沙")</f>
        <v>青草攪拌器冰沙</v>
      </c>
      <c r="C75" s="78" t="str">
        <f>IFERROR(__xludf.DUMMYFUNCTION("""COMPUTED_VALUE"""),"leaftornadosmoothie")</f>
        <v>leaftornadosmoothie</v>
      </c>
      <c r="D75" s="78">
        <f>IFERROR(__xludf.DUMMYFUNCTION("""COMPUTED_VALUE"""),48.0)</f>
        <v>48</v>
      </c>
      <c r="E75" s="78" t="str">
        <f>IFERROR(__xludf.DUMMYFUNCTION("""COMPUTED_VALUE"""),"點心、飲料")</f>
        <v>點心、飲料</v>
      </c>
      <c r="F75" s="82">
        <f>IFERROR(__xludf.DUMMYFUNCTION("""COMPUTED_VALUE"""),0.35)</f>
        <v>0.35</v>
      </c>
      <c r="G75" s="83">
        <f>IFERROR(__xludf.DUMMYFUNCTION("""COMPUTED_VALUE"""),6048.0)</f>
        <v>6048</v>
      </c>
      <c r="H75" s="83">
        <f>IFERROR(__xludf.DUMMYFUNCTION("""COMPUTED_VALUE"""),8165.0)</f>
        <v>8165</v>
      </c>
      <c r="I75" s="78" t="str">
        <f>IFERROR(__xludf.DUMMYFUNCTION("""COMPUTED_VALUE"""),"嫩亮酪梨,18,好眠番茄,16,哞哞鮮奶,14")</f>
        <v>嫩亮酪梨,18,好眠番茄,16,哞哞鮮奶,14</v>
      </c>
      <c r="J75" s="78" t="str">
        <f>IFERROR(__xludf.DUMMYFUNCTION("""COMPUTED_VALUE"""),"嫩亮酪梨")</f>
        <v>嫩亮酪梨</v>
      </c>
      <c r="K75" s="78">
        <f>IFERROR(__xludf.DUMMYFUNCTION("""COMPUTED_VALUE"""),18.0)</f>
        <v>18</v>
      </c>
      <c r="L75" s="78" t="str">
        <f>IFERROR(__xludf.DUMMYFUNCTION("""COMPUTED_VALUE"""),"好眠番茄")</f>
        <v>好眠番茄</v>
      </c>
      <c r="M75" s="78">
        <f>IFERROR(__xludf.DUMMYFUNCTION("""COMPUTED_VALUE"""),16.0)</f>
        <v>16</v>
      </c>
      <c r="N75" s="78" t="str">
        <f>IFERROR(__xludf.DUMMYFUNCTION("""COMPUTED_VALUE"""),"哞哞鮮奶")</f>
        <v>哞哞鮮奶</v>
      </c>
      <c r="O75" s="78">
        <f>IFERROR(__xludf.DUMMYFUNCTION("""COMPUTED_VALUE"""),14.0)</f>
        <v>14</v>
      </c>
      <c r="P75" s="78"/>
      <c r="Q75" s="78"/>
      <c r="R75" s="78"/>
      <c r="S75" s="78">
        <f>IFERROR(__xludf.DUMMYFUNCTION("""COMPUTED_VALUE"""),14.0)</f>
        <v>14</v>
      </c>
      <c r="T75" s="78"/>
      <c r="U75" s="78"/>
      <c r="V75" s="78"/>
      <c r="W75" s="78"/>
      <c r="X75" s="78">
        <f>IFERROR(__xludf.DUMMYFUNCTION("""COMPUTED_VALUE"""),16.0)</f>
        <v>16</v>
      </c>
      <c r="Y75" s="78"/>
      <c r="Z75" s="78"/>
      <c r="AA75" s="78"/>
      <c r="AB75" s="78"/>
      <c r="AC75" s="78"/>
      <c r="AD75" s="78"/>
      <c r="AE75" s="78"/>
      <c r="AF75" s="78">
        <f>IFERROR(__xludf.DUMMYFUNCTION("""COMPUTED_VALUE"""),18.0)</f>
        <v>18</v>
      </c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</row>
    <row r="76" ht="39.75" customHeight="1">
      <c r="A76" s="77" t="str">
        <f>IFERROR(__xludf.DUMMYFUNCTION("""COMPUTED_VALUE"""),"")</f>
        <v/>
      </c>
      <c r="B76" s="78" t="str">
        <f>IFERROR(__xludf.DUMMYFUNCTION("""COMPUTED_VALUE"""),"茶會玉米司康")</f>
        <v>茶會玉米司康</v>
      </c>
      <c r="C76" s="78" t="str">
        <f>IFERROR(__xludf.DUMMYFUNCTION("""COMPUTED_VALUE"""),"teatimecornscones")</f>
        <v>teatimecornscones</v>
      </c>
      <c r="D76" s="78">
        <f>IFERROR(__xludf.DUMMYFUNCTION("""COMPUTED_VALUE"""),67.0)</f>
        <v>67</v>
      </c>
      <c r="E76" s="78" t="str">
        <f>IFERROR(__xludf.DUMMYFUNCTION("""COMPUTED_VALUE"""),"點心、飲料")</f>
        <v>點心、飲料</v>
      </c>
      <c r="F76" s="82">
        <f>IFERROR(__xludf.DUMMYFUNCTION("""COMPUTED_VALUE"""),0.48)</f>
        <v>0.48</v>
      </c>
      <c r="G76" s="83">
        <f>IFERROR(__xludf.DUMMYFUNCTION("""COMPUTED_VALUE"""),7382.0)</f>
        <v>7382</v>
      </c>
      <c r="H76" s="83">
        <f>IFERROR(__xludf.DUMMYFUNCTION("""COMPUTED_VALUE"""),10925.0)</f>
        <v>10925</v>
      </c>
      <c r="I76" s="78" t="str">
        <f>IFERROR(__xludf.DUMMYFUNCTION("""COMPUTED_VALUE"""),"特選蘋果,20,暖暖薑,20,萌綠玉米,18,哞哞鮮奶,9")</f>
        <v>特選蘋果,20,暖暖薑,20,萌綠玉米,18,哞哞鮮奶,9</v>
      </c>
      <c r="J76" s="78" t="str">
        <f>IFERROR(__xludf.DUMMYFUNCTION("""COMPUTED_VALUE"""),"特選蘋果")</f>
        <v>特選蘋果</v>
      </c>
      <c r="K76" s="78">
        <f>IFERROR(__xludf.DUMMYFUNCTION("""COMPUTED_VALUE"""),20.0)</f>
        <v>20</v>
      </c>
      <c r="L76" s="78" t="str">
        <f>IFERROR(__xludf.DUMMYFUNCTION("""COMPUTED_VALUE"""),"暖暖薑")</f>
        <v>暖暖薑</v>
      </c>
      <c r="M76" s="78">
        <f>IFERROR(__xludf.DUMMYFUNCTION("""COMPUTED_VALUE"""),20.0)</f>
        <v>20</v>
      </c>
      <c r="N76" s="78" t="str">
        <f>IFERROR(__xludf.DUMMYFUNCTION("""COMPUTED_VALUE"""),"萌綠玉米")</f>
        <v>萌綠玉米</v>
      </c>
      <c r="O76" s="78">
        <f>IFERROR(__xludf.DUMMYFUNCTION("""COMPUTED_VALUE"""),18.0)</f>
        <v>18</v>
      </c>
      <c r="P76" s="78" t="str">
        <f>IFERROR(__xludf.DUMMYFUNCTION("""COMPUTED_VALUE"""),"哞哞鮮奶")</f>
        <v>哞哞鮮奶</v>
      </c>
      <c r="Q76" s="78">
        <f>IFERROR(__xludf.DUMMYFUNCTION("""COMPUTED_VALUE"""),9.0)</f>
        <v>9</v>
      </c>
      <c r="R76" s="78">
        <f>IFERROR(__xludf.DUMMYFUNCTION("""COMPUTED_VALUE"""),20.0)</f>
        <v>20</v>
      </c>
      <c r="S76" s="78">
        <f>IFERROR(__xludf.DUMMYFUNCTION("""COMPUTED_VALUE"""),9.0)</f>
        <v>9</v>
      </c>
      <c r="T76" s="78" t="str">
        <f>IFERROR(__xludf.DUMMYFUNCTION("""COMPUTED_VALUE"""),"")</f>
        <v/>
      </c>
      <c r="U76" s="78" t="str">
        <f>IFERROR(__xludf.DUMMYFUNCTION("""COMPUTED_VALUE"""),"")</f>
        <v/>
      </c>
      <c r="V76" s="78" t="str">
        <f>IFERROR(__xludf.DUMMYFUNCTION("""COMPUTED_VALUE"""),"")</f>
        <v/>
      </c>
      <c r="W76" s="78">
        <f>IFERROR(__xludf.DUMMYFUNCTION("""COMPUTED_VALUE"""),20.0)</f>
        <v>20</v>
      </c>
      <c r="X76" s="78" t="str">
        <f>IFERROR(__xludf.DUMMYFUNCTION("""COMPUTED_VALUE"""),"")</f>
        <v/>
      </c>
      <c r="Y76" s="78" t="str">
        <f>IFERROR(__xludf.DUMMYFUNCTION("""COMPUTED_VALUE"""),"")</f>
        <v/>
      </c>
      <c r="Z76" s="78" t="str">
        <f>IFERROR(__xludf.DUMMYFUNCTION("""COMPUTED_VALUE"""),"")</f>
        <v/>
      </c>
      <c r="AA76" s="78" t="str">
        <f>IFERROR(__xludf.DUMMYFUNCTION("""COMPUTED_VALUE"""),"")</f>
        <v/>
      </c>
      <c r="AB76" s="78" t="str">
        <f>IFERROR(__xludf.DUMMYFUNCTION("""COMPUTED_VALUE"""),"")</f>
        <v/>
      </c>
      <c r="AC76" s="78">
        <f>IFERROR(__xludf.DUMMYFUNCTION("""COMPUTED_VALUE"""),18.0)</f>
        <v>18</v>
      </c>
      <c r="AD76" s="78" t="str">
        <f>IFERROR(__xludf.DUMMYFUNCTION("""COMPUTED_VALUE"""),"")</f>
        <v/>
      </c>
      <c r="AE76" s="78" t="str">
        <f>IFERROR(__xludf.DUMMYFUNCTION("""COMPUTED_VALUE"""),"")</f>
        <v/>
      </c>
      <c r="AF76" s="78" t="str">
        <f>IFERROR(__xludf.DUMMYFUNCTION("""COMPUTED_VALUE"""),"")</f>
        <v/>
      </c>
      <c r="AG76" s="78" t="str">
        <f>IFERROR(__xludf.DUMMYFUNCTION("""COMPUTED_VALUE"""),"")</f>
        <v/>
      </c>
      <c r="AH76" s="78" t="str">
        <f>IFERROR(__xludf.DUMMYFUNCTION("""COMPUTED_VALUE"""),"")</f>
        <v/>
      </c>
      <c r="AI76" s="78" t="str">
        <f>IFERROR(__xludf.DUMMYFUNCTION("""COMPUTED_VALUE"""),"")</f>
        <v/>
      </c>
      <c r="AJ76" s="78" t="str">
        <f>IFERROR(__xludf.DUMMYFUNCTION("""COMPUTED_VALUE"""),"")</f>
        <v/>
      </c>
      <c r="AK76" s="78" t="str">
        <f>IFERROR(__xludf.DUMMYFUNCTION("""COMPUTED_VALUE"""),"")</f>
        <v/>
      </c>
      <c r="AL76" s="78"/>
      <c r="AM76" s="78"/>
      <c r="AN76" s="78"/>
      <c r="AO76" s="78"/>
      <c r="AP76" s="78"/>
      <c r="AQ76" s="78"/>
      <c r="AR76" s="78"/>
      <c r="AS76" s="78"/>
    </row>
    <row r="77" ht="39.75" customHeight="1">
      <c r="A77" s="77" t="str">
        <f>IFERROR(__xludf.DUMMYFUNCTION("""COMPUTED_VALUE"""),"")</f>
        <v/>
      </c>
      <c r="B77" s="78" t="str">
        <f>IFERROR(__xludf.DUMMYFUNCTION("""COMPUTED_VALUE"""),"花之禮馬卡龍")</f>
        <v>花之禮馬卡龍</v>
      </c>
      <c r="C77" s="78" t="str">
        <f>IFERROR(__xludf.DUMMYFUNCTION("""COMPUTED_VALUE"""),"flowergiftmacarons")</f>
        <v>flowergiftmacarons</v>
      </c>
      <c r="D77" s="78">
        <f>IFERROR(__xludf.DUMMYFUNCTION("""COMPUTED_VALUE"""),77.0)</f>
        <v>77</v>
      </c>
      <c r="E77" s="78" t="str">
        <f>IFERROR(__xludf.DUMMYFUNCTION("""COMPUTED_VALUE"""),"點心、飲料")</f>
        <v>點心、飲料</v>
      </c>
      <c r="F77" s="82">
        <f>IFERROR(__xludf.DUMMYFUNCTION("""COMPUTED_VALUE"""),0.48)</f>
        <v>0.48</v>
      </c>
      <c r="G77" s="83">
        <f>IFERROR(__xludf.DUMMYFUNCTION("""COMPUTED_VALUE"""),9347.0)</f>
        <v>9347</v>
      </c>
      <c r="H77" s="83">
        <f>IFERROR(__xludf.DUMMYFUNCTION("""COMPUTED_VALUE"""),13834.0)</f>
        <v>13834</v>
      </c>
      <c r="I77" s="78" t="str">
        <f>IFERROR(__xludf.DUMMYFUNCTION("""COMPUTED_VALUE"""),"放鬆可可,25,特選蛋,25,甜甜蜜,17,哞哞鮮奶,10")</f>
        <v>放鬆可可,25,特選蛋,25,甜甜蜜,17,哞哞鮮奶,10</v>
      </c>
      <c r="J77" s="78" t="str">
        <f>IFERROR(__xludf.DUMMYFUNCTION("""COMPUTED_VALUE"""),"放鬆可可")</f>
        <v>放鬆可可</v>
      </c>
      <c r="K77" s="78">
        <f>IFERROR(__xludf.DUMMYFUNCTION("""COMPUTED_VALUE"""),25.0)</f>
        <v>25</v>
      </c>
      <c r="L77" s="78" t="str">
        <f>IFERROR(__xludf.DUMMYFUNCTION("""COMPUTED_VALUE"""),"特選蛋")</f>
        <v>特選蛋</v>
      </c>
      <c r="M77" s="78">
        <f>IFERROR(__xludf.DUMMYFUNCTION("""COMPUTED_VALUE"""),25.0)</f>
        <v>25</v>
      </c>
      <c r="N77" s="78" t="str">
        <f>IFERROR(__xludf.DUMMYFUNCTION("""COMPUTED_VALUE"""),"甜甜蜜")</f>
        <v>甜甜蜜</v>
      </c>
      <c r="O77" s="78">
        <f>IFERROR(__xludf.DUMMYFUNCTION("""COMPUTED_VALUE"""),17.0)</f>
        <v>17</v>
      </c>
      <c r="P77" s="78" t="str">
        <f>IFERROR(__xludf.DUMMYFUNCTION("""COMPUTED_VALUE"""),"哞哞鮮奶")</f>
        <v>哞哞鮮奶</v>
      </c>
      <c r="Q77" s="78">
        <f>IFERROR(__xludf.DUMMYFUNCTION("""COMPUTED_VALUE"""),10.0)</f>
        <v>10</v>
      </c>
      <c r="R77" s="78" t="str">
        <f>IFERROR(__xludf.DUMMYFUNCTION("""COMPUTED_VALUE"""),"")</f>
        <v/>
      </c>
      <c r="S77" s="78">
        <f>IFERROR(__xludf.DUMMYFUNCTION("""COMPUTED_VALUE"""),10.0)</f>
        <v>10</v>
      </c>
      <c r="T77" s="78" t="str">
        <f>IFERROR(__xludf.DUMMYFUNCTION("""COMPUTED_VALUE"""),"")</f>
        <v/>
      </c>
      <c r="U77" s="78">
        <f>IFERROR(__xludf.DUMMYFUNCTION("""COMPUTED_VALUE"""),17.0)</f>
        <v>17</v>
      </c>
      <c r="V77" s="78" t="str">
        <f>IFERROR(__xludf.DUMMYFUNCTION("""COMPUTED_VALUE"""),"")</f>
        <v/>
      </c>
      <c r="W77" s="78" t="str">
        <f>IFERROR(__xludf.DUMMYFUNCTION("""COMPUTED_VALUE"""),"")</f>
        <v/>
      </c>
      <c r="X77" s="78" t="str">
        <f>IFERROR(__xludf.DUMMYFUNCTION("""COMPUTED_VALUE"""),"")</f>
        <v/>
      </c>
      <c r="Y77" s="78">
        <f>IFERROR(__xludf.DUMMYFUNCTION("""COMPUTED_VALUE"""),25.0)</f>
        <v>25</v>
      </c>
      <c r="Z77" s="78" t="str">
        <f>IFERROR(__xludf.DUMMYFUNCTION("""COMPUTED_VALUE"""),"")</f>
        <v/>
      </c>
      <c r="AA77" s="78" t="str">
        <f>IFERROR(__xludf.DUMMYFUNCTION("""COMPUTED_VALUE"""),"")</f>
        <v/>
      </c>
      <c r="AB77" s="78" t="str">
        <f>IFERROR(__xludf.DUMMYFUNCTION("""COMPUTED_VALUE"""),"")</f>
        <v/>
      </c>
      <c r="AC77" s="78" t="str">
        <f>IFERROR(__xludf.DUMMYFUNCTION("""COMPUTED_VALUE"""),"")</f>
        <v/>
      </c>
      <c r="AD77" s="78">
        <f>IFERROR(__xludf.DUMMYFUNCTION("""COMPUTED_VALUE"""),25.0)</f>
        <v>25</v>
      </c>
      <c r="AE77" s="78" t="str">
        <f>IFERROR(__xludf.DUMMYFUNCTION("""COMPUTED_VALUE"""),"")</f>
        <v/>
      </c>
      <c r="AF77" s="78" t="str">
        <f>IFERROR(__xludf.DUMMYFUNCTION("""COMPUTED_VALUE"""),"")</f>
        <v/>
      </c>
      <c r="AG77" s="78" t="str">
        <f>IFERROR(__xludf.DUMMYFUNCTION("""COMPUTED_VALUE"""),"")</f>
        <v/>
      </c>
      <c r="AH77" s="78" t="str">
        <f>IFERROR(__xludf.DUMMYFUNCTION("""COMPUTED_VALUE"""),"")</f>
        <v/>
      </c>
      <c r="AI77" s="78" t="str">
        <f>IFERROR(__xludf.DUMMYFUNCTION("""COMPUTED_VALUE"""),"")</f>
        <v/>
      </c>
      <c r="AJ77" s="78" t="str">
        <f>IFERROR(__xludf.DUMMYFUNCTION("""COMPUTED_VALUE"""),"")</f>
        <v/>
      </c>
      <c r="AK77" s="78" t="str">
        <f>IFERROR(__xludf.DUMMYFUNCTION("""COMPUTED_VALUE"""),"")</f>
        <v/>
      </c>
      <c r="AL77" s="78"/>
      <c r="AM77" s="78"/>
      <c r="AN77" s="78"/>
      <c r="AO77" s="78"/>
      <c r="AP77" s="78"/>
      <c r="AQ77" s="78"/>
      <c r="AR77" s="78"/>
      <c r="AS77" s="78"/>
    </row>
    <row r="78" ht="39.75" customHeight="1">
      <c r="A78" s="77" t="str">
        <f>IFERROR(__xludf.DUMMYFUNCTION("""COMPUTED_VALUE"""),"")</f>
        <v/>
      </c>
      <c r="B78" s="78" t="str">
        <f>IFERROR(__xludf.DUMMYFUNCTION("""COMPUTED_VALUE"""),"電光香料可樂")</f>
        <v>電光香料可樂</v>
      </c>
      <c r="C78" s="78" t="str">
        <f>IFERROR(__xludf.DUMMYFUNCTION("""COMPUTED_VALUE"""),"zingzapspicedcola")</f>
        <v>zingzapspicedcola</v>
      </c>
      <c r="D78" s="78">
        <f>IFERROR(__xludf.DUMMYFUNCTION("""COMPUTED_VALUE"""),87.0)</f>
        <v>87</v>
      </c>
      <c r="E78" s="78" t="str">
        <f>IFERROR(__xludf.DUMMYFUNCTION("""COMPUTED_VALUE"""),"點心、飲料")</f>
        <v>點心、飲料</v>
      </c>
      <c r="F78" s="82">
        <f>IFERROR(__xludf.DUMMYFUNCTION("""COMPUTED_VALUE"""),0.61)</f>
        <v>0.61</v>
      </c>
      <c r="G78" s="83">
        <f>IFERROR(__xludf.DUMMYFUNCTION("""COMPUTED_VALUE"""),10866.0)</f>
        <v>10866</v>
      </c>
      <c r="H78" s="83">
        <f>IFERROR(__xludf.DUMMYFUNCTION("""COMPUTED_VALUE"""),17494.0)</f>
        <v>17494</v>
      </c>
      <c r="I78" s="78" t="str">
        <f>IFERROR(__xludf.DUMMYFUNCTION("""COMPUTED_VALUE"""),"特選蘋果,35,暖暖薑,20,粗枝大蔥,20,醒腦咖啡豆,12")</f>
        <v>特選蘋果,35,暖暖薑,20,粗枝大蔥,20,醒腦咖啡豆,12</v>
      </c>
      <c r="J78" s="78" t="str">
        <f>IFERROR(__xludf.DUMMYFUNCTION("""COMPUTED_VALUE"""),"特選蘋果")</f>
        <v>特選蘋果</v>
      </c>
      <c r="K78" s="78">
        <f>IFERROR(__xludf.DUMMYFUNCTION("""COMPUTED_VALUE"""),35.0)</f>
        <v>35</v>
      </c>
      <c r="L78" s="78" t="str">
        <f>IFERROR(__xludf.DUMMYFUNCTION("""COMPUTED_VALUE"""),"暖暖薑")</f>
        <v>暖暖薑</v>
      </c>
      <c r="M78" s="78">
        <f>IFERROR(__xludf.DUMMYFUNCTION("""COMPUTED_VALUE"""),20.0)</f>
        <v>20</v>
      </c>
      <c r="N78" s="78" t="str">
        <f>IFERROR(__xludf.DUMMYFUNCTION("""COMPUTED_VALUE"""),"粗枝大蔥")</f>
        <v>粗枝大蔥</v>
      </c>
      <c r="O78" s="78">
        <f>IFERROR(__xludf.DUMMYFUNCTION("""COMPUTED_VALUE"""),20.0)</f>
        <v>20</v>
      </c>
      <c r="P78" s="78" t="str">
        <f>IFERROR(__xludf.DUMMYFUNCTION("""COMPUTED_VALUE"""),"醒腦咖啡豆")</f>
        <v>醒腦咖啡豆</v>
      </c>
      <c r="Q78" s="78">
        <f>IFERROR(__xludf.DUMMYFUNCTION("""COMPUTED_VALUE"""),12.0)</f>
        <v>12</v>
      </c>
      <c r="R78" s="78">
        <f>IFERROR(__xludf.DUMMYFUNCTION("""COMPUTED_VALUE"""),35.0)</f>
        <v>35</v>
      </c>
      <c r="S78" s="78" t="str">
        <f>IFERROR(__xludf.DUMMYFUNCTION("""COMPUTED_VALUE"""),"")</f>
        <v/>
      </c>
      <c r="T78" s="78" t="str">
        <f>IFERROR(__xludf.DUMMYFUNCTION("""COMPUTED_VALUE"""),"")</f>
        <v/>
      </c>
      <c r="U78" s="78" t="str">
        <f>IFERROR(__xludf.DUMMYFUNCTION("""COMPUTED_VALUE"""),"")</f>
        <v/>
      </c>
      <c r="V78" s="78" t="str">
        <f>IFERROR(__xludf.DUMMYFUNCTION("""COMPUTED_VALUE"""),"")</f>
        <v/>
      </c>
      <c r="W78" s="78">
        <f>IFERROR(__xludf.DUMMYFUNCTION("""COMPUTED_VALUE"""),20.0)</f>
        <v>20</v>
      </c>
      <c r="X78" s="78" t="str">
        <f>IFERROR(__xludf.DUMMYFUNCTION("""COMPUTED_VALUE"""),"")</f>
        <v/>
      </c>
      <c r="Y78" s="78" t="str">
        <f>IFERROR(__xludf.DUMMYFUNCTION("""COMPUTED_VALUE"""),"")</f>
        <v/>
      </c>
      <c r="Z78" s="78" t="str">
        <f>IFERROR(__xludf.DUMMYFUNCTION("""COMPUTED_VALUE"""),"")</f>
        <v/>
      </c>
      <c r="AA78" s="78" t="str">
        <f>IFERROR(__xludf.DUMMYFUNCTION("""COMPUTED_VALUE"""),"")</f>
        <v/>
      </c>
      <c r="AB78" s="78" t="str">
        <f>IFERROR(__xludf.DUMMYFUNCTION("""COMPUTED_VALUE"""),"")</f>
        <v/>
      </c>
      <c r="AC78" s="78" t="str">
        <f>IFERROR(__xludf.DUMMYFUNCTION("""COMPUTED_VALUE"""),"")</f>
        <v/>
      </c>
      <c r="AD78" s="78" t="str">
        <f>IFERROR(__xludf.DUMMYFUNCTION("""COMPUTED_VALUE"""),"")</f>
        <v/>
      </c>
      <c r="AE78" s="78">
        <f>IFERROR(__xludf.DUMMYFUNCTION("""COMPUTED_VALUE"""),12.0)</f>
        <v>12</v>
      </c>
      <c r="AF78" s="78" t="str">
        <f>IFERROR(__xludf.DUMMYFUNCTION("""COMPUTED_VALUE"""),"")</f>
        <v/>
      </c>
      <c r="AG78" s="78" t="str">
        <f>IFERROR(__xludf.DUMMYFUNCTION("""COMPUTED_VALUE"""),"")</f>
        <v/>
      </c>
      <c r="AH78" s="78">
        <f>IFERROR(__xludf.DUMMYFUNCTION("""COMPUTED_VALUE"""),20.0)</f>
        <v>20</v>
      </c>
      <c r="AI78" s="78" t="str">
        <f>IFERROR(__xludf.DUMMYFUNCTION("""COMPUTED_VALUE"""),"")</f>
        <v/>
      </c>
      <c r="AJ78" s="78" t="str">
        <f>IFERROR(__xludf.DUMMYFUNCTION("""COMPUTED_VALUE"""),"")</f>
        <v/>
      </c>
      <c r="AK78" s="78" t="str">
        <f>IFERROR(__xludf.DUMMYFUNCTION("""COMPUTED_VALUE"""),"")</f>
        <v/>
      </c>
      <c r="AL78" s="78"/>
      <c r="AM78" s="78"/>
      <c r="AN78" s="78"/>
      <c r="AO78" s="78"/>
      <c r="AP78" s="78"/>
      <c r="AQ78" s="78"/>
      <c r="AR78" s="78"/>
      <c r="AS78" s="78"/>
    </row>
    <row r="79" ht="39.75" customHeight="1">
      <c r="A79" s="77" t="str">
        <f>IFERROR(__xludf.DUMMYFUNCTION("""COMPUTED_VALUE"""),"")</f>
        <v/>
      </c>
      <c r="B79" s="78" t="str">
        <f>IFERROR(__xludf.DUMMYFUNCTION("""COMPUTED_VALUE"""),"土王閃電泡芙")</f>
        <v>土王閃電泡芙</v>
      </c>
      <c r="C79" s="78" t="str">
        <f>IFERROR(__xludf.DUMMYFUNCTION("""COMPUTED_VALUE"""),"clodsireeclair")</f>
        <v>clodsireeclair</v>
      </c>
      <c r="D79" s="78">
        <f>IFERROR(__xludf.DUMMYFUNCTION("""COMPUTED_VALUE"""),102.0)</f>
        <v>102</v>
      </c>
      <c r="E79" s="78" t="str">
        <f>IFERROR(__xludf.DUMMYFUNCTION("""COMPUTED_VALUE"""),"點心、飲料")</f>
        <v>點心、飲料</v>
      </c>
      <c r="F79" s="82">
        <f>IFERROR(__xludf.DUMMYFUNCTION("""COMPUTED_VALUE"""),0.61)</f>
        <v>0.61</v>
      </c>
      <c r="G79" s="83">
        <f>IFERROR(__xludf.DUMMYFUNCTION("""COMPUTED_VALUE"""),12972.0)</f>
        <v>12972</v>
      </c>
      <c r="H79" s="83">
        <f>IFERROR(__xludf.DUMMYFUNCTION("""COMPUTED_VALUE"""),20885.0)</f>
        <v>20885</v>
      </c>
      <c r="I79" s="78" t="str">
        <f>IFERROR(__xludf.DUMMYFUNCTION("""COMPUTED_VALUE"""),"放鬆可可,30,哞哞鮮奶,26,醒腦咖啡豆,24,甜甜蜜,22")</f>
        <v>放鬆可可,30,哞哞鮮奶,26,醒腦咖啡豆,24,甜甜蜜,22</v>
      </c>
      <c r="J79" s="78" t="str">
        <f>IFERROR(__xludf.DUMMYFUNCTION("""COMPUTED_VALUE"""),"放鬆可可")</f>
        <v>放鬆可可</v>
      </c>
      <c r="K79" s="78">
        <f>IFERROR(__xludf.DUMMYFUNCTION("""COMPUTED_VALUE"""),30.0)</f>
        <v>30</v>
      </c>
      <c r="L79" s="78" t="str">
        <f>IFERROR(__xludf.DUMMYFUNCTION("""COMPUTED_VALUE"""),"哞哞鮮奶")</f>
        <v>哞哞鮮奶</v>
      </c>
      <c r="M79" s="78">
        <f>IFERROR(__xludf.DUMMYFUNCTION("""COMPUTED_VALUE"""),26.0)</f>
        <v>26</v>
      </c>
      <c r="N79" s="78" t="str">
        <f>IFERROR(__xludf.DUMMYFUNCTION("""COMPUTED_VALUE"""),"醒腦咖啡豆")</f>
        <v>醒腦咖啡豆</v>
      </c>
      <c r="O79" s="78">
        <f>IFERROR(__xludf.DUMMYFUNCTION("""COMPUTED_VALUE"""),24.0)</f>
        <v>24</v>
      </c>
      <c r="P79" s="78" t="str">
        <f>IFERROR(__xludf.DUMMYFUNCTION("""COMPUTED_VALUE"""),"甜甜蜜")</f>
        <v>甜甜蜜</v>
      </c>
      <c r="Q79" s="78">
        <f>IFERROR(__xludf.DUMMYFUNCTION("""COMPUTED_VALUE"""),22.0)</f>
        <v>22</v>
      </c>
      <c r="R79" s="78" t="str">
        <f>IFERROR(__xludf.DUMMYFUNCTION("""COMPUTED_VALUE"""),"")</f>
        <v/>
      </c>
      <c r="S79" s="78">
        <f>IFERROR(__xludf.DUMMYFUNCTION("""COMPUTED_VALUE"""),26.0)</f>
        <v>26</v>
      </c>
      <c r="T79" s="78" t="str">
        <f>IFERROR(__xludf.DUMMYFUNCTION("""COMPUTED_VALUE"""),"")</f>
        <v/>
      </c>
      <c r="U79" s="78">
        <f>IFERROR(__xludf.DUMMYFUNCTION("""COMPUTED_VALUE"""),22.0)</f>
        <v>22</v>
      </c>
      <c r="V79" s="78" t="str">
        <f>IFERROR(__xludf.DUMMYFUNCTION("""COMPUTED_VALUE"""),"")</f>
        <v/>
      </c>
      <c r="W79" s="78" t="str">
        <f>IFERROR(__xludf.DUMMYFUNCTION("""COMPUTED_VALUE"""),"")</f>
        <v/>
      </c>
      <c r="X79" s="78" t="str">
        <f>IFERROR(__xludf.DUMMYFUNCTION("""COMPUTED_VALUE"""),"")</f>
        <v/>
      </c>
      <c r="Y79" s="78" t="str">
        <f>IFERROR(__xludf.DUMMYFUNCTION("""COMPUTED_VALUE"""),"")</f>
        <v/>
      </c>
      <c r="Z79" s="78" t="str">
        <f>IFERROR(__xludf.DUMMYFUNCTION("""COMPUTED_VALUE"""),"")</f>
        <v/>
      </c>
      <c r="AA79" s="78" t="str">
        <f>IFERROR(__xludf.DUMMYFUNCTION("""COMPUTED_VALUE"""),"")</f>
        <v/>
      </c>
      <c r="AB79" s="78" t="str">
        <f>IFERROR(__xludf.DUMMYFUNCTION("""COMPUTED_VALUE"""),"")</f>
        <v/>
      </c>
      <c r="AC79" s="78" t="str">
        <f>IFERROR(__xludf.DUMMYFUNCTION("""COMPUTED_VALUE"""),"")</f>
        <v/>
      </c>
      <c r="AD79" s="78">
        <f>IFERROR(__xludf.DUMMYFUNCTION("""COMPUTED_VALUE"""),30.0)</f>
        <v>30</v>
      </c>
      <c r="AE79" s="78">
        <f>IFERROR(__xludf.DUMMYFUNCTION("""COMPUTED_VALUE"""),24.0)</f>
        <v>24</v>
      </c>
      <c r="AF79" s="78" t="str">
        <f>IFERROR(__xludf.DUMMYFUNCTION("""COMPUTED_VALUE"""),"")</f>
        <v/>
      </c>
      <c r="AG79" s="78" t="str">
        <f>IFERROR(__xludf.DUMMYFUNCTION("""COMPUTED_VALUE"""),"")</f>
        <v/>
      </c>
      <c r="AH79" s="78" t="str">
        <f>IFERROR(__xludf.DUMMYFUNCTION("""COMPUTED_VALUE"""),"")</f>
        <v/>
      </c>
      <c r="AI79" s="78" t="str">
        <f>IFERROR(__xludf.DUMMYFUNCTION("""COMPUTED_VALUE"""),"")</f>
        <v/>
      </c>
      <c r="AJ79" s="78" t="str">
        <f>IFERROR(__xludf.DUMMYFUNCTION("""COMPUTED_VALUE"""),"")</f>
        <v/>
      </c>
      <c r="AK79" s="78" t="str">
        <f>IFERROR(__xludf.DUMMYFUNCTION("""COMPUTED_VALUE"""),"")</f>
        <v/>
      </c>
      <c r="AL79" s="78"/>
      <c r="AM79" s="78"/>
      <c r="AN79" s="78"/>
      <c r="AO79" s="78"/>
      <c r="AP79" s="78"/>
      <c r="AQ79" s="78"/>
      <c r="AR79" s="78"/>
      <c r="AS79" s="78"/>
    </row>
    <row r="80" ht="39.75" customHeight="1">
      <c r="A80" s="77" t="str">
        <f>IFERROR(__xludf.DUMMYFUNCTION("""COMPUTED_VALUE"""),"")</f>
        <v/>
      </c>
      <c r="B80" s="78" t="str">
        <f>IFERROR(__xludf.DUMMYFUNCTION("""COMPUTED_VALUE"""),"心跳加速鬼面鬆餅")</f>
        <v>心跳加速鬼面鬆餅</v>
      </c>
      <c r="C80" s="78" t="str">
        <f>IFERROR(__xludf.DUMMYFUNCTION("""COMPUTED_VALUE"""),"scaryfacepancakes")</f>
        <v>scaryfacepancakes</v>
      </c>
      <c r="D80" s="78">
        <f>IFERROR(__xludf.DUMMYFUNCTION("""COMPUTED_VALUE"""),103.0)</f>
        <v>103</v>
      </c>
      <c r="E80" s="78" t="str">
        <f>IFERROR(__xludf.DUMMYFUNCTION("""COMPUTED_VALUE"""),"點心、飲料")</f>
        <v>點心、飲料</v>
      </c>
      <c r="F80" s="82">
        <f>IFERROR(__xludf.DUMMYFUNCTION("""COMPUTED_VALUE"""),0.78)</f>
        <v>0.78</v>
      </c>
      <c r="G80" s="83">
        <f>IFERROR(__xludf.DUMMYFUNCTION("""COMPUTED_VALUE"""),13682.0)</f>
        <v>13682</v>
      </c>
      <c r="H80" s="83">
        <f>IFERROR(__xludf.DUMMYFUNCTION("""COMPUTED_VALUE"""),24354.0)</f>
        <v>24354</v>
      </c>
      <c r="I80" s="78" t="str">
        <f>IFERROR(__xludf.DUMMYFUNCTION("""COMPUTED_VALUE"""),"沉甸甸南瓜,18,特選蛋,24,甜甜蜜,32,好眠番茄,29")</f>
        <v>沉甸甸南瓜,18,特選蛋,24,甜甜蜜,32,好眠番茄,29</v>
      </c>
      <c r="J80" s="78" t="str">
        <f>IFERROR(__xludf.DUMMYFUNCTION("""COMPUTED_VALUE"""),"沉甸甸南瓜")</f>
        <v>沉甸甸南瓜</v>
      </c>
      <c r="K80" s="78">
        <f>IFERROR(__xludf.DUMMYFUNCTION("""COMPUTED_VALUE"""),18.0)</f>
        <v>18</v>
      </c>
      <c r="L80" s="78" t="str">
        <f>IFERROR(__xludf.DUMMYFUNCTION("""COMPUTED_VALUE"""),"特選蛋")</f>
        <v>特選蛋</v>
      </c>
      <c r="M80" s="78">
        <f>IFERROR(__xludf.DUMMYFUNCTION("""COMPUTED_VALUE"""),24.0)</f>
        <v>24</v>
      </c>
      <c r="N80" s="78" t="str">
        <f>IFERROR(__xludf.DUMMYFUNCTION("""COMPUTED_VALUE"""),"甜甜蜜")</f>
        <v>甜甜蜜</v>
      </c>
      <c r="O80" s="78">
        <f>IFERROR(__xludf.DUMMYFUNCTION("""COMPUTED_VALUE"""),32.0)</f>
        <v>32</v>
      </c>
      <c r="P80" s="78" t="str">
        <f>IFERROR(__xludf.DUMMYFUNCTION("""COMPUTED_VALUE"""),"好眠番茄")</f>
        <v>好眠番茄</v>
      </c>
      <c r="Q80" s="78">
        <f>IFERROR(__xludf.DUMMYFUNCTION("""COMPUTED_VALUE"""),29.0)</f>
        <v>29</v>
      </c>
      <c r="R80" s="78"/>
      <c r="S80" s="78"/>
      <c r="T80" s="78"/>
      <c r="U80" s="78">
        <f>IFERROR(__xludf.DUMMYFUNCTION("""COMPUTED_VALUE"""),32.0)</f>
        <v>32</v>
      </c>
      <c r="V80" s="78"/>
      <c r="W80" s="78"/>
      <c r="X80" s="78">
        <f>IFERROR(__xludf.DUMMYFUNCTION("""COMPUTED_VALUE"""),29.0)</f>
        <v>29</v>
      </c>
      <c r="Y80" s="78">
        <f>IFERROR(__xludf.DUMMYFUNCTION("""COMPUTED_VALUE"""),24.0)</f>
        <v>24</v>
      </c>
      <c r="Z80" s="78"/>
      <c r="AA80" s="78"/>
      <c r="AB80" s="78"/>
      <c r="AC80" s="78"/>
      <c r="AD80" s="78"/>
      <c r="AE80" s="78"/>
      <c r="AF80" s="78"/>
      <c r="AG80" s="78"/>
      <c r="AH80" s="78"/>
      <c r="AI80" s="78">
        <f>IFERROR(__xludf.DUMMYFUNCTION("""COMPUTED_VALUE"""),18.0)</f>
        <v>18</v>
      </c>
      <c r="AJ80" s="78"/>
      <c r="AK80" s="78"/>
      <c r="AL80" s="78"/>
      <c r="AM80" s="78"/>
      <c r="AN80" s="78"/>
      <c r="AO80" s="78"/>
      <c r="AP80" s="78"/>
      <c r="AQ80" s="78"/>
      <c r="AR80" s="78"/>
      <c r="AS80" s="78"/>
    </row>
    <row r="81" ht="39.75" customHeight="1">
      <c r="A81" s="77" t="str">
        <f>IFERROR(__xludf.DUMMYFUNCTION("""COMPUTED_VALUE"""),"")</f>
        <v/>
      </c>
      <c r="B81" s="78" t="str">
        <f>IFERROR(__xludf.DUMMYFUNCTION("""COMPUTED_VALUE"""),"採蜜巧克力格子鬆餅")</f>
        <v>採蜜巧克力格子鬆餅</v>
      </c>
      <c r="C81" s="78" t="str">
        <f>IFERROR(__xludf.DUMMYFUNCTION("""COMPUTED_VALUE"""),"honeygatherchocolatewaffles")</f>
        <v>honeygatherchocolatewaffles</v>
      </c>
      <c r="D81" s="78">
        <f>IFERROR(__xludf.DUMMYFUNCTION("""COMPUTED_VALUE"""),115.0)</f>
        <v>115</v>
      </c>
      <c r="E81" s="78" t="str">
        <f>IFERROR(__xludf.DUMMYFUNCTION("""COMPUTED_VALUE"""),"點心、飲料")</f>
        <v>點心、飲料</v>
      </c>
      <c r="F81" s="82">
        <f>IFERROR(__xludf.DUMMYFUNCTION("""COMPUTED_VALUE"""),0.78)</f>
        <v>0.78</v>
      </c>
      <c r="G81" s="83">
        <f>IFERROR(__xludf.DUMMYFUNCTION("""COMPUTED_VALUE"""),14317.0)</f>
        <v>14317</v>
      </c>
      <c r="H81" s="83">
        <f>IFERROR(__xludf.DUMMYFUNCTION("""COMPUTED_VALUE"""),25484.0)</f>
        <v>25484</v>
      </c>
      <c r="I81" s="78" t="str">
        <f>IFERROR(__xludf.DUMMYFUNCTION("""COMPUTED_VALUE"""),"甜甜蜜,38,萌綠玉米,28,純粹油,28,放鬆可可,21")</f>
        <v>甜甜蜜,38,萌綠玉米,28,純粹油,28,放鬆可可,21</v>
      </c>
      <c r="J81" s="78" t="str">
        <f>IFERROR(__xludf.DUMMYFUNCTION("""COMPUTED_VALUE"""),"甜甜蜜")</f>
        <v>甜甜蜜</v>
      </c>
      <c r="K81" s="78">
        <f>IFERROR(__xludf.DUMMYFUNCTION("""COMPUTED_VALUE"""),38.0)</f>
        <v>38</v>
      </c>
      <c r="L81" s="78" t="str">
        <f>IFERROR(__xludf.DUMMYFUNCTION("""COMPUTED_VALUE"""),"萌綠玉米")</f>
        <v>萌綠玉米</v>
      </c>
      <c r="M81" s="78">
        <f>IFERROR(__xludf.DUMMYFUNCTION("""COMPUTED_VALUE"""),28.0)</f>
        <v>28</v>
      </c>
      <c r="N81" s="78" t="str">
        <f>IFERROR(__xludf.DUMMYFUNCTION("""COMPUTED_VALUE"""),"純粹油")</f>
        <v>純粹油</v>
      </c>
      <c r="O81" s="78">
        <f>IFERROR(__xludf.DUMMYFUNCTION("""COMPUTED_VALUE"""),28.0)</f>
        <v>28</v>
      </c>
      <c r="P81" s="78" t="str">
        <f>IFERROR(__xludf.DUMMYFUNCTION("""COMPUTED_VALUE"""),"放鬆可可")</f>
        <v>放鬆可可</v>
      </c>
      <c r="Q81" s="78">
        <f>IFERROR(__xludf.DUMMYFUNCTION("""COMPUTED_VALUE"""),21.0)</f>
        <v>21</v>
      </c>
      <c r="R81" s="78"/>
      <c r="S81" s="78"/>
      <c r="T81" s="78"/>
      <c r="U81" s="78">
        <f>IFERROR(__xludf.DUMMYFUNCTION("""COMPUTED_VALUE"""),38.0)</f>
        <v>38</v>
      </c>
      <c r="V81" s="78"/>
      <c r="W81" s="78"/>
      <c r="X81" s="78"/>
      <c r="Y81" s="78"/>
      <c r="Z81" s="78">
        <f>IFERROR(__xludf.DUMMYFUNCTION("""COMPUTED_VALUE"""),28.0)</f>
        <v>28</v>
      </c>
      <c r="AA81" s="78"/>
      <c r="AB81" s="78"/>
      <c r="AC81" s="78">
        <f>IFERROR(__xludf.DUMMYFUNCTION("""COMPUTED_VALUE"""),28.0)</f>
        <v>28</v>
      </c>
      <c r="AD81" s="78">
        <f>IFERROR(__xludf.DUMMYFUNCTION("""COMPUTED_VALUE"""),21.0)</f>
        <v>21</v>
      </c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</row>
    <row r="82" ht="39.75" customHeight="1">
      <c r="A82" s="77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</row>
    <row r="83" ht="39.75" customHeight="1">
      <c r="A83" s="77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</row>
    <row r="84" ht="39.75" customHeight="1">
      <c r="A84" s="77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</row>
    <row r="85" ht="39.75" customHeight="1">
      <c r="A85" s="77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</row>
    <row r="86" ht="39.75" customHeight="1">
      <c r="A86" s="77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</row>
    <row r="87" ht="39.75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</row>
    <row r="88" ht="39.75" customHeight="1">
      <c r="A88" s="77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</row>
    <row r="89" ht="39.75" customHeight="1">
      <c r="A89" s="77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</row>
    <row r="90" ht="39.75" customHeight="1">
      <c r="A90" s="77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</row>
    <row r="91" ht="39.75" customHeight="1">
      <c r="A91" s="77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</row>
    <row r="92" ht="39.75" customHeight="1">
      <c r="A92" s="77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</row>
    <row r="93" ht="39.75" customHeight="1">
      <c r="A93" s="77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</row>
    <row r="94" ht="39.75" customHeight="1">
      <c r="A94" s="77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</row>
    <row r="95" ht="39.75" customHeight="1">
      <c r="A95" s="77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</row>
    <row r="96" ht="39.75" customHeight="1">
      <c r="A96" s="77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</row>
    <row r="97" ht="39.75" customHeight="1">
      <c r="A97" s="77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</row>
    <row r="98" ht="39.75" customHeight="1">
      <c r="A98" s="77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</row>
    <row r="99" ht="39.75" customHeight="1">
      <c r="A99" s="77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</row>
    <row r="100" ht="39.75" customHeight="1">
      <c r="A100" s="77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</row>
    <row r="101">
      <c r="A101" s="77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</row>
    <row r="102">
      <c r="A102" s="77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</row>
    <row r="103">
      <c r="A103" s="77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</row>
    <row r="104">
      <c r="A104" s="77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</row>
    <row r="105">
      <c r="A105" s="77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</row>
    <row r="106">
      <c r="A106" s="77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</row>
    <row r="107">
      <c r="A107" s="77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</row>
    <row r="108">
      <c r="A108" s="77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</row>
    <row r="109">
      <c r="A109" s="77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</row>
    <row r="110">
      <c r="A110" s="77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</row>
    <row r="111">
      <c r="A111" s="77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</row>
    <row r="112">
      <c r="A112" s="77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</row>
    <row r="113">
      <c r="A113" s="77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</row>
    <row r="114">
      <c r="A114" s="77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</row>
    <row r="115">
      <c r="A115" s="77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</row>
    <row r="116">
      <c r="A116" s="77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</row>
    <row r="117">
      <c r="A117" s="77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</row>
    <row r="118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</row>
    <row r="119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</row>
    <row r="120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</row>
    <row r="12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</row>
    <row r="122">
      <c r="A122" s="77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</row>
    <row r="123">
      <c r="A123" s="77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</row>
    <row r="124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</row>
    <row r="125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</row>
    <row r="126">
      <c r="A126" s="77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</row>
    <row r="127">
      <c r="A127" s="77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</row>
    <row r="128">
      <c r="A128" s="77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</row>
    <row r="129">
      <c r="A129" s="77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</row>
    <row r="130">
      <c r="A130" s="77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</row>
    <row r="131">
      <c r="A131" s="77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</row>
    <row r="132">
      <c r="A132" s="77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</row>
    <row r="133">
      <c r="A133" s="77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</row>
    <row r="134">
      <c r="A134" s="77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</row>
    <row r="135">
      <c r="A135" s="77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</row>
    <row r="136">
      <c r="A136" s="77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</row>
    <row r="137">
      <c r="A137" s="77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</row>
    <row r="138">
      <c r="A138" s="77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</row>
    <row r="139">
      <c r="A139" s="77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</row>
    <row r="140">
      <c r="A140" s="77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</row>
    <row r="141">
      <c r="A141" s="77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</row>
    <row r="142">
      <c r="A142" s="77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</row>
    <row r="143">
      <c r="A143" s="77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</row>
    <row r="144">
      <c r="A144" s="77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</row>
    <row r="145">
      <c r="A145" s="77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</row>
    <row r="146">
      <c r="A146" s="77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</row>
    <row r="147">
      <c r="A147" s="77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</row>
    <row r="148">
      <c r="A148" s="77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</row>
    <row r="149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</row>
    <row r="150">
      <c r="A150" s="77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</row>
    <row r="151">
      <c r="A151" s="77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</row>
    <row r="152">
      <c r="A152" s="77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</row>
    <row r="153">
      <c r="A153" s="77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</row>
    <row r="154">
      <c r="A154" s="77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</row>
    <row r="155">
      <c r="A155" s="77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</row>
    <row r="156">
      <c r="A156" s="77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</row>
    <row r="157">
      <c r="A157" s="77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</row>
    <row r="158">
      <c r="A158" s="77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</row>
    <row r="159">
      <c r="A159" s="77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</row>
    <row r="160">
      <c r="A160" s="77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</row>
    <row r="161">
      <c r="A161" s="77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</row>
    <row r="162">
      <c r="A162" s="77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</row>
    <row r="163">
      <c r="A163" s="77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</row>
    <row r="164">
      <c r="A164" s="77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</row>
    <row r="165">
      <c r="A165" s="77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</row>
    <row r="166">
      <c r="A166" s="77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</row>
    <row r="167">
      <c r="A167" s="77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</row>
    <row r="168">
      <c r="A168" s="77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</row>
    <row r="169">
      <c r="A169" s="77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</row>
    <row r="170">
      <c r="A170" s="77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</row>
    <row r="171">
      <c r="A171" s="77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</row>
    <row r="172">
      <c r="A172" s="77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</row>
    <row r="173">
      <c r="A173" s="77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</row>
    <row r="174">
      <c r="A174" s="77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</row>
    <row r="175">
      <c r="A175" s="77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</row>
    <row r="176">
      <c r="A176" s="77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</row>
    <row r="177">
      <c r="A177" s="77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</row>
    <row r="178">
      <c r="A178" s="77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</row>
    <row r="179">
      <c r="A179" s="77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</row>
    <row r="180">
      <c r="A180" s="77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</row>
    <row r="181">
      <c r="A181" s="77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</row>
    <row r="182">
      <c r="A182" s="77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</row>
    <row r="183">
      <c r="A183" s="77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</row>
    <row r="184">
      <c r="A184" s="77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</row>
    <row r="185">
      <c r="A185" s="77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</row>
    <row r="186">
      <c r="A186" s="77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</row>
    <row r="187">
      <c r="A187" s="77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</row>
    <row r="188">
      <c r="A188" s="77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</row>
    <row r="189">
      <c r="A189" s="77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</row>
    <row r="190">
      <c r="A190" s="77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</row>
    <row r="191">
      <c r="A191" s="77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</row>
    <row r="192">
      <c r="A192" s="77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</row>
    <row r="193">
      <c r="A193" s="77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</row>
    <row r="194">
      <c r="A194" s="77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</row>
    <row r="195">
      <c r="A195" s="77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</row>
    <row r="196">
      <c r="A196" s="77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</row>
    <row r="197">
      <c r="A197" s="77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</row>
    <row r="198">
      <c r="A198" s="77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</row>
    <row r="199">
      <c r="A199" s="77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</row>
    <row r="200">
      <c r="A200" s="77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</row>
    <row r="201">
      <c r="A201" s="77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</row>
    <row r="202">
      <c r="A202" s="77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</row>
    <row r="203">
      <c r="A203" s="77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</row>
    <row r="204">
      <c r="A204" s="77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</row>
    <row r="205">
      <c r="A205" s="77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</row>
    <row r="206">
      <c r="A206" s="77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</row>
    <row r="207">
      <c r="A207" s="77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</row>
    <row r="208">
      <c r="A208" s="77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</row>
    <row r="209">
      <c r="A209" s="77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</row>
    <row r="210">
      <c r="A210" s="77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</row>
    <row r="21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</row>
    <row r="212">
      <c r="A212" s="77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</row>
    <row r="213">
      <c r="A213" s="77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</row>
    <row r="214">
      <c r="A214" s="77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</row>
    <row r="215">
      <c r="A215" s="77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</row>
    <row r="216">
      <c r="A216" s="77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</row>
    <row r="217">
      <c r="A217" s="77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</row>
    <row r="218">
      <c r="A218" s="77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</row>
    <row r="219">
      <c r="A219" s="77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</row>
    <row r="220">
      <c r="A220" s="77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</row>
    <row r="221">
      <c r="A221" s="77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</row>
    <row r="222">
      <c r="A222" s="77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</row>
    <row r="223">
      <c r="A223" s="77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</row>
    <row r="224">
      <c r="A224" s="77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</row>
    <row r="225">
      <c r="A225" s="77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</row>
    <row r="226">
      <c r="A226" s="77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</row>
    <row r="227">
      <c r="A227" s="77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</row>
    <row r="228">
      <c r="A228" s="77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</row>
    <row r="229">
      <c r="A229" s="77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</row>
    <row r="230">
      <c r="A230" s="77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</row>
    <row r="231">
      <c r="A231" s="77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</row>
    <row r="232">
      <c r="A232" s="77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</row>
    <row r="233">
      <c r="A233" s="77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</row>
    <row r="234">
      <c r="A234" s="77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</row>
    <row r="235">
      <c r="A235" s="77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</row>
    <row r="236">
      <c r="A236" s="77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</row>
    <row r="237">
      <c r="A237" s="77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</row>
    <row r="238">
      <c r="A238" s="77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</row>
    <row r="239">
      <c r="A239" s="77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</row>
    <row r="240">
      <c r="A240" s="77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</row>
    <row r="241">
      <c r="A241" s="77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</row>
    <row r="242">
      <c r="A242" s="77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</row>
    <row r="243">
      <c r="A243" s="77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</row>
    <row r="244">
      <c r="A244" s="77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</row>
    <row r="245">
      <c r="A245" s="77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</row>
    <row r="246">
      <c r="A246" s="77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</row>
    <row r="247">
      <c r="A247" s="77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</row>
    <row r="248">
      <c r="A248" s="77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</row>
    <row r="249">
      <c r="A249" s="77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</row>
    <row r="250">
      <c r="A250" s="77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</row>
    <row r="251">
      <c r="A251" s="77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</row>
    <row r="252">
      <c r="A252" s="77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</row>
    <row r="253">
      <c r="A253" s="77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</row>
    <row r="254">
      <c r="A254" s="77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</row>
    <row r="255">
      <c r="A255" s="77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</row>
    <row r="256">
      <c r="A256" s="77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</row>
    <row r="257">
      <c r="A257" s="77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</row>
    <row r="258">
      <c r="A258" s="77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</row>
    <row r="259">
      <c r="A259" s="77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</row>
    <row r="260">
      <c r="A260" s="77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</row>
    <row r="261">
      <c r="A261" s="77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</row>
    <row r="262">
      <c r="A262" s="77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</row>
    <row r="263">
      <c r="A263" s="77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</row>
    <row r="264">
      <c r="A264" s="77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</row>
    <row r="265">
      <c r="A265" s="77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</row>
    <row r="266">
      <c r="A266" s="77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</row>
    <row r="267">
      <c r="A267" s="77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</row>
    <row r="268">
      <c r="A268" s="77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</row>
    <row r="269">
      <c r="A269" s="77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</row>
    <row r="270">
      <c r="A270" s="77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</row>
    <row r="271">
      <c r="A271" s="77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</row>
    <row r="272">
      <c r="A272" s="77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</row>
    <row r="273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</row>
    <row r="274">
      <c r="A274" s="77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</row>
    <row r="275">
      <c r="A275" s="77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</row>
    <row r="276">
      <c r="A276" s="77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</row>
    <row r="277">
      <c r="A277" s="77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</row>
    <row r="278">
      <c r="A278" s="77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</row>
    <row r="279">
      <c r="A279" s="77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</row>
    <row r="280">
      <c r="A280" s="77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</row>
    <row r="281">
      <c r="A281" s="77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</row>
    <row r="282">
      <c r="A282" s="77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</row>
    <row r="283">
      <c r="A283" s="77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</row>
    <row r="284">
      <c r="A284" s="77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</row>
    <row r="285">
      <c r="A285" s="77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</row>
    <row r="286">
      <c r="A286" s="77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</row>
    <row r="287">
      <c r="A287" s="77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</row>
    <row r="288">
      <c r="A288" s="77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</row>
    <row r="289">
      <c r="A289" s="77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</row>
    <row r="290">
      <c r="A290" s="77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</row>
    <row r="291">
      <c r="A291" s="77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</row>
    <row r="292">
      <c r="A292" s="77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</row>
    <row r="293">
      <c r="A293" s="77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</row>
    <row r="294">
      <c r="A294" s="77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</row>
    <row r="295">
      <c r="A295" s="77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</row>
    <row r="296">
      <c r="A296" s="77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</row>
    <row r="297">
      <c r="A297" s="77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</row>
    <row r="298">
      <c r="A298" s="77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</row>
    <row r="299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</row>
    <row r="300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</row>
    <row r="301">
      <c r="A301" s="77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</row>
    <row r="302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</row>
    <row r="303">
      <c r="A303" s="77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</row>
    <row r="304">
      <c r="A304" s="77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</row>
    <row r="305">
      <c r="A305" s="77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</row>
    <row r="306">
      <c r="A306" s="77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</row>
    <row r="307">
      <c r="A307" s="77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</row>
    <row r="308">
      <c r="A308" s="77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</row>
    <row r="309">
      <c r="A309" s="77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</row>
    <row r="310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</row>
    <row r="311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</row>
    <row r="312">
      <c r="A312" s="77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</row>
    <row r="313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</row>
    <row r="314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</row>
    <row r="315">
      <c r="A315" s="77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</row>
    <row r="316">
      <c r="A316" s="77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</row>
    <row r="317">
      <c r="A317" s="77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</row>
    <row r="318">
      <c r="A318" s="77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</row>
    <row r="319">
      <c r="A319" s="77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</row>
    <row r="320">
      <c r="A320" s="77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</row>
    <row r="321">
      <c r="A321" s="77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</row>
    <row r="322">
      <c r="A322" s="77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</row>
    <row r="323">
      <c r="A323" s="77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</row>
    <row r="324">
      <c r="A324" s="77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</row>
    <row r="325">
      <c r="A325" s="77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</row>
    <row r="326">
      <c r="A326" s="77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</row>
    <row r="327">
      <c r="A327" s="77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</row>
    <row r="328">
      <c r="A328" s="77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</row>
    <row r="329">
      <c r="A329" s="77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</row>
    <row r="330">
      <c r="A330" s="77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</row>
    <row r="331">
      <c r="A331" s="77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</row>
    <row r="332">
      <c r="A332" s="77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</row>
    <row r="333">
      <c r="A333" s="77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</row>
    <row r="334">
      <c r="A334" s="77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</row>
    <row r="335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</row>
    <row r="336">
      <c r="A336" s="77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</row>
    <row r="337">
      <c r="A337" s="77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</row>
    <row r="338">
      <c r="A338" s="77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</row>
    <row r="339">
      <c r="A339" s="77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</row>
    <row r="340">
      <c r="A340" s="77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</row>
    <row r="341">
      <c r="A341" s="77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</row>
    <row r="342">
      <c r="A342" s="77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</row>
    <row r="343">
      <c r="A343" s="77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</row>
    <row r="344">
      <c r="A344" s="77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</row>
    <row r="345">
      <c r="A345" s="77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</row>
    <row r="346">
      <c r="A346" s="77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</row>
    <row r="347">
      <c r="A347" s="77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</row>
    <row r="348">
      <c r="A348" s="77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</row>
    <row r="349">
      <c r="A349" s="77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</row>
    <row r="350">
      <c r="A350" s="77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</row>
    <row r="351">
      <c r="A351" s="77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</row>
    <row r="352">
      <c r="A352" s="77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</row>
    <row r="353">
      <c r="A353" s="77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</row>
    <row r="354">
      <c r="A354" s="77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</row>
    <row r="355">
      <c r="A355" s="77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</row>
    <row r="356">
      <c r="A356" s="77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</row>
    <row r="357">
      <c r="A357" s="77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</row>
    <row r="358">
      <c r="A358" s="77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</row>
    <row r="359">
      <c r="A359" s="77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</row>
    <row r="360">
      <c r="A360" s="77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</row>
    <row r="361">
      <c r="A361" s="77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</row>
    <row r="362">
      <c r="A362" s="77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</row>
    <row r="363">
      <c r="A363" s="77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</row>
    <row r="364">
      <c r="A364" s="77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</row>
    <row r="365">
      <c r="A365" s="77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</row>
    <row r="366">
      <c r="A366" s="77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</row>
    <row r="367">
      <c r="A367" s="77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</row>
    <row r="368">
      <c r="A368" s="77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</row>
    <row r="369">
      <c r="A369" s="77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</row>
    <row r="370">
      <c r="A370" s="77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</row>
    <row r="371">
      <c r="A371" s="77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</row>
    <row r="372">
      <c r="A372" s="77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</row>
    <row r="373">
      <c r="A373" s="77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</row>
    <row r="374">
      <c r="A374" s="77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</row>
    <row r="375">
      <c r="A375" s="77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</row>
    <row r="376">
      <c r="A376" s="77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</row>
    <row r="377">
      <c r="A377" s="77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</row>
    <row r="378">
      <c r="A378" s="77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</row>
    <row r="379">
      <c r="A379" s="77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</row>
    <row r="380">
      <c r="A380" s="77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</row>
    <row r="381">
      <c r="A381" s="77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</row>
    <row r="382">
      <c r="A382" s="77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</row>
    <row r="383">
      <c r="A383" s="77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</row>
    <row r="384">
      <c r="A384" s="77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</row>
    <row r="385">
      <c r="A385" s="77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</row>
    <row r="386">
      <c r="A386" s="77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</row>
    <row r="387">
      <c r="A387" s="77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</row>
    <row r="388">
      <c r="A388" s="77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</row>
    <row r="389">
      <c r="A389" s="77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</row>
    <row r="390">
      <c r="A390" s="77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</row>
    <row r="391">
      <c r="A391" s="77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</row>
    <row r="392">
      <c r="A392" s="77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</row>
    <row r="393">
      <c r="A393" s="77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</row>
    <row r="394">
      <c r="A394" s="77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</row>
    <row r="395">
      <c r="A395" s="77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</row>
    <row r="396">
      <c r="A396" s="77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</row>
    <row r="397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</row>
    <row r="398">
      <c r="A398" s="77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</row>
    <row r="399">
      <c r="A399" s="77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</row>
    <row r="400">
      <c r="A400" s="77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</row>
    <row r="401">
      <c r="A401" s="77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</row>
    <row r="402">
      <c r="A402" s="77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</row>
    <row r="403">
      <c r="A403" s="77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</row>
    <row r="404">
      <c r="A404" s="77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</row>
    <row r="405">
      <c r="A405" s="77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</row>
    <row r="406">
      <c r="A406" s="77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</row>
    <row r="407">
      <c r="A407" s="77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</row>
    <row r="408">
      <c r="A408" s="77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</row>
    <row r="409">
      <c r="A409" s="77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</row>
    <row r="410">
      <c r="A410" s="77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</row>
    <row r="411">
      <c r="A411" s="77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</row>
    <row r="412">
      <c r="A412" s="77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</row>
    <row r="413">
      <c r="A413" s="77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</row>
    <row r="414">
      <c r="A414" s="77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</row>
    <row r="415">
      <c r="A415" s="77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</row>
    <row r="416">
      <c r="A416" s="77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</row>
    <row r="417">
      <c r="A417" s="77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</row>
    <row r="418">
      <c r="A418" s="77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</row>
    <row r="419">
      <c r="A419" s="77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</row>
    <row r="420">
      <c r="A420" s="77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</row>
    <row r="421">
      <c r="A421" s="77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</row>
    <row r="422">
      <c r="A422" s="77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</row>
    <row r="423">
      <c r="A423" s="77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</row>
    <row r="424">
      <c r="A424" s="77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</row>
    <row r="425">
      <c r="A425" s="77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</row>
    <row r="426">
      <c r="A426" s="77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</row>
    <row r="427">
      <c r="A427" s="77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</row>
    <row r="428">
      <c r="A428" s="77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</row>
    <row r="429">
      <c r="A429" s="77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</row>
    <row r="430">
      <c r="A430" s="77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</row>
    <row r="431">
      <c r="A431" s="77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</row>
    <row r="432">
      <c r="A432" s="77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</row>
    <row r="433">
      <c r="A433" s="77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</row>
    <row r="434">
      <c r="A434" s="77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</row>
    <row r="435">
      <c r="A435" s="77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</row>
    <row r="436">
      <c r="A436" s="77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</row>
    <row r="437">
      <c r="A437" s="77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</row>
    <row r="438">
      <c r="A438" s="77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</row>
    <row r="439">
      <c r="A439" s="77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</row>
    <row r="440">
      <c r="A440" s="77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</row>
    <row r="441">
      <c r="A441" s="77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</row>
    <row r="442">
      <c r="A442" s="77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</row>
    <row r="443">
      <c r="A443" s="77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</row>
    <row r="444">
      <c r="A444" s="77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</row>
    <row r="445">
      <c r="A445" s="77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</row>
    <row r="446">
      <c r="A446" s="77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</row>
    <row r="447">
      <c r="A447" s="77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</row>
    <row r="448">
      <c r="A448" s="77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</row>
    <row r="449">
      <c r="A449" s="77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</row>
    <row r="450">
      <c r="A450" s="77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</row>
    <row r="451">
      <c r="A451" s="77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</row>
    <row r="452">
      <c r="A452" s="77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</row>
    <row r="453">
      <c r="A453" s="77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</row>
    <row r="454">
      <c r="A454" s="77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</row>
    <row r="455">
      <c r="A455" s="77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</row>
    <row r="456">
      <c r="A456" s="77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</row>
    <row r="457">
      <c r="A457" s="77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</row>
    <row r="458">
      <c r="A458" s="77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</row>
    <row r="459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</row>
    <row r="460">
      <c r="A460" s="77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</row>
    <row r="461">
      <c r="A461" s="77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</row>
    <row r="462">
      <c r="A462" s="77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</row>
    <row r="463">
      <c r="A463" s="77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</row>
    <row r="464">
      <c r="A464" s="77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</row>
    <row r="465">
      <c r="A465" s="77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</row>
    <row r="466">
      <c r="A466" s="77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</row>
    <row r="467">
      <c r="A467" s="77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</row>
    <row r="468">
      <c r="A468" s="77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</row>
    <row r="469">
      <c r="A469" s="77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</row>
    <row r="470">
      <c r="A470" s="77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</row>
    <row r="471">
      <c r="A471" s="77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</row>
    <row r="472">
      <c r="A472" s="77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</row>
    <row r="473">
      <c r="A473" s="77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</row>
    <row r="474">
      <c r="A474" s="77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</row>
    <row r="475">
      <c r="A475" s="77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</row>
    <row r="476">
      <c r="A476" s="77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</row>
    <row r="477">
      <c r="A477" s="77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</row>
    <row r="478">
      <c r="A478" s="77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</row>
    <row r="479">
      <c r="A479" s="77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</row>
    <row r="480">
      <c r="A480" s="77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</row>
    <row r="481">
      <c r="A481" s="77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</row>
    <row r="482">
      <c r="A482" s="77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</row>
    <row r="483">
      <c r="A483" s="77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</row>
    <row r="484">
      <c r="A484" s="77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</row>
    <row r="485">
      <c r="A485" s="77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</row>
    <row r="486">
      <c r="A486" s="77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</row>
    <row r="487">
      <c r="A487" s="77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</row>
    <row r="488">
      <c r="A488" s="77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</row>
    <row r="489">
      <c r="A489" s="77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</row>
    <row r="490">
      <c r="A490" s="77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</row>
    <row r="491">
      <c r="A491" s="77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</row>
    <row r="492">
      <c r="A492" s="77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</row>
    <row r="493">
      <c r="A493" s="77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</row>
    <row r="494">
      <c r="A494" s="77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</row>
    <row r="495">
      <c r="A495" s="77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</row>
    <row r="496">
      <c r="A496" s="77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</row>
    <row r="497">
      <c r="A497" s="77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</row>
    <row r="498">
      <c r="A498" s="77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</row>
    <row r="499">
      <c r="A499" s="77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</row>
    <row r="500">
      <c r="A500" s="77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</row>
    <row r="501">
      <c r="A501" s="77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</row>
    <row r="502">
      <c r="A502" s="77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</row>
    <row r="503">
      <c r="A503" s="77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</row>
    <row r="504">
      <c r="A504" s="77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</row>
    <row r="505">
      <c r="A505" s="77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</row>
    <row r="506">
      <c r="A506" s="77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</row>
    <row r="507">
      <c r="A507" s="77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</row>
    <row r="508">
      <c r="A508" s="77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</row>
    <row r="509">
      <c r="A509" s="77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</row>
    <row r="510">
      <c r="A510" s="77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</row>
    <row r="511">
      <c r="A511" s="77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</row>
    <row r="512">
      <c r="A512" s="77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</row>
    <row r="513">
      <c r="A513" s="77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</row>
    <row r="514">
      <c r="A514" s="77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</row>
    <row r="515">
      <c r="A515" s="77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</row>
    <row r="516">
      <c r="A516" s="77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</row>
    <row r="517">
      <c r="A517" s="77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</row>
    <row r="518">
      <c r="A518" s="77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</row>
    <row r="519">
      <c r="A519" s="77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</row>
    <row r="520">
      <c r="A520" s="77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</row>
    <row r="521">
      <c r="A521" s="77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</row>
    <row r="522">
      <c r="A522" s="77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</row>
    <row r="523">
      <c r="A523" s="77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</row>
    <row r="524">
      <c r="A524" s="77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</row>
    <row r="525">
      <c r="A525" s="77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</row>
    <row r="526">
      <c r="A526" s="77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</row>
    <row r="527">
      <c r="A527" s="77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</row>
    <row r="528">
      <c r="A528" s="77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</row>
    <row r="529">
      <c r="A529" s="77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</row>
    <row r="530">
      <c r="A530" s="77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</row>
    <row r="531">
      <c r="A531" s="77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</row>
    <row r="532">
      <c r="A532" s="77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</row>
    <row r="533">
      <c r="A533" s="77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</row>
    <row r="534">
      <c r="A534" s="77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</row>
    <row r="535">
      <c r="A535" s="77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</row>
    <row r="536">
      <c r="A536" s="77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</row>
    <row r="537">
      <c r="A537" s="77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</row>
    <row r="538">
      <c r="A538" s="77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</row>
    <row r="539">
      <c r="A539" s="77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</row>
    <row r="540">
      <c r="A540" s="77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</row>
    <row r="541">
      <c r="A541" s="77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</row>
    <row r="542">
      <c r="A542" s="77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</row>
    <row r="543">
      <c r="A543" s="77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</row>
    <row r="544">
      <c r="A544" s="77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</row>
    <row r="545">
      <c r="A545" s="77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</row>
    <row r="546">
      <c r="A546" s="77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</row>
    <row r="547">
      <c r="A547" s="77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</row>
    <row r="548">
      <c r="A548" s="77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</row>
    <row r="549">
      <c r="A549" s="77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</row>
    <row r="550">
      <c r="A550" s="77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</row>
    <row r="551">
      <c r="A551" s="77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</row>
    <row r="552">
      <c r="A552" s="77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</row>
    <row r="553">
      <c r="A553" s="77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</row>
    <row r="554">
      <c r="A554" s="77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</row>
    <row r="555">
      <c r="A555" s="77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</row>
    <row r="556">
      <c r="A556" s="77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</row>
    <row r="557">
      <c r="A557" s="77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</row>
    <row r="558">
      <c r="A558" s="77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</row>
    <row r="559">
      <c r="A559" s="77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</row>
    <row r="560">
      <c r="A560" s="77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</row>
    <row r="561">
      <c r="A561" s="77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</row>
    <row r="562">
      <c r="A562" s="77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</row>
    <row r="563">
      <c r="A563" s="77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</row>
    <row r="564">
      <c r="A564" s="77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</row>
    <row r="565">
      <c r="A565" s="77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</row>
    <row r="566">
      <c r="A566" s="77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</row>
    <row r="567">
      <c r="A567" s="77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</row>
    <row r="568">
      <c r="A568" s="77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</row>
    <row r="569">
      <c r="A569" s="77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</row>
    <row r="570">
      <c r="A570" s="77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</row>
    <row r="571">
      <c r="A571" s="77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</row>
    <row r="572">
      <c r="A572" s="77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</row>
    <row r="573">
      <c r="A573" s="77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</row>
    <row r="574">
      <c r="A574" s="77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</row>
    <row r="575">
      <c r="A575" s="77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</row>
    <row r="576">
      <c r="A576" s="77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</row>
    <row r="577">
      <c r="A577" s="77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</row>
    <row r="578">
      <c r="A578" s="77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</row>
    <row r="579">
      <c r="A579" s="77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</row>
    <row r="580">
      <c r="A580" s="77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</row>
    <row r="581">
      <c r="A581" s="77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</row>
    <row r="582">
      <c r="A582" s="77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</row>
    <row r="583">
      <c r="A583" s="77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</row>
    <row r="584">
      <c r="A584" s="77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</row>
    <row r="585">
      <c r="A585" s="77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</row>
    <row r="586">
      <c r="A586" s="77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</row>
    <row r="587">
      <c r="A587" s="77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</row>
    <row r="588">
      <c r="A588" s="77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</row>
    <row r="589">
      <c r="A589" s="77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</row>
    <row r="590">
      <c r="A590" s="77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</row>
    <row r="591">
      <c r="A591" s="77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</row>
    <row r="592">
      <c r="A592" s="77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</row>
    <row r="593">
      <c r="A593" s="77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</row>
    <row r="594">
      <c r="A594" s="77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</row>
    <row r="595">
      <c r="A595" s="77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</row>
    <row r="596">
      <c r="A596" s="77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</row>
    <row r="597">
      <c r="A597" s="77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</row>
    <row r="598">
      <c r="A598" s="77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</row>
    <row r="599">
      <c r="A599" s="77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</row>
    <row r="600">
      <c r="A600" s="77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</row>
    <row r="601">
      <c r="A601" s="77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</row>
    <row r="602">
      <c r="A602" s="77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</row>
    <row r="603">
      <c r="A603" s="77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</row>
    <row r="604">
      <c r="A604" s="77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</row>
    <row r="605">
      <c r="A605" s="77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</row>
    <row r="606">
      <c r="A606" s="77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</row>
    <row r="607">
      <c r="A607" s="77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</row>
    <row r="608">
      <c r="A608" s="77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</row>
    <row r="609">
      <c r="A609" s="77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</row>
    <row r="610">
      <c r="A610" s="77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</row>
    <row r="611">
      <c r="A611" s="77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</row>
    <row r="612">
      <c r="A612" s="77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</row>
    <row r="613">
      <c r="A613" s="77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</row>
    <row r="614">
      <c r="A614" s="77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</row>
    <row r="615">
      <c r="A615" s="77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</row>
    <row r="616">
      <c r="A616" s="77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</row>
    <row r="617">
      <c r="A617" s="77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</row>
    <row r="618">
      <c r="A618" s="77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</row>
    <row r="619">
      <c r="A619" s="77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</row>
    <row r="620">
      <c r="A620" s="77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</row>
    <row r="621">
      <c r="A621" s="77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</row>
    <row r="622">
      <c r="A622" s="77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</row>
    <row r="623">
      <c r="A623" s="77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</row>
    <row r="624">
      <c r="A624" s="77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</row>
    <row r="625">
      <c r="A625" s="77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</row>
    <row r="626">
      <c r="A626" s="77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</row>
    <row r="627">
      <c r="A627" s="77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</row>
    <row r="628">
      <c r="A628" s="77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</row>
    <row r="629">
      <c r="A629" s="77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</row>
    <row r="630">
      <c r="A630" s="77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</row>
    <row r="631">
      <c r="A631" s="77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</row>
    <row r="632">
      <c r="A632" s="77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</row>
    <row r="633">
      <c r="A633" s="77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</row>
    <row r="634">
      <c r="A634" s="77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</row>
    <row r="635">
      <c r="A635" s="77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</row>
    <row r="636">
      <c r="A636" s="77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</row>
    <row r="637">
      <c r="A637" s="77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</row>
    <row r="638">
      <c r="A638" s="77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</row>
    <row r="639">
      <c r="A639" s="77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</row>
    <row r="640">
      <c r="A640" s="77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</row>
    <row r="641">
      <c r="A641" s="77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</row>
    <row r="642">
      <c r="A642" s="77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</row>
    <row r="643">
      <c r="A643" s="77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</row>
    <row r="644">
      <c r="A644" s="77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</row>
    <row r="645">
      <c r="A645" s="77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</row>
    <row r="646">
      <c r="A646" s="77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</row>
    <row r="647">
      <c r="A647" s="77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</row>
    <row r="648">
      <c r="A648" s="77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</row>
    <row r="649">
      <c r="A649" s="77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</row>
    <row r="650">
      <c r="A650" s="77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</row>
    <row r="651">
      <c r="A651" s="77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</row>
    <row r="652">
      <c r="A652" s="77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</row>
    <row r="653">
      <c r="A653" s="77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</row>
    <row r="654">
      <c r="A654" s="77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</row>
    <row r="655">
      <c r="A655" s="77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</row>
    <row r="656">
      <c r="A656" s="77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</row>
    <row r="657">
      <c r="A657" s="77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</row>
    <row r="658">
      <c r="A658" s="77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</row>
    <row r="659">
      <c r="A659" s="77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</row>
    <row r="660">
      <c r="A660" s="77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</row>
    <row r="661">
      <c r="A661" s="77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</row>
    <row r="662">
      <c r="A662" s="77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</row>
    <row r="663">
      <c r="A663" s="77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</row>
    <row r="664">
      <c r="A664" s="77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</row>
    <row r="665">
      <c r="A665" s="77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</row>
    <row r="666">
      <c r="A666" s="77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</row>
    <row r="667">
      <c r="A667" s="77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</row>
    <row r="668">
      <c r="A668" s="77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</row>
    <row r="669">
      <c r="A669" s="77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</row>
    <row r="670">
      <c r="A670" s="77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</row>
    <row r="671">
      <c r="A671" s="77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</row>
    <row r="672">
      <c r="A672" s="77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</row>
    <row r="673">
      <c r="A673" s="77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</row>
    <row r="674">
      <c r="A674" s="77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</row>
    <row r="675">
      <c r="A675" s="77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</row>
    <row r="676">
      <c r="A676" s="77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</row>
    <row r="677">
      <c r="A677" s="77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</row>
    <row r="678">
      <c r="A678" s="77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</row>
    <row r="679">
      <c r="A679" s="77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</row>
    <row r="680">
      <c r="A680" s="77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</row>
    <row r="681">
      <c r="A681" s="77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</row>
    <row r="682">
      <c r="A682" s="77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</row>
    <row r="683">
      <c r="A683" s="77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</row>
    <row r="684">
      <c r="A684" s="77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</row>
    <row r="685">
      <c r="A685" s="77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</row>
    <row r="686">
      <c r="A686" s="77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</row>
    <row r="687">
      <c r="A687" s="77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</row>
    <row r="688">
      <c r="A688" s="77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</row>
    <row r="689">
      <c r="A689" s="77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</row>
    <row r="690">
      <c r="A690" s="77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</row>
    <row r="691">
      <c r="A691" s="77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</row>
    <row r="692">
      <c r="A692" s="77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</row>
    <row r="693">
      <c r="A693" s="77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</row>
    <row r="694">
      <c r="A694" s="77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</row>
    <row r="695">
      <c r="A695" s="77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</row>
    <row r="696">
      <c r="A696" s="77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</row>
    <row r="697">
      <c r="A697" s="77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</row>
    <row r="698">
      <c r="A698" s="77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</row>
    <row r="699">
      <c r="A699" s="77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</row>
    <row r="700">
      <c r="A700" s="77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</row>
    <row r="701">
      <c r="A701" s="77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</row>
    <row r="702">
      <c r="A702" s="77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</row>
    <row r="703">
      <c r="A703" s="77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</row>
    <row r="704">
      <c r="A704" s="77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</row>
    <row r="705">
      <c r="A705" s="77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</row>
    <row r="706">
      <c r="A706" s="77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</row>
    <row r="707">
      <c r="A707" s="77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</row>
    <row r="708">
      <c r="A708" s="77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</row>
    <row r="709">
      <c r="A709" s="77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</row>
    <row r="710">
      <c r="A710" s="77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</row>
    <row r="711">
      <c r="A711" s="77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</row>
    <row r="712">
      <c r="A712" s="77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</row>
    <row r="713">
      <c r="A713" s="77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</row>
    <row r="714">
      <c r="A714" s="77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</row>
    <row r="715">
      <c r="A715" s="77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</row>
    <row r="716">
      <c r="A716" s="77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</row>
    <row r="717">
      <c r="A717" s="77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</row>
    <row r="718">
      <c r="A718" s="77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</row>
    <row r="719">
      <c r="A719" s="77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</row>
    <row r="720">
      <c r="A720" s="77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</row>
    <row r="721">
      <c r="A721" s="77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</row>
    <row r="722">
      <c r="A722" s="77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</row>
    <row r="723">
      <c r="A723" s="77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</row>
    <row r="724">
      <c r="A724" s="77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</row>
    <row r="725">
      <c r="A725" s="77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</row>
    <row r="726">
      <c r="A726" s="77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</row>
    <row r="727">
      <c r="A727" s="77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</row>
    <row r="728">
      <c r="A728" s="77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</row>
    <row r="729">
      <c r="A729" s="77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</row>
    <row r="730">
      <c r="A730" s="77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</row>
    <row r="731">
      <c r="A731" s="77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</row>
    <row r="732">
      <c r="A732" s="77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</row>
    <row r="733">
      <c r="A733" s="77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</row>
    <row r="734">
      <c r="A734" s="77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</row>
    <row r="735">
      <c r="A735" s="77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</row>
    <row r="736">
      <c r="A736" s="77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</row>
    <row r="737">
      <c r="A737" s="77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</row>
    <row r="738">
      <c r="A738" s="77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</row>
    <row r="739">
      <c r="A739" s="77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</row>
    <row r="740">
      <c r="A740" s="77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</row>
    <row r="741">
      <c r="A741" s="77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</row>
    <row r="742">
      <c r="A742" s="77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</row>
    <row r="743">
      <c r="A743" s="77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</row>
    <row r="744">
      <c r="A744" s="77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</row>
    <row r="745">
      <c r="A745" s="77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</row>
    <row r="746">
      <c r="A746" s="77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</row>
    <row r="747">
      <c r="A747" s="77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</row>
    <row r="748">
      <c r="A748" s="77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</row>
    <row r="749">
      <c r="A749" s="77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</row>
    <row r="750">
      <c r="A750" s="77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</row>
    <row r="751">
      <c r="A751" s="77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</row>
    <row r="752">
      <c r="A752" s="77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</row>
    <row r="753">
      <c r="A753" s="77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</row>
    <row r="754">
      <c r="A754" s="77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</row>
    <row r="755">
      <c r="A755" s="77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</row>
    <row r="756">
      <c r="A756" s="77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</row>
    <row r="757">
      <c r="A757" s="77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</row>
    <row r="758">
      <c r="A758" s="77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</row>
    <row r="759">
      <c r="A759" s="77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</row>
    <row r="760">
      <c r="A760" s="77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</row>
    <row r="761">
      <c r="A761" s="77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</row>
    <row r="762">
      <c r="A762" s="77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</row>
    <row r="763">
      <c r="A763" s="77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</row>
    <row r="764">
      <c r="A764" s="77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</row>
    <row r="765">
      <c r="A765" s="77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</row>
    <row r="766">
      <c r="A766" s="77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</row>
    <row r="767">
      <c r="A767" s="77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</row>
    <row r="768">
      <c r="A768" s="77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</row>
    <row r="769">
      <c r="A769" s="77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</row>
    <row r="770">
      <c r="A770" s="77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</row>
    <row r="771">
      <c r="A771" s="77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</row>
    <row r="772">
      <c r="A772" s="77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</row>
    <row r="773">
      <c r="A773" s="77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</row>
    <row r="774">
      <c r="A774" s="77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</row>
    <row r="775">
      <c r="A775" s="77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</row>
    <row r="776">
      <c r="A776" s="77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</row>
    <row r="777">
      <c r="A777" s="77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</row>
    <row r="778">
      <c r="A778" s="77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</row>
    <row r="779">
      <c r="A779" s="77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</row>
    <row r="780">
      <c r="A780" s="77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</row>
    <row r="781">
      <c r="A781" s="77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</row>
    <row r="782">
      <c r="A782" s="77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</row>
    <row r="783">
      <c r="A783" s="77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</row>
    <row r="784">
      <c r="A784" s="77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</row>
    <row r="785">
      <c r="A785" s="77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</row>
    <row r="786">
      <c r="A786" s="77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</row>
    <row r="787">
      <c r="A787" s="77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</row>
    <row r="788">
      <c r="A788" s="77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</row>
    <row r="789">
      <c r="A789" s="77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</row>
    <row r="790">
      <c r="A790" s="77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</row>
    <row r="791">
      <c r="A791" s="77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</row>
    <row r="792">
      <c r="A792" s="77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</row>
    <row r="793">
      <c r="A793" s="77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</row>
    <row r="794">
      <c r="A794" s="77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</row>
    <row r="795">
      <c r="A795" s="77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</row>
    <row r="796">
      <c r="A796" s="77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</row>
    <row r="797">
      <c r="A797" s="77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</row>
    <row r="798">
      <c r="A798" s="77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</row>
    <row r="799">
      <c r="A799" s="77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</row>
    <row r="800">
      <c r="A800" s="77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</row>
    <row r="801">
      <c r="A801" s="77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</row>
    <row r="802">
      <c r="A802" s="77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</row>
    <row r="803">
      <c r="A803" s="77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</row>
    <row r="804">
      <c r="A804" s="77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</row>
    <row r="805">
      <c r="A805" s="77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</row>
    <row r="806">
      <c r="A806" s="77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</row>
    <row r="807">
      <c r="A807" s="77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</row>
    <row r="808">
      <c r="A808" s="77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</row>
    <row r="809">
      <c r="A809" s="77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</row>
    <row r="810">
      <c r="A810" s="77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</row>
    <row r="811">
      <c r="A811" s="77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</row>
    <row r="812">
      <c r="A812" s="77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</row>
    <row r="813">
      <c r="A813" s="77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</row>
    <row r="814">
      <c r="A814" s="77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</row>
    <row r="815">
      <c r="A815" s="77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</row>
    <row r="816">
      <c r="A816" s="77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</row>
    <row r="817">
      <c r="A817" s="77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</row>
    <row r="818">
      <c r="A818" s="77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</row>
    <row r="819">
      <c r="A819" s="77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</row>
    <row r="820">
      <c r="A820" s="77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</row>
    <row r="821">
      <c r="A821" s="77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</row>
    <row r="822">
      <c r="A822" s="77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</row>
    <row r="823">
      <c r="A823" s="77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</row>
    <row r="824">
      <c r="A824" s="77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</row>
    <row r="825">
      <c r="A825" s="77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</row>
    <row r="826">
      <c r="A826" s="77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</row>
    <row r="827">
      <c r="A827" s="77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</row>
    <row r="828">
      <c r="A828" s="77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</row>
    <row r="829">
      <c r="A829" s="77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</row>
    <row r="830">
      <c r="A830" s="77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</row>
    <row r="831">
      <c r="A831" s="77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</row>
    <row r="832">
      <c r="A832" s="77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</row>
    <row r="833">
      <c r="A833" s="77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</row>
    <row r="834">
      <c r="A834" s="77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</row>
    <row r="835">
      <c r="A835" s="77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</row>
    <row r="836">
      <c r="A836" s="77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</row>
    <row r="837">
      <c r="A837" s="77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</row>
    <row r="838">
      <c r="A838" s="77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</row>
    <row r="839">
      <c r="A839" s="77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</row>
    <row r="840">
      <c r="A840" s="77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</row>
    <row r="841">
      <c r="A841" s="77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</row>
    <row r="842">
      <c r="A842" s="77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</row>
    <row r="843">
      <c r="A843" s="77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</row>
    <row r="844">
      <c r="A844" s="77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</row>
    <row r="845">
      <c r="A845" s="77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</row>
    <row r="846">
      <c r="A846" s="77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</row>
    <row r="847">
      <c r="A847" s="77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</row>
    <row r="848">
      <c r="A848" s="77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</row>
    <row r="849">
      <c r="A849" s="77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</row>
    <row r="850">
      <c r="A850" s="77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</row>
    <row r="851">
      <c r="A851" s="77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</row>
    <row r="852">
      <c r="A852" s="77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</row>
    <row r="853">
      <c r="A853" s="77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</row>
    <row r="854">
      <c r="A854" s="77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</row>
    <row r="855">
      <c r="A855" s="77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</row>
    <row r="856">
      <c r="A856" s="77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</row>
    <row r="857">
      <c r="A857" s="77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</row>
    <row r="858">
      <c r="A858" s="77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</row>
    <row r="859">
      <c r="A859" s="77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</row>
    <row r="860">
      <c r="A860" s="77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</row>
    <row r="861">
      <c r="A861" s="77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</row>
    <row r="862">
      <c r="A862" s="77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</row>
    <row r="863">
      <c r="A863" s="77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</row>
    <row r="864">
      <c r="A864" s="77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</row>
    <row r="865">
      <c r="A865" s="77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</row>
    <row r="866">
      <c r="A866" s="77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</row>
    <row r="867">
      <c r="A867" s="77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</row>
    <row r="868">
      <c r="A868" s="77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</row>
    <row r="869">
      <c r="A869" s="77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</row>
    <row r="870">
      <c r="A870" s="77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</row>
    <row r="871">
      <c r="A871" s="77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</row>
    <row r="872">
      <c r="A872" s="77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</row>
    <row r="873">
      <c r="A873" s="77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</row>
    <row r="874">
      <c r="A874" s="77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</row>
    <row r="875">
      <c r="A875" s="77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</row>
    <row r="876">
      <c r="A876" s="77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</row>
    <row r="877">
      <c r="A877" s="77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</row>
    <row r="878">
      <c r="A878" s="77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</row>
    <row r="879">
      <c r="A879" s="77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</row>
    <row r="880">
      <c r="A880" s="77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</row>
    <row r="881">
      <c r="A881" s="77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</row>
    <row r="882">
      <c r="A882" s="77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</row>
    <row r="883">
      <c r="A883" s="77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</row>
    <row r="884">
      <c r="A884" s="77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</row>
    <row r="885">
      <c r="A885" s="77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</row>
    <row r="886">
      <c r="A886" s="77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</row>
    <row r="887">
      <c r="A887" s="77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</row>
    <row r="888">
      <c r="A888" s="77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</row>
    <row r="889">
      <c r="A889" s="77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</row>
    <row r="890">
      <c r="A890" s="77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</row>
    <row r="891">
      <c r="A891" s="77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</row>
    <row r="892">
      <c r="A892" s="77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</row>
    <row r="893">
      <c r="A893" s="77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</row>
    <row r="894">
      <c r="A894" s="77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</row>
    <row r="895">
      <c r="A895" s="77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</row>
    <row r="896">
      <c r="A896" s="77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</row>
    <row r="897">
      <c r="A897" s="77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</row>
    <row r="898">
      <c r="A898" s="77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</row>
    <row r="899">
      <c r="A899" s="77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</row>
    <row r="900">
      <c r="A900" s="77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</row>
    <row r="901">
      <c r="A901" s="77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</row>
    <row r="902">
      <c r="A902" s="77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</row>
    <row r="903">
      <c r="A903" s="77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</row>
    <row r="904">
      <c r="A904" s="77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</row>
    <row r="905">
      <c r="A905" s="77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</row>
    <row r="906">
      <c r="A906" s="77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</row>
    <row r="907">
      <c r="A907" s="77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</row>
    <row r="908">
      <c r="A908" s="77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</row>
    <row r="909">
      <c r="A909" s="77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</row>
    <row r="910">
      <c r="A910" s="77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</row>
    <row r="911">
      <c r="A911" s="77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</row>
    <row r="912">
      <c r="A912" s="77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</row>
    <row r="913">
      <c r="A913" s="77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</row>
    <row r="914">
      <c r="A914" s="77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</row>
    <row r="915">
      <c r="A915" s="77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</row>
    <row r="916">
      <c r="A916" s="77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</row>
    <row r="917">
      <c r="A917" s="77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</row>
    <row r="918">
      <c r="A918" s="77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</row>
    <row r="919">
      <c r="A919" s="77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</row>
    <row r="920">
      <c r="A920" s="77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</row>
    <row r="921">
      <c r="A921" s="77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</row>
    <row r="922">
      <c r="A922" s="77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</row>
    <row r="923">
      <c r="A923" s="77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</row>
    <row r="924">
      <c r="A924" s="77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</row>
    <row r="925">
      <c r="A925" s="77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</row>
    <row r="926">
      <c r="A926" s="77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</row>
    <row r="927">
      <c r="A927" s="77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</row>
    <row r="928">
      <c r="A928" s="77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</row>
    <row r="929">
      <c r="A929" s="77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</row>
    <row r="930">
      <c r="A930" s="77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</row>
    <row r="931">
      <c r="A931" s="77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</row>
    <row r="932">
      <c r="A932" s="77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</row>
    <row r="933">
      <c r="A933" s="77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</row>
    <row r="934">
      <c r="A934" s="77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</row>
    <row r="935">
      <c r="A935" s="77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</row>
    <row r="936">
      <c r="A936" s="77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</row>
    <row r="937">
      <c r="A937" s="77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</row>
    <row r="938">
      <c r="A938" s="77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</row>
    <row r="939">
      <c r="A939" s="77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</row>
    <row r="940">
      <c r="A940" s="77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</row>
    <row r="941">
      <c r="A941" s="77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</row>
    <row r="942">
      <c r="A942" s="77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</row>
    <row r="943">
      <c r="A943" s="77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</row>
    <row r="944">
      <c r="A944" s="77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</row>
    <row r="945">
      <c r="A945" s="77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</row>
    <row r="946">
      <c r="A946" s="77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</row>
    <row r="947">
      <c r="A947" s="77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</row>
    <row r="948">
      <c r="A948" s="77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</row>
    <row r="949">
      <c r="A949" s="77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</row>
    <row r="950">
      <c r="A950" s="77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</row>
    <row r="951">
      <c r="A951" s="77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</row>
    <row r="952">
      <c r="A952" s="77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</row>
    <row r="953">
      <c r="A953" s="77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</row>
    <row r="954">
      <c r="A954" s="77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</row>
    <row r="955">
      <c r="A955" s="77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</row>
    <row r="956">
      <c r="A956" s="77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</row>
    <row r="957">
      <c r="A957" s="77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</row>
    <row r="958">
      <c r="A958" s="77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</row>
    <row r="959">
      <c r="A959" s="77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</row>
    <row r="960">
      <c r="A960" s="77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</row>
    <row r="961">
      <c r="A961" s="77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</row>
    <row r="962">
      <c r="A962" s="77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</row>
    <row r="963">
      <c r="A963" s="77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</row>
    <row r="964">
      <c r="A964" s="77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</row>
    <row r="965">
      <c r="A965" s="77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</row>
    <row r="966">
      <c r="A966" s="77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</row>
    <row r="967">
      <c r="A967" s="77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</row>
    <row r="968">
      <c r="A968" s="77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</row>
    <row r="969">
      <c r="A969" s="77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</row>
    <row r="970">
      <c r="A970" s="77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</row>
    <row r="971">
      <c r="A971" s="77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</row>
    <row r="972">
      <c r="A972" s="77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</row>
    <row r="973">
      <c r="A973" s="77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</row>
    <row r="974">
      <c r="A974" s="77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</row>
    <row r="975">
      <c r="A975" s="77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</row>
    <row r="976">
      <c r="A976" s="77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</row>
    <row r="977">
      <c r="A977" s="77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</row>
    <row r="978">
      <c r="A978" s="77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</row>
    <row r="979">
      <c r="A979" s="77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</row>
    <row r="980">
      <c r="A980" s="77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</row>
    <row r="981">
      <c r="A981" s="77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</row>
    <row r="982">
      <c r="A982" s="77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</row>
    <row r="983">
      <c r="A983" s="77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</row>
    <row r="984">
      <c r="A984" s="77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</row>
    <row r="985">
      <c r="A985" s="77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</row>
    <row r="986">
      <c r="A986" s="77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</row>
    <row r="987">
      <c r="A987" s="77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</row>
    <row r="988">
      <c r="A988" s="77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</row>
    <row r="989">
      <c r="A989" s="77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</row>
    <row r="990">
      <c r="A990" s="77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</row>
    <row r="991">
      <c r="A991" s="77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</row>
    <row r="992">
      <c r="A992" s="77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</row>
    <row r="993">
      <c r="A993" s="77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</row>
    <row r="994">
      <c r="A994" s="77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</row>
    <row r="995">
      <c r="A995" s="77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</row>
    <row r="996">
      <c r="A996" s="77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</row>
    <row r="997">
      <c r="A997" s="77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</row>
    <row r="998">
      <c r="A998" s="77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</row>
    <row r="999">
      <c r="A999" s="77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</row>
    <row r="1000">
      <c r="A1000" s="77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</row>
  </sheetData>
  <drawing r:id="rId1"/>
</worksheet>
</file>